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324\"/>
    </mc:Choice>
  </mc:AlternateContent>
  <xr:revisionPtr revIDLastSave="0" documentId="13_ncr:1_{AE7A6E60-1783-46A8-878F-27871A8C822F}" xr6:coauthVersionLast="47" xr6:coauthVersionMax="47" xr10:uidLastSave="{00000000-0000-0000-0000-000000000000}"/>
  <bookViews>
    <workbookView xWindow="-108" yWindow="-108" windowWidth="23256" windowHeight="12456" tabRatio="700" firstSheet="3" activeTab="12" xr2:uid="{00000000-000D-0000-FFFF-FFFF00000000}"/>
  </bookViews>
  <sheets>
    <sheet name="Bangula" sheetId="1" r:id="rId1"/>
    <sheet name="Chikwawa" sheetId="2" r:id="rId2"/>
    <sheet name="Nchalo" sheetId="4" r:id="rId3"/>
    <sheet name="Miseu Folo" sheetId="3" r:id="rId4"/>
    <sheet name="Nsanje" sheetId="5" r:id="rId5"/>
    <sheet name="Ngabu" sheetId="6" r:id="rId6"/>
    <sheet name="Zone Monthly" sheetId="11" r:id="rId7"/>
    <sheet name="1st QTR" sheetId="12" r:id="rId8"/>
    <sheet name="2nd QTR " sheetId="13" r:id="rId9"/>
    <sheet name="Midyear Summary" sheetId="18" r:id="rId10"/>
    <sheet name="3rd QTR" sheetId="15" r:id="rId11"/>
    <sheet name="4th QTR" sheetId="16" r:id="rId12"/>
    <sheet name="Zone Annual Summary" sheetId="1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2" i="17" l="1"/>
  <c r="J261" i="17"/>
  <c r="J263" i="17" s="1"/>
  <c r="J257" i="17"/>
  <c r="J258" i="17" s="1"/>
  <c r="J256" i="17"/>
  <c r="J255" i="17"/>
  <c r="J254" i="17"/>
  <c r="J253" i="17"/>
  <c r="J241" i="17"/>
  <c r="J240" i="17"/>
  <c r="J239" i="17"/>
  <c r="J238" i="17"/>
  <c r="J242" i="17" s="1"/>
  <c r="J235" i="17"/>
  <c r="J236" i="17" s="1"/>
  <c r="J234" i="17"/>
  <c r="J233" i="17"/>
  <c r="J232" i="17"/>
  <c r="J230" i="17"/>
  <c r="J229" i="17"/>
  <c r="J228" i="17"/>
  <c r="J227" i="17"/>
  <c r="J226" i="17"/>
  <c r="J225" i="17"/>
  <c r="J223" i="17"/>
  <c r="J222" i="17"/>
  <c r="J221" i="17"/>
  <c r="J220" i="17"/>
  <c r="J219" i="17"/>
  <c r="J216" i="17"/>
  <c r="J215" i="17"/>
  <c r="J214" i="17"/>
  <c r="J213" i="17"/>
  <c r="J212" i="17"/>
  <c r="J210" i="17"/>
  <c r="J251" i="17" s="1"/>
  <c r="J209" i="17"/>
  <c r="J208" i="17"/>
  <c r="J207" i="17"/>
  <c r="J206" i="17"/>
  <c r="J204" i="17"/>
  <c r="J203" i="17"/>
  <c r="J202" i="17"/>
  <c r="J201" i="17"/>
  <c r="J200" i="17"/>
  <c r="J199" i="17"/>
  <c r="J197" i="17"/>
  <c r="J196" i="17"/>
  <c r="J195" i="17"/>
  <c r="J194" i="17"/>
  <c r="J192" i="17"/>
  <c r="J191" i="17"/>
  <c r="J190" i="17"/>
  <c r="J189" i="17"/>
  <c r="J187" i="17"/>
  <c r="J186" i="17"/>
  <c r="J185" i="17"/>
  <c r="J184" i="17"/>
  <c r="J182" i="17"/>
  <c r="J181" i="17"/>
  <c r="J180" i="17"/>
  <c r="J179" i="17"/>
  <c r="J178" i="17"/>
  <c r="J177" i="17"/>
  <c r="J175" i="17"/>
  <c r="J174" i="17"/>
  <c r="J173" i="17"/>
  <c r="J172" i="17"/>
  <c r="J171" i="17"/>
  <c r="J170" i="17"/>
  <c r="J169" i="17"/>
  <c r="J168" i="17"/>
  <c r="J167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93" i="17" s="1"/>
  <c r="J145" i="17"/>
  <c r="J143" i="17"/>
  <c r="J142" i="17"/>
  <c r="J144" i="17" s="1"/>
  <c r="J141" i="17"/>
  <c r="J140" i="17"/>
  <c r="J138" i="17"/>
  <c r="J137" i="17"/>
  <c r="J136" i="17"/>
  <c r="J135" i="17"/>
  <c r="J139" i="17" s="1"/>
  <c r="J134" i="17"/>
  <c r="J133" i="17"/>
  <c r="J132" i="17"/>
  <c r="J131" i="17"/>
  <c r="J130" i="17"/>
  <c r="J128" i="17"/>
  <c r="J148" i="17" s="1"/>
  <c r="J127" i="17"/>
  <c r="J147" i="17" s="1"/>
  <c r="J126" i="17"/>
  <c r="J146" i="17" s="1"/>
  <c r="J125" i="17"/>
  <c r="J123" i="17"/>
  <c r="J122" i="17"/>
  <c r="J121" i="17"/>
  <c r="J118" i="17"/>
  <c r="J119" i="17" s="1"/>
  <c r="J117" i="17"/>
  <c r="J116" i="17"/>
  <c r="J115" i="17"/>
  <c r="J114" i="17"/>
  <c r="J113" i="17"/>
  <c r="J111" i="17"/>
  <c r="J110" i="17"/>
  <c r="J109" i="17"/>
  <c r="J108" i="17"/>
  <c r="J107" i="17"/>
  <c r="J105" i="17"/>
  <c r="J104" i="17"/>
  <c r="J103" i="17"/>
  <c r="J102" i="17"/>
  <c r="J101" i="17"/>
  <c r="J98" i="17"/>
  <c r="J94" i="17"/>
  <c r="J95" i="17" s="1"/>
  <c r="J93" i="17"/>
  <c r="J92" i="17"/>
  <c r="J259" i="17" s="1"/>
  <c r="J91" i="17"/>
  <c r="J90" i="17"/>
  <c r="J87" i="17"/>
  <c r="J86" i="17"/>
  <c r="J85" i="17"/>
  <c r="J89" i="17" s="1"/>
  <c r="J84" i="17"/>
  <c r="J81" i="17"/>
  <c r="J80" i="17"/>
  <c r="J82" i="17" s="1"/>
  <c r="J79" i="17"/>
  <c r="J78" i="17"/>
  <c r="J77" i="17"/>
  <c r="J76" i="17"/>
  <c r="J75" i="17"/>
  <c r="J74" i="17"/>
  <c r="J73" i="17"/>
  <c r="J72" i="17"/>
  <c r="J69" i="17"/>
  <c r="J70" i="17" s="1"/>
  <c r="J71" i="17" s="1"/>
  <c r="J68" i="17"/>
  <c r="J67" i="17"/>
  <c r="J66" i="17"/>
  <c r="J63" i="17"/>
  <c r="J61" i="17"/>
  <c r="J62" i="17" s="1"/>
  <c r="J59" i="17"/>
  <c r="J58" i="17"/>
  <c r="J56" i="17"/>
  <c r="J55" i="17"/>
  <c r="J54" i="17"/>
  <c r="J52" i="17"/>
  <c r="J51" i="17"/>
  <c r="J50" i="17"/>
  <c r="J49" i="17"/>
  <c r="J46" i="17"/>
  <c r="J44" i="17"/>
  <c r="J41" i="17"/>
  <c r="J42" i="17" s="1"/>
  <c r="J39" i="17"/>
  <c r="J40" i="17" s="1"/>
  <c r="J37" i="17"/>
  <c r="J33" i="17"/>
  <c r="J31" i="17"/>
  <c r="J32" i="17" s="1"/>
  <c r="J29" i="17"/>
  <c r="J30" i="17" s="1"/>
  <c r="J20" i="17"/>
  <c r="J19" i="17"/>
  <c r="J18" i="17"/>
  <c r="J17" i="17"/>
  <c r="J21" i="17" s="1"/>
  <c r="J22" i="17" s="1"/>
  <c r="J60" i="17" s="1"/>
  <c r="J15" i="17"/>
  <c r="J14" i="17"/>
  <c r="J13" i="17"/>
  <c r="J12" i="17"/>
  <c r="J11" i="17"/>
  <c r="J9" i="17"/>
  <c r="J47" i="17" s="1"/>
  <c r="J262" i="16"/>
  <c r="J261" i="16"/>
  <c r="J263" i="16" s="1"/>
  <c r="J257" i="16"/>
  <c r="J256" i="16"/>
  <c r="J258" i="16" s="1"/>
  <c r="J255" i="16"/>
  <c r="J254" i="16"/>
  <c r="J253" i="16"/>
  <c r="J241" i="16"/>
  <c r="J240" i="16"/>
  <c r="J239" i="16"/>
  <c r="J242" i="16" s="1"/>
  <c r="J238" i="16"/>
  <c r="J235" i="16"/>
  <c r="J236" i="16" s="1"/>
  <c r="J234" i="16"/>
  <c r="J233" i="16"/>
  <c r="J232" i="16"/>
  <c r="J230" i="16"/>
  <c r="J229" i="16"/>
  <c r="J228" i="16"/>
  <c r="J227" i="16"/>
  <c r="J226" i="16"/>
  <c r="J225" i="16"/>
  <c r="J223" i="16"/>
  <c r="J222" i="16"/>
  <c r="J221" i="16"/>
  <c r="J220" i="16"/>
  <c r="J219" i="16"/>
  <c r="J216" i="16"/>
  <c r="J215" i="16"/>
  <c r="J214" i="16"/>
  <c r="J213" i="16"/>
  <c r="J212" i="16"/>
  <c r="J210" i="16"/>
  <c r="J251" i="16" s="1"/>
  <c r="J209" i="16"/>
  <c r="J208" i="16"/>
  <c r="J207" i="16"/>
  <c r="J206" i="16"/>
  <c r="J204" i="16"/>
  <c r="J203" i="16"/>
  <c r="J202" i="16"/>
  <c r="J201" i="16"/>
  <c r="J200" i="16"/>
  <c r="J199" i="16"/>
  <c r="J197" i="16"/>
  <c r="J196" i="16"/>
  <c r="J195" i="16"/>
  <c r="J194" i="16"/>
  <c r="J192" i="16"/>
  <c r="J191" i="16"/>
  <c r="J190" i="16"/>
  <c r="J189" i="16"/>
  <c r="J187" i="16"/>
  <c r="J186" i="16"/>
  <c r="J185" i="16"/>
  <c r="J184" i="16"/>
  <c r="J182" i="16"/>
  <c r="J181" i="16"/>
  <c r="J180" i="16"/>
  <c r="J179" i="16"/>
  <c r="J178" i="16"/>
  <c r="J177" i="16"/>
  <c r="J175" i="16"/>
  <c r="J174" i="16"/>
  <c r="J173" i="16"/>
  <c r="J172" i="16"/>
  <c r="J171" i="16"/>
  <c r="J170" i="16"/>
  <c r="J169" i="16"/>
  <c r="J168" i="16"/>
  <c r="J167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93" i="16" s="1"/>
  <c r="J143" i="16"/>
  <c r="J142" i="16"/>
  <c r="J141" i="16"/>
  <c r="J140" i="16"/>
  <c r="J144" i="16" s="1"/>
  <c r="J138" i="16"/>
  <c r="J148" i="16" s="1"/>
  <c r="J137" i="16"/>
  <c r="J136" i="16"/>
  <c r="J135" i="16"/>
  <c r="J139" i="16" s="1"/>
  <c r="J134" i="16"/>
  <c r="J133" i="16"/>
  <c r="J132" i="16"/>
  <c r="J131" i="16"/>
  <c r="J130" i="16"/>
  <c r="J145" i="16" s="1"/>
  <c r="J128" i="16"/>
  <c r="J127" i="16"/>
  <c r="J147" i="16" s="1"/>
  <c r="J126" i="16"/>
  <c r="J146" i="16" s="1"/>
  <c r="J125" i="16"/>
  <c r="J122" i="16"/>
  <c r="J121" i="16"/>
  <c r="J123" i="16" s="1"/>
  <c r="J117" i="16"/>
  <c r="J118" i="16" s="1"/>
  <c r="J119" i="16" s="1"/>
  <c r="J116" i="16"/>
  <c r="J115" i="16"/>
  <c r="J114" i="16"/>
  <c r="J113" i="16"/>
  <c r="J111" i="16"/>
  <c r="J110" i="16"/>
  <c r="J109" i="16"/>
  <c r="J108" i="16"/>
  <c r="J107" i="16"/>
  <c r="J105" i="16"/>
  <c r="J104" i="16"/>
  <c r="J103" i="16"/>
  <c r="J102" i="16"/>
  <c r="J101" i="16"/>
  <c r="J98" i="16"/>
  <c r="J94" i="16"/>
  <c r="J93" i="16"/>
  <c r="J92" i="16"/>
  <c r="J259" i="16" s="1"/>
  <c r="J91" i="16"/>
  <c r="J90" i="16"/>
  <c r="J95" i="16" s="1"/>
  <c r="J87" i="16"/>
  <c r="J86" i="16"/>
  <c r="J85" i="16"/>
  <c r="J89" i="16" s="1"/>
  <c r="J84" i="16"/>
  <c r="J81" i="16"/>
  <c r="J82" i="16" s="1"/>
  <c r="J80" i="16"/>
  <c r="J79" i="16"/>
  <c r="J78" i="16"/>
  <c r="J75" i="16"/>
  <c r="J74" i="16"/>
  <c r="J76" i="16" s="1"/>
  <c r="J77" i="16" s="1"/>
  <c r="J73" i="16"/>
  <c r="J72" i="16"/>
  <c r="J69" i="16"/>
  <c r="J70" i="16" s="1"/>
  <c r="J68" i="16"/>
  <c r="J67" i="16"/>
  <c r="J66" i="16"/>
  <c r="J63" i="16"/>
  <c r="J62" i="16"/>
  <c r="J61" i="16"/>
  <c r="J59" i="16"/>
  <c r="J58" i="16"/>
  <c r="J56" i="16"/>
  <c r="J55" i="16"/>
  <c r="J54" i="16"/>
  <c r="J52" i="16"/>
  <c r="J51" i="16"/>
  <c r="J50" i="16"/>
  <c r="J49" i="16"/>
  <c r="J46" i="16"/>
  <c r="J47" i="16" s="1"/>
  <c r="J44" i="16"/>
  <c r="J45" i="16" s="1"/>
  <c r="J42" i="16"/>
  <c r="J41" i="16"/>
  <c r="J39" i="16"/>
  <c r="J40" i="16" s="1"/>
  <c r="J37" i="16"/>
  <c r="J38" i="16" s="1"/>
  <c r="J33" i="16"/>
  <c r="J34" i="16" s="1"/>
  <c r="J32" i="16"/>
  <c r="J31" i="16"/>
  <c r="J29" i="16"/>
  <c r="J30" i="16" s="1"/>
  <c r="J20" i="16"/>
  <c r="J19" i="16"/>
  <c r="J18" i="16"/>
  <c r="J17" i="16"/>
  <c r="J21" i="16" s="1"/>
  <c r="J14" i="16"/>
  <c r="J13" i="16"/>
  <c r="J12" i="16"/>
  <c r="J11" i="16"/>
  <c r="J15" i="16" s="1"/>
  <c r="J9" i="16"/>
  <c r="J262" i="15"/>
  <c r="J261" i="15"/>
  <c r="J263" i="15" s="1"/>
  <c r="J258" i="15"/>
  <c r="J257" i="15"/>
  <c r="J256" i="15"/>
  <c r="J255" i="15"/>
  <c r="J254" i="15"/>
  <c r="J253" i="15"/>
  <c r="J241" i="15"/>
  <c r="J240" i="15"/>
  <c r="J239" i="15"/>
  <c r="J238" i="15"/>
  <c r="J242" i="15" s="1"/>
  <c r="J235" i="15"/>
  <c r="J236" i="15" s="1"/>
  <c r="J234" i="15"/>
  <c r="J233" i="15"/>
  <c r="J232" i="15"/>
  <c r="J230" i="15"/>
  <c r="J229" i="15"/>
  <c r="J228" i="15"/>
  <c r="J227" i="15"/>
  <c r="J226" i="15"/>
  <c r="J225" i="15"/>
  <c r="J223" i="15"/>
  <c r="J222" i="15"/>
  <c r="J221" i="15"/>
  <c r="J220" i="15"/>
  <c r="J219" i="15"/>
  <c r="J216" i="15"/>
  <c r="J215" i="15"/>
  <c r="J214" i="15"/>
  <c r="J213" i="15"/>
  <c r="J212" i="15"/>
  <c r="J210" i="15"/>
  <c r="J251" i="15" s="1"/>
  <c r="J209" i="15"/>
  <c r="J208" i="15"/>
  <c r="J207" i="15"/>
  <c r="J206" i="15"/>
  <c r="J204" i="15"/>
  <c r="J203" i="15"/>
  <c r="J202" i="15"/>
  <c r="J201" i="15"/>
  <c r="J200" i="15"/>
  <c r="J199" i="15"/>
  <c r="J197" i="15"/>
  <c r="J196" i="15"/>
  <c r="J195" i="15"/>
  <c r="J194" i="15"/>
  <c r="J192" i="15"/>
  <c r="J191" i="15"/>
  <c r="J190" i="15"/>
  <c r="J189" i="15"/>
  <c r="J187" i="15"/>
  <c r="J186" i="15"/>
  <c r="J185" i="15"/>
  <c r="J184" i="15"/>
  <c r="J182" i="15"/>
  <c r="J181" i="15"/>
  <c r="J180" i="15"/>
  <c r="J179" i="15"/>
  <c r="J178" i="15"/>
  <c r="J177" i="15"/>
  <c r="J175" i="15"/>
  <c r="J174" i="15"/>
  <c r="J173" i="15"/>
  <c r="J172" i="15"/>
  <c r="J171" i="15"/>
  <c r="J170" i="15"/>
  <c r="J169" i="15"/>
  <c r="J168" i="15"/>
  <c r="J167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93" i="15" s="1"/>
  <c r="J145" i="15"/>
  <c r="J143" i="15"/>
  <c r="J142" i="15"/>
  <c r="J141" i="15"/>
  <c r="J140" i="15"/>
  <c r="J144" i="15" s="1"/>
  <c r="J138" i="15"/>
  <c r="J137" i="15"/>
  <c r="J136" i="15"/>
  <c r="J135" i="15"/>
  <c r="J139" i="15" s="1"/>
  <c r="J134" i="15"/>
  <c r="J133" i="15"/>
  <c r="J132" i="15"/>
  <c r="J131" i="15"/>
  <c r="J130" i="15"/>
  <c r="J128" i="15"/>
  <c r="J148" i="15" s="1"/>
  <c r="J127" i="15"/>
  <c r="J147" i="15" s="1"/>
  <c r="J126" i="15"/>
  <c r="J146" i="15" s="1"/>
  <c r="J125" i="15"/>
  <c r="J122" i="15"/>
  <c r="J121" i="15"/>
  <c r="J123" i="15" s="1"/>
  <c r="J117" i="15"/>
  <c r="J118" i="15" s="1"/>
  <c r="J119" i="15" s="1"/>
  <c r="J116" i="15"/>
  <c r="J115" i="15"/>
  <c r="J114" i="15"/>
  <c r="J113" i="15"/>
  <c r="J111" i="15"/>
  <c r="J110" i="15"/>
  <c r="J109" i="15"/>
  <c r="J108" i="15"/>
  <c r="J107" i="15"/>
  <c r="J105" i="15"/>
  <c r="J104" i="15"/>
  <c r="J103" i="15"/>
  <c r="J102" i="15"/>
  <c r="J101" i="15"/>
  <c r="J98" i="15"/>
  <c r="J94" i="15"/>
  <c r="J93" i="15"/>
  <c r="J92" i="15"/>
  <c r="J259" i="15" s="1"/>
  <c r="J91" i="15"/>
  <c r="J90" i="15"/>
  <c r="J95" i="15" s="1"/>
  <c r="J87" i="15"/>
  <c r="J86" i="15"/>
  <c r="J85" i="15"/>
  <c r="J89" i="15" s="1"/>
  <c r="J84" i="15"/>
  <c r="J81" i="15"/>
  <c r="J82" i="15" s="1"/>
  <c r="J80" i="15"/>
  <c r="J79" i="15"/>
  <c r="J78" i="15"/>
  <c r="J83" i="15" s="1"/>
  <c r="J75" i="15"/>
  <c r="J76" i="15" s="1"/>
  <c r="J77" i="15" s="1"/>
  <c r="J74" i="15"/>
  <c r="J73" i="15"/>
  <c r="J72" i="15"/>
  <c r="J69" i="15"/>
  <c r="J70" i="15" s="1"/>
  <c r="J68" i="15"/>
  <c r="J67" i="15"/>
  <c r="J71" i="15" s="1"/>
  <c r="J66" i="15"/>
  <c r="J63" i="15"/>
  <c r="J62" i="15"/>
  <c r="J61" i="15"/>
  <c r="J59" i="15"/>
  <c r="J58" i="15"/>
  <c r="J56" i="15"/>
  <c r="J55" i="15"/>
  <c r="J54" i="15"/>
  <c r="J52" i="15"/>
  <c r="J51" i="15"/>
  <c r="J50" i="15"/>
  <c r="J49" i="15"/>
  <c r="J46" i="15"/>
  <c r="J47" i="15" s="1"/>
  <c r="J44" i="15"/>
  <c r="J45" i="15" s="1"/>
  <c r="J42" i="15"/>
  <c r="J41" i="15"/>
  <c r="J39" i="15"/>
  <c r="J40" i="15" s="1"/>
  <c r="J37" i="15"/>
  <c r="J38" i="15" s="1"/>
  <c r="J33" i="15"/>
  <c r="J34" i="15" s="1"/>
  <c r="J32" i="15"/>
  <c r="J31" i="15"/>
  <c r="J29" i="15"/>
  <c r="J30" i="15" s="1"/>
  <c r="J20" i="15"/>
  <c r="J19" i="15"/>
  <c r="J18" i="15"/>
  <c r="J17" i="15"/>
  <c r="J21" i="15" s="1"/>
  <c r="J22" i="15" s="1"/>
  <c r="J60" i="15" s="1"/>
  <c r="J14" i="15"/>
  <c r="J13" i="15"/>
  <c r="J12" i="15"/>
  <c r="J11" i="15"/>
  <c r="J15" i="15" s="1"/>
  <c r="J9" i="15"/>
  <c r="N238" i="5"/>
  <c r="N51" i="5"/>
  <c r="N122" i="4"/>
  <c r="N121" i="4"/>
  <c r="N11" i="4"/>
  <c r="J83" i="17" l="1"/>
  <c r="J243" i="17"/>
  <c r="J245" i="17"/>
  <c r="J246" i="17"/>
  <c r="J249" i="17"/>
  <c r="J217" i="17"/>
  <c r="J129" i="17"/>
  <c r="J149" i="17" s="1"/>
  <c r="J250" i="17"/>
  <c r="J34" i="17"/>
  <c r="J45" i="17"/>
  <c r="J24" i="17"/>
  <c r="J25" i="17" s="1"/>
  <c r="J38" i="17"/>
  <c r="J22" i="16"/>
  <c r="J71" i="16"/>
  <c r="J243" i="16"/>
  <c r="J83" i="16"/>
  <c r="J245" i="16"/>
  <c r="J250" i="16" s="1"/>
  <c r="J217" i="16"/>
  <c r="J129" i="16"/>
  <c r="J149" i="16" s="1"/>
  <c r="J243" i="15"/>
  <c r="J24" i="15"/>
  <c r="J25" i="15" s="1"/>
  <c r="J217" i="15"/>
  <c r="J129" i="15"/>
  <c r="J149" i="15" s="1"/>
  <c r="I63" i="16"/>
  <c r="H63" i="16"/>
  <c r="G63" i="16"/>
  <c r="F63" i="16"/>
  <c r="E63" i="16"/>
  <c r="D63" i="16"/>
  <c r="I63" i="15"/>
  <c r="H63" i="15"/>
  <c r="G63" i="15"/>
  <c r="I61" i="15"/>
  <c r="H61" i="15"/>
  <c r="G61" i="15"/>
  <c r="I61" i="16"/>
  <c r="H61" i="16"/>
  <c r="G61" i="16"/>
  <c r="F61" i="16"/>
  <c r="E61" i="16"/>
  <c r="D61" i="16"/>
  <c r="M238" i="5"/>
  <c r="M232" i="5"/>
  <c r="M219" i="5"/>
  <c r="M121" i="5"/>
  <c r="N121" i="5" s="1"/>
  <c r="M238" i="6"/>
  <c r="M232" i="6"/>
  <c r="M219" i="6"/>
  <c r="M206" i="6"/>
  <c r="M144" i="6"/>
  <c r="M135" i="6"/>
  <c r="M125" i="6"/>
  <c r="M122" i="6"/>
  <c r="N122" i="6" s="1"/>
  <c r="M121" i="6"/>
  <c r="N121" i="6" s="1"/>
  <c r="M70" i="6"/>
  <c r="M66" i="6"/>
  <c r="M45" i="6"/>
  <c r="M11" i="6"/>
  <c r="J247" i="17" l="1"/>
  <c r="J246" i="16"/>
  <c r="J249" i="16"/>
  <c r="J247" i="16"/>
  <c r="J24" i="16"/>
  <c r="J25" i="16" s="1"/>
  <c r="J60" i="16"/>
  <c r="J249" i="15"/>
  <c r="J245" i="15"/>
  <c r="J250" i="15" s="1"/>
  <c r="J246" i="15" l="1"/>
  <c r="J247" i="15"/>
  <c r="M122" i="3"/>
  <c r="N122" i="3" s="1"/>
  <c r="M121" i="3"/>
  <c r="N121" i="3" s="1"/>
  <c r="M258" i="4"/>
  <c r="M206" i="2"/>
  <c r="M193" i="2"/>
  <c r="N193" i="2"/>
  <c r="M122" i="2"/>
  <c r="N122" i="2" s="1"/>
  <c r="M121" i="2"/>
  <c r="N121" i="2" s="1"/>
  <c r="M70" i="2"/>
  <c r="M66" i="2"/>
  <c r="M71" i="2" s="1"/>
  <c r="M51" i="2"/>
  <c r="M11" i="2"/>
  <c r="M238" i="1"/>
  <c r="M232" i="1"/>
  <c r="M219" i="1"/>
  <c r="M206" i="1"/>
  <c r="M71" i="1" l="1"/>
  <c r="L259" i="2" l="1"/>
  <c r="K238" i="6" l="1"/>
  <c r="K232" i="6"/>
  <c r="K219" i="6"/>
  <c r="K206" i="6"/>
  <c r="K70" i="6"/>
  <c r="K51" i="6"/>
  <c r="K45" i="6"/>
  <c r="J45" i="6"/>
  <c r="K30" i="6"/>
  <c r="K11" i="6"/>
  <c r="K238" i="5"/>
  <c r="K232" i="5"/>
  <c r="K219" i="5"/>
  <c r="K206" i="5"/>
  <c r="K70" i="5"/>
  <c r="K62" i="5"/>
  <c r="K51" i="5"/>
  <c r="K45" i="5"/>
  <c r="K30" i="5"/>
  <c r="K11" i="5"/>
  <c r="J259" i="4"/>
  <c r="K238" i="4"/>
  <c r="K232" i="4"/>
  <c r="K219" i="4"/>
  <c r="K206" i="4"/>
  <c r="K201" i="4"/>
  <c r="K70" i="4"/>
  <c r="K62" i="4"/>
  <c r="K30" i="4"/>
  <c r="K11" i="4"/>
  <c r="G201" i="3"/>
  <c r="K45" i="3"/>
  <c r="K30" i="3"/>
  <c r="K259" i="2"/>
  <c r="J259" i="2"/>
  <c r="K238" i="2"/>
  <c r="K232" i="2"/>
  <c r="K219" i="2"/>
  <c r="K206" i="2"/>
  <c r="K193" i="2"/>
  <c r="L193" i="2"/>
  <c r="K70" i="2"/>
  <c r="K51" i="2"/>
  <c r="K45" i="2"/>
  <c r="K30" i="2"/>
  <c r="K11" i="2"/>
  <c r="K238" i="1"/>
  <c r="K232" i="1"/>
  <c r="K219" i="1"/>
  <c r="K206" i="1"/>
  <c r="K70" i="1"/>
  <c r="K62" i="1"/>
  <c r="K51" i="1"/>
  <c r="K45" i="1"/>
  <c r="K30" i="1"/>
  <c r="K11" i="1"/>
  <c r="J238" i="6" l="1"/>
  <c r="J232" i="6"/>
  <c r="J219" i="6"/>
  <c r="J206" i="6"/>
  <c r="J140" i="6"/>
  <c r="J139" i="6"/>
  <c r="K135" i="6" s="1"/>
  <c r="J110" i="6"/>
  <c r="J109" i="6"/>
  <c r="J108" i="6"/>
  <c r="J107" i="6"/>
  <c r="J51" i="6"/>
  <c r="J30" i="6"/>
  <c r="I238" i="5"/>
  <c r="I232" i="5"/>
  <c r="I219" i="5"/>
  <c r="I206" i="5"/>
  <c r="I51" i="5"/>
  <c r="I45" i="5"/>
  <c r="I30" i="5"/>
  <c r="I11" i="5"/>
  <c r="J238" i="5"/>
  <c r="J232" i="5"/>
  <c r="J219" i="5"/>
  <c r="J206" i="5"/>
  <c r="I70" i="5"/>
  <c r="J51" i="5"/>
  <c r="I46" i="5"/>
  <c r="J46" i="5"/>
  <c r="J45" i="5"/>
  <c r="J30" i="5"/>
  <c r="J11" i="5"/>
  <c r="J238" i="4" l="1"/>
  <c r="J232" i="4"/>
  <c r="J219" i="4"/>
  <c r="J206" i="4"/>
  <c r="J129" i="4"/>
  <c r="J45" i="4"/>
  <c r="J30" i="4"/>
  <c r="J45" i="3"/>
  <c r="J30" i="3"/>
  <c r="J263" i="2"/>
  <c r="J238" i="2"/>
  <c r="J232" i="2"/>
  <c r="J219" i="2"/>
  <c r="J206" i="2"/>
  <c r="J193" i="2"/>
  <c r="J70" i="2"/>
  <c r="J51" i="2"/>
  <c r="J45" i="2"/>
  <c r="J30" i="2"/>
  <c r="J11" i="2"/>
  <c r="J238" i="1"/>
  <c r="J232" i="1"/>
  <c r="J219" i="1"/>
  <c r="J206" i="1"/>
  <c r="J122" i="1"/>
  <c r="K122" i="1" s="1"/>
  <c r="L122" i="1" s="1"/>
  <c r="M122" i="1" s="1"/>
  <c r="J121" i="1"/>
  <c r="K121" i="1" s="1"/>
  <c r="L121" i="1" s="1"/>
  <c r="M121" i="1" s="1"/>
  <c r="J62" i="1"/>
  <c r="J51" i="1"/>
  <c r="J45" i="1"/>
  <c r="J30" i="1"/>
  <c r="J11" i="1"/>
  <c r="E56" i="18" l="1"/>
  <c r="F56" i="18"/>
  <c r="G56" i="18"/>
  <c r="H56" i="18"/>
  <c r="I56" i="18"/>
  <c r="J56" i="18"/>
  <c r="D56" i="18"/>
  <c r="I262" i="18"/>
  <c r="H262" i="18"/>
  <c r="G262" i="18"/>
  <c r="F262" i="18"/>
  <c r="E262" i="18"/>
  <c r="E263" i="18" s="1"/>
  <c r="D262" i="18"/>
  <c r="I261" i="18"/>
  <c r="H261" i="18"/>
  <c r="G261" i="18"/>
  <c r="F261" i="18"/>
  <c r="E261" i="18"/>
  <c r="D261" i="18"/>
  <c r="I257" i="18"/>
  <c r="H257" i="18"/>
  <c r="G257" i="18"/>
  <c r="F257" i="18"/>
  <c r="E257" i="18"/>
  <c r="D257" i="18"/>
  <c r="I254" i="18"/>
  <c r="H254" i="18"/>
  <c r="G254" i="18"/>
  <c r="F254" i="18"/>
  <c r="E254" i="18"/>
  <c r="D254" i="18"/>
  <c r="I253" i="18"/>
  <c r="H253" i="18"/>
  <c r="G253" i="18"/>
  <c r="F253" i="18"/>
  <c r="E253" i="18"/>
  <c r="D253" i="18"/>
  <c r="I246" i="18"/>
  <c r="H246" i="18"/>
  <c r="G246" i="18"/>
  <c r="F246" i="18"/>
  <c r="E246" i="18"/>
  <c r="D246" i="18"/>
  <c r="I245" i="18"/>
  <c r="H245" i="18"/>
  <c r="G245" i="18"/>
  <c r="G247" i="18" s="1"/>
  <c r="F245" i="18"/>
  <c r="E245" i="18"/>
  <c r="D245" i="18"/>
  <c r="I241" i="18"/>
  <c r="H241" i="18"/>
  <c r="G241" i="18"/>
  <c r="F241" i="18"/>
  <c r="E241" i="18"/>
  <c r="D241" i="18"/>
  <c r="I240" i="18"/>
  <c r="H240" i="18"/>
  <c r="G240" i="18"/>
  <c r="F240" i="18"/>
  <c r="E240" i="18"/>
  <c r="D240" i="18"/>
  <c r="I239" i="18"/>
  <c r="H239" i="18"/>
  <c r="G239" i="18"/>
  <c r="F239" i="18"/>
  <c r="E239" i="18"/>
  <c r="D239" i="18"/>
  <c r="F238" i="18"/>
  <c r="I235" i="18"/>
  <c r="H235" i="18"/>
  <c r="G235" i="18"/>
  <c r="F235" i="18"/>
  <c r="E235" i="18"/>
  <c r="D235" i="18"/>
  <c r="I234" i="18"/>
  <c r="H234" i="18"/>
  <c r="G234" i="18"/>
  <c r="F234" i="18"/>
  <c r="E234" i="18"/>
  <c r="D234" i="18"/>
  <c r="I233" i="18"/>
  <c r="H233" i="18"/>
  <c r="G233" i="18"/>
  <c r="F233" i="18"/>
  <c r="E233" i="18"/>
  <c r="D233" i="18"/>
  <c r="F232" i="18"/>
  <c r="I228" i="18"/>
  <c r="H228" i="18"/>
  <c r="G228" i="18"/>
  <c r="F228" i="18"/>
  <c r="E228" i="18"/>
  <c r="D228" i="18"/>
  <c r="I227" i="18"/>
  <c r="H227" i="18"/>
  <c r="G227" i="18"/>
  <c r="F227" i="18"/>
  <c r="E227" i="18"/>
  <c r="D227" i="18"/>
  <c r="I226" i="18"/>
  <c r="H226" i="18"/>
  <c r="G226" i="18"/>
  <c r="F226" i="18"/>
  <c r="E226" i="18"/>
  <c r="D226" i="18"/>
  <c r="I225" i="18"/>
  <c r="H225" i="18"/>
  <c r="G225" i="18"/>
  <c r="F225" i="18"/>
  <c r="E225" i="18"/>
  <c r="D225" i="18"/>
  <c r="I222" i="18"/>
  <c r="H222" i="18"/>
  <c r="G222" i="18"/>
  <c r="F222" i="18"/>
  <c r="E222" i="18"/>
  <c r="D222" i="18"/>
  <c r="I221" i="18"/>
  <c r="H221" i="18"/>
  <c r="G221" i="18"/>
  <c r="F221" i="18"/>
  <c r="E221" i="18"/>
  <c r="D221" i="18"/>
  <c r="I220" i="18"/>
  <c r="H220" i="18"/>
  <c r="G220" i="18"/>
  <c r="F220" i="18"/>
  <c r="E220" i="18"/>
  <c r="D220" i="18"/>
  <c r="F219" i="18"/>
  <c r="I215" i="18"/>
  <c r="H215" i="18"/>
  <c r="G215" i="18"/>
  <c r="F215" i="18"/>
  <c r="E215" i="18"/>
  <c r="D215" i="18"/>
  <c r="I214" i="18"/>
  <c r="H214" i="18"/>
  <c r="G214" i="18"/>
  <c r="F214" i="18"/>
  <c r="E214" i="18"/>
  <c r="D214" i="18"/>
  <c r="I213" i="18"/>
  <c r="H213" i="18"/>
  <c r="G213" i="18"/>
  <c r="F213" i="18"/>
  <c r="E213" i="18"/>
  <c r="D213" i="18"/>
  <c r="I212" i="18"/>
  <c r="H212" i="18"/>
  <c r="G212" i="18"/>
  <c r="F212" i="18"/>
  <c r="E212" i="18"/>
  <c r="D212" i="18"/>
  <c r="D216" i="18" s="1"/>
  <c r="I209" i="18"/>
  <c r="H209" i="18"/>
  <c r="G209" i="18"/>
  <c r="F209" i="18"/>
  <c r="E209" i="18"/>
  <c r="D209" i="18"/>
  <c r="I208" i="18"/>
  <c r="H208" i="18"/>
  <c r="G208" i="18"/>
  <c r="F208" i="18"/>
  <c r="E208" i="18"/>
  <c r="D208" i="18"/>
  <c r="I207" i="18"/>
  <c r="H207" i="18"/>
  <c r="G207" i="18"/>
  <c r="F207" i="18"/>
  <c r="E207" i="18"/>
  <c r="D207" i="18"/>
  <c r="F206" i="18"/>
  <c r="I203" i="18"/>
  <c r="H203" i="18"/>
  <c r="G203" i="18"/>
  <c r="F203" i="18"/>
  <c r="E203" i="18"/>
  <c r="D203" i="18"/>
  <c r="I202" i="18"/>
  <c r="H202" i="18"/>
  <c r="G202" i="18"/>
  <c r="F202" i="18"/>
  <c r="E202" i="18"/>
  <c r="D202" i="18"/>
  <c r="I201" i="18"/>
  <c r="H201" i="18"/>
  <c r="G201" i="18"/>
  <c r="F201" i="18"/>
  <c r="E201" i="18"/>
  <c r="D201" i="18"/>
  <c r="I200" i="18"/>
  <c r="H200" i="18"/>
  <c r="G200" i="18"/>
  <c r="F200" i="18"/>
  <c r="E200" i="18"/>
  <c r="D200" i="18"/>
  <c r="I199" i="18"/>
  <c r="H199" i="18"/>
  <c r="G199" i="18"/>
  <c r="F199" i="18"/>
  <c r="E199" i="18"/>
  <c r="D199" i="18"/>
  <c r="I197" i="18"/>
  <c r="H197" i="18"/>
  <c r="G197" i="18"/>
  <c r="F197" i="18"/>
  <c r="E197" i="18"/>
  <c r="D197" i="18"/>
  <c r="I196" i="18"/>
  <c r="H196" i="18"/>
  <c r="G196" i="18"/>
  <c r="F196" i="18"/>
  <c r="E196" i="18"/>
  <c r="D196" i="18"/>
  <c r="I195" i="18"/>
  <c r="H195" i="18"/>
  <c r="G195" i="18"/>
  <c r="F195" i="18"/>
  <c r="E195" i="18"/>
  <c r="D195" i="18"/>
  <c r="I194" i="18"/>
  <c r="J194" i="18" s="1"/>
  <c r="H194" i="18"/>
  <c r="G194" i="18"/>
  <c r="F194" i="18"/>
  <c r="E194" i="18"/>
  <c r="D194" i="18"/>
  <c r="I192" i="18"/>
  <c r="H192" i="18"/>
  <c r="G192" i="18"/>
  <c r="F192" i="18"/>
  <c r="E192" i="18"/>
  <c r="D192" i="18"/>
  <c r="I191" i="18"/>
  <c r="H191" i="18"/>
  <c r="G191" i="18"/>
  <c r="F191" i="18"/>
  <c r="E191" i="18"/>
  <c r="D191" i="18"/>
  <c r="I190" i="18"/>
  <c r="H190" i="18"/>
  <c r="G190" i="18"/>
  <c r="F190" i="18"/>
  <c r="E190" i="18"/>
  <c r="D190" i="18"/>
  <c r="I189" i="18"/>
  <c r="H189" i="18"/>
  <c r="G189" i="18"/>
  <c r="F189" i="18"/>
  <c r="E189" i="18"/>
  <c r="D189" i="18"/>
  <c r="I187" i="18"/>
  <c r="H187" i="18"/>
  <c r="G187" i="18"/>
  <c r="F187" i="18"/>
  <c r="E187" i="18"/>
  <c r="D187" i="18"/>
  <c r="I186" i="18"/>
  <c r="H186" i="18"/>
  <c r="G186" i="18"/>
  <c r="F186" i="18"/>
  <c r="E186" i="18"/>
  <c r="D186" i="18"/>
  <c r="I185" i="18"/>
  <c r="H185" i="18"/>
  <c r="G185" i="18"/>
  <c r="F185" i="18"/>
  <c r="E185" i="18"/>
  <c r="D185" i="18"/>
  <c r="I184" i="18"/>
  <c r="H184" i="18"/>
  <c r="G184" i="18"/>
  <c r="F184" i="18"/>
  <c r="E184" i="18"/>
  <c r="D184" i="18"/>
  <c r="I182" i="18"/>
  <c r="H182" i="18"/>
  <c r="G182" i="18"/>
  <c r="F182" i="18"/>
  <c r="E182" i="18"/>
  <c r="D182" i="18"/>
  <c r="I181" i="18"/>
  <c r="H181" i="18"/>
  <c r="G181" i="18"/>
  <c r="F181" i="18"/>
  <c r="E181" i="18"/>
  <c r="D181" i="18"/>
  <c r="I180" i="18"/>
  <c r="H180" i="18"/>
  <c r="G180" i="18"/>
  <c r="F180" i="18"/>
  <c r="E180" i="18"/>
  <c r="D180" i="18"/>
  <c r="I179" i="18"/>
  <c r="H179" i="18"/>
  <c r="G179" i="18"/>
  <c r="F179" i="18"/>
  <c r="E179" i="18"/>
  <c r="D179" i="18"/>
  <c r="I178" i="18"/>
  <c r="H178" i="18"/>
  <c r="G178" i="18"/>
  <c r="F178" i="18"/>
  <c r="E178" i="18"/>
  <c r="D178" i="18"/>
  <c r="I177" i="18"/>
  <c r="H177" i="18"/>
  <c r="G177" i="18"/>
  <c r="F177" i="18"/>
  <c r="E177" i="18"/>
  <c r="D177" i="18"/>
  <c r="I175" i="18"/>
  <c r="H175" i="18"/>
  <c r="G175" i="18"/>
  <c r="F175" i="18"/>
  <c r="E175" i="18"/>
  <c r="D175" i="18"/>
  <c r="I174" i="18"/>
  <c r="H174" i="18"/>
  <c r="G174" i="18"/>
  <c r="F174" i="18"/>
  <c r="E174" i="18"/>
  <c r="D174" i="18"/>
  <c r="I173" i="18"/>
  <c r="H173" i="18"/>
  <c r="G173" i="18"/>
  <c r="F173" i="18"/>
  <c r="E173" i="18"/>
  <c r="D173" i="18"/>
  <c r="I172" i="18"/>
  <c r="H172" i="18"/>
  <c r="G172" i="18"/>
  <c r="F172" i="18"/>
  <c r="E172" i="18"/>
  <c r="D172" i="18"/>
  <c r="I171" i="18"/>
  <c r="H171" i="18"/>
  <c r="G171" i="18"/>
  <c r="F171" i="18"/>
  <c r="E171" i="18"/>
  <c r="D171" i="18"/>
  <c r="I170" i="18"/>
  <c r="H170" i="18"/>
  <c r="G170" i="18"/>
  <c r="F170" i="18"/>
  <c r="E170" i="18"/>
  <c r="D170" i="18"/>
  <c r="I169" i="18"/>
  <c r="H169" i="18"/>
  <c r="G169" i="18"/>
  <c r="F169" i="18"/>
  <c r="E169" i="18"/>
  <c r="D169" i="18"/>
  <c r="I168" i="18"/>
  <c r="H168" i="18"/>
  <c r="G168" i="18"/>
  <c r="F168" i="18"/>
  <c r="E168" i="18"/>
  <c r="D168" i="18"/>
  <c r="I167" i="18"/>
  <c r="H167" i="18"/>
  <c r="G167" i="18"/>
  <c r="F167" i="18"/>
  <c r="E167" i="18"/>
  <c r="D167" i="18"/>
  <c r="I165" i="18"/>
  <c r="H165" i="18"/>
  <c r="G165" i="18"/>
  <c r="F165" i="18"/>
  <c r="E165" i="18"/>
  <c r="D165" i="18"/>
  <c r="I164" i="18"/>
  <c r="H164" i="18"/>
  <c r="G164" i="18"/>
  <c r="F164" i="18"/>
  <c r="E164" i="18"/>
  <c r="D164" i="18"/>
  <c r="I163" i="18"/>
  <c r="H163" i="18"/>
  <c r="G163" i="18"/>
  <c r="F163" i="18"/>
  <c r="E163" i="18"/>
  <c r="D163" i="18"/>
  <c r="I162" i="18"/>
  <c r="H162" i="18"/>
  <c r="G162" i="18"/>
  <c r="F162" i="18"/>
  <c r="E162" i="18"/>
  <c r="D162" i="18"/>
  <c r="I161" i="18"/>
  <c r="H161" i="18"/>
  <c r="G161" i="18"/>
  <c r="F161" i="18"/>
  <c r="E161" i="18"/>
  <c r="D161" i="18"/>
  <c r="I160" i="18"/>
  <c r="H160" i="18"/>
  <c r="G160" i="18"/>
  <c r="F160" i="18"/>
  <c r="E160" i="18"/>
  <c r="D160" i="18"/>
  <c r="I159" i="18"/>
  <c r="H159" i="18"/>
  <c r="G159" i="18"/>
  <c r="F159" i="18"/>
  <c r="E159" i="18"/>
  <c r="D159" i="18"/>
  <c r="I158" i="18"/>
  <c r="H158" i="18"/>
  <c r="G158" i="18"/>
  <c r="F158" i="18"/>
  <c r="E158" i="18"/>
  <c r="D158" i="18"/>
  <c r="I157" i="18"/>
  <c r="H157" i="18"/>
  <c r="G157" i="18"/>
  <c r="F157" i="18"/>
  <c r="E157" i="18"/>
  <c r="D157" i="18"/>
  <c r="I156" i="18"/>
  <c r="H156" i="18"/>
  <c r="G156" i="18"/>
  <c r="F156" i="18"/>
  <c r="E156" i="18"/>
  <c r="D156" i="18"/>
  <c r="I155" i="18"/>
  <c r="H155" i="18"/>
  <c r="G155" i="18"/>
  <c r="F155" i="18"/>
  <c r="E155" i="18"/>
  <c r="D155" i="18"/>
  <c r="I154" i="18"/>
  <c r="H154" i="18"/>
  <c r="G154" i="18"/>
  <c r="F154" i="18"/>
  <c r="E154" i="18"/>
  <c r="D154" i="18"/>
  <c r="I153" i="18"/>
  <c r="H153" i="18"/>
  <c r="G153" i="18"/>
  <c r="F153" i="18"/>
  <c r="E153" i="18"/>
  <c r="D153" i="18"/>
  <c r="I143" i="18"/>
  <c r="H143" i="18"/>
  <c r="G143" i="18"/>
  <c r="F143" i="18"/>
  <c r="E143" i="18"/>
  <c r="D143" i="18"/>
  <c r="I142" i="18"/>
  <c r="H142" i="18"/>
  <c r="G142" i="18"/>
  <c r="F142" i="18"/>
  <c r="E142" i="18"/>
  <c r="D142" i="18"/>
  <c r="I141" i="18"/>
  <c r="H141" i="18"/>
  <c r="G141" i="18"/>
  <c r="F141" i="18"/>
  <c r="E141" i="18"/>
  <c r="D141" i="18"/>
  <c r="I140" i="18"/>
  <c r="H140" i="18"/>
  <c r="G140" i="18"/>
  <c r="F140" i="18"/>
  <c r="E140" i="18"/>
  <c r="D140" i="18"/>
  <c r="I138" i="18"/>
  <c r="H138" i="18"/>
  <c r="G138" i="18"/>
  <c r="F138" i="18"/>
  <c r="E138" i="18"/>
  <c r="D138" i="18"/>
  <c r="I137" i="18"/>
  <c r="H137" i="18"/>
  <c r="G137" i="18"/>
  <c r="F137" i="18"/>
  <c r="E137" i="18"/>
  <c r="D137" i="18"/>
  <c r="I136" i="18"/>
  <c r="H136" i="18"/>
  <c r="G136" i="18"/>
  <c r="F136" i="18"/>
  <c r="E136" i="18"/>
  <c r="D136" i="18"/>
  <c r="I135" i="18"/>
  <c r="H135" i="18"/>
  <c r="G135" i="18"/>
  <c r="F135" i="18"/>
  <c r="E135" i="18"/>
  <c r="D135" i="18"/>
  <c r="I133" i="18"/>
  <c r="H133" i="18"/>
  <c r="G133" i="18"/>
  <c r="F133" i="18"/>
  <c r="E133" i="18"/>
  <c r="D133" i="18"/>
  <c r="I132" i="18"/>
  <c r="H132" i="18"/>
  <c r="G132" i="18"/>
  <c r="F132" i="18"/>
  <c r="E132" i="18"/>
  <c r="D132" i="18"/>
  <c r="I131" i="18"/>
  <c r="H131" i="18"/>
  <c r="G131" i="18"/>
  <c r="F131" i="18"/>
  <c r="E131" i="18"/>
  <c r="D131" i="18"/>
  <c r="I130" i="18"/>
  <c r="H130" i="18"/>
  <c r="G130" i="18"/>
  <c r="F130" i="18"/>
  <c r="E130" i="18"/>
  <c r="D130" i="18"/>
  <c r="I128" i="18"/>
  <c r="I148" i="18" s="1"/>
  <c r="H128" i="18"/>
  <c r="G128" i="18"/>
  <c r="G148" i="18" s="1"/>
  <c r="F128" i="18"/>
  <c r="E128" i="18"/>
  <c r="E148" i="18" s="1"/>
  <c r="D128" i="18"/>
  <c r="I127" i="18"/>
  <c r="H127" i="18"/>
  <c r="G127" i="18"/>
  <c r="F127" i="18"/>
  <c r="E127" i="18"/>
  <c r="D127" i="18"/>
  <c r="I126" i="18"/>
  <c r="H126" i="18"/>
  <c r="G126" i="18"/>
  <c r="F126" i="18"/>
  <c r="E126" i="18"/>
  <c r="D126" i="18"/>
  <c r="I125" i="18"/>
  <c r="H125" i="18"/>
  <c r="G125" i="18"/>
  <c r="F125" i="18"/>
  <c r="E125" i="18"/>
  <c r="D125" i="18"/>
  <c r="G122" i="18"/>
  <c r="F122" i="18"/>
  <c r="D122" i="18"/>
  <c r="F121" i="18"/>
  <c r="D121" i="18"/>
  <c r="I116" i="18"/>
  <c r="H116" i="18"/>
  <c r="E116" i="18"/>
  <c r="D116" i="18"/>
  <c r="I115" i="18"/>
  <c r="H115" i="18"/>
  <c r="G115" i="18"/>
  <c r="E115" i="18"/>
  <c r="D115" i="18"/>
  <c r="I114" i="18"/>
  <c r="H114" i="18"/>
  <c r="E114" i="18"/>
  <c r="D114" i="18"/>
  <c r="I113" i="18"/>
  <c r="H113" i="18"/>
  <c r="G113" i="18"/>
  <c r="E113" i="18"/>
  <c r="D113" i="18"/>
  <c r="I110" i="18"/>
  <c r="H110" i="18"/>
  <c r="G110" i="18"/>
  <c r="F110" i="18"/>
  <c r="E110" i="18"/>
  <c r="D110" i="18"/>
  <c r="I109" i="18"/>
  <c r="H109" i="18"/>
  <c r="G109" i="18"/>
  <c r="E109" i="18"/>
  <c r="D109" i="18"/>
  <c r="I108" i="18"/>
  <c r="H108" i="18"/>
  <c r="G108" i="18"/>
  <c r="F108" i="18"/>
  <c r="E108" i="18"/>
  <c r="D108" i="18"/>
  <c r="I107" i="18"/>
  <c r="H107" i="18"/>
  <c r="G107" i="18"/>
  <c r="F107" i="18"/>
  <c r="E107" i="18"/>
  <c r="D107" i="18"/>
  <c r="I104" i="18"/>
  <c r="H104" i="18"/>
  <c r="G104" i="18"/>
  <c r="F104" i="18"/>
  <c r="E104" i="18"/>
  <c r="D104" i="18"/>
  <c r="I103" i="18"/>
  <c r="H103" i="18"/>
  <c r="G103" i="18"/>
  <c r="F103" i="18"/>
  <c r="E103" i="18"/>
  <c r="D103" i="18"/>
  <c r="I102" i="18"/>
  <c r="H102" i="18"/>
  <c r="G102" i="18"/>
  <c r="F102" i="18"/>
  <c r="E102" i="18"/>
  <c r="D102" i="18"/>
  <c r="I101" i="18"/>
  <c r="H101" i="18"/>
  <c r="G101" i="18"/>
  <c r="F101" i="18"/>
  <c r="E101" i="18"/>
  <c r="D101" i="18"/>
  <c r="I98" i="18"/>
  <c r="H98" i="18"/>
  <c r="G98" i="18"/>
  <c r="F98" i="18"/>
  <c r="E98" i="18"/>
  <c r="D98" i="18"/>
  <c r="I87" i="18"/>
  <c r="I88" i="18" s="1"/>
  <c r="H87" i="18"/>
  <c r="H88" i="18" s="1"/>
  <c r="G87" i="18"/>
  <c r="F87" i="18"/>
  <c r="E87" i="18"/>
  <c r="D87" i="18"/>
  <c r="I86" i="18"/>
  <c r="H86" i="18"/>
  <c r="G86" i="18"/>
  <c r="F86" i="18"/>
  <c r="E86" i="18"/>
  <c r="D86" i="18"/>
  <c r="I85" i="18"/>
  <c r="H85" i="18"/>
  <c r="G85" i="18"/>
  <c r="F85" i="18"/>
  <c r="E85" i="18"/>
  <c r="D85" i="18"/>
  <c r="I84" i="18"/>
  <c r="H84" i="18"/>
  <c r="G84" i="18"/>
  <c r="F84" i="18"/>
  <c r="E84" i="18"/>
  <c r="D84" i="18"/>
  <c r="E82" i="18"/>
  <c r="I81" i="18"/>
  <c r="H81" i="18"/>
  <c r="G81" i="18"/>
  <c r="F81" i="18"/>
  <c r="E81" i="18"/>
  <c r="D81" i="18"/>
  <c r="D82" i="18" s="1"/>
  <c r="I80" i="18"/>
  <c r="H80" i="18"/>
  <c r="G80" i="18"/>
  <c r="G82" i="18" s="1"/>
  <c r="F80" i="18"/>
  <c r="E80" i="18"/>
  <c r="D80" i="18"/>
  <c r="I79" i="18"/>
  <c r="H79" i="18"/>
  <c r="G79" i="18"/>
  <c r="F79" i="18"/>
  <c r="E79" i="18"/>
  <c r="D79" i="18"/>
  <c r="I78" i="18"/>
  <c r="H78" i="18"/>
  <c r="G78" i="18"/>
  <c r="F78" i="18"/>
  <c r="E78" i="18"/>
  <c r="D78" i="18"/>
  <c r="D83" i="18" s="1"/>
  <c r="I75" i="18"/>
  <c r="H75" i="18"/>
  <c r="G75" i="18"/>
  <c r="F75" i="18"/>
  <c r="E75" i="18"/>
  <c r="D75" i="18"/>
  <c r="I74" i="18"/>
  <c r="H74" i="18"/>
  <c r="H76" i="18" s="1"/>
  <c r="G74" i="18"/>
  <c r="F74" i="18"/>
  <c r="E74" i="18"/>
  <c r="D74" i="18"/>
  <c r="D76" i="18" s="1"/>
  <c r="I73" i="18"/>
  <c r="H73" i="18"/>
  <c r="G73" i="18"/>
  <c r="F73" i="18"/>
  <c r="E73" i="18"/>
  <c r="D73" i="18"/>
  <c r="I72" i="18"/>
  <c r="H72" i="18"/>
  <c r="G72" i="18"/>
  <c r="F72" i="18"/>
  <c r="E72" i="18"/>
  <c r="D72" i="18"/>
  <c r="I69" i="18"/>
  <c r="H69" i="18"/>
  <c r="G69" i="18"/>
  <c r="G93" i="18" s="1"/>
  <c r="F69" i="18"/>
  <c r="E69" i="18"/>
  <c r="D69" i="18"/>
  <c r="I68" i="18"/>
  <c r="H68" i="18"/>
  <c r="G68" i="18"/>
  <c r="F68" i="18"/>
  <c r="E68" i="18"/>
  <c r="D68" i="18"/>
  <c r="I67" i="18"/>
  <c r="H67" i="18"/>
  <c r="G67" i="18"/>
  <c r="F67" i="18"/>
  <c r="E67" i="18"/>
  <c r="D67" i="18"/>
  <c r="D91" i="18" s="1"/>
  <c r="D256" i="18" s="1"/>
  <c r="I66" i="18"/>
  <c r="H66" i="18"/>
  <c r="G66" i="18"/>
  <c r="F66" i="18"/>
  <c r="E66" i="18"/>
  <c r="D66" i="18"/>
  <c r="I63" i="18"/>
  <c r="H63" i="18"/>
  <c r="G63" i="18"/>
  <c r="F63" i="18"/>
  <c r="E63" i="18"/>
  <c r="D63" i="18"/>
  <c r="I61" i="18"/>
  <c r="H61" i="18"/>
  <c r="G61" i="18"/>
  <c r="F61" i="18"/>
  <c r="E61" i="18"/>
  <c r="D61" i="18"/>
  <c r="I55" i="18"/>
  <c r="H55" i="18"/>
  <c r="G55" i="18"/>
  <c r="F55" i="18"/>
  <c r="E55" i="18"/>
  <c r="D55" i="18"/>
  <c r="I54" i="18"/>
  <c r="H54" i="18"/>
  <c r="G54" i="18"/>
  <c r="F54" i="18"/>
  <c r="E54" i="18"/>
  <c r="D54" i="18"/>
  <c r="J52" i="18"/>
  <c r="G51" i="18"/>
  <c r="I50" i="18"/>
  <c r="H50" i="18"/>
  <c r="G50" i="18"/>
  <c r="F50" i="18"/>
  <c r="E50" i="18"/>
  <c r="D50" i="18"/>
  <c r="I49" i="18"/>
  <c r="H49" i="18"/>
  <c r="G49" i="18"/>
  <c r="F49" i="18"/>
  <c r="E49" i="18"/>
  <c r="D49" i="18"/>
  <c r="I44" i="18"/>
  <c r="H44" i="18"/>
  <c r="G44" i="18"/>
  <c r="G45" i="18" s="1"/>
  <c r="F44" i="18"/>
  <c r="E44" i="18"/>
  <c r="I39" i="18"/>
  <c r="I40" i="18" s="1"/>
  <c r="H39" i="18"/>
  <c r="G39" i="18"/>
  <c r="F39" i="18"/>
  <c r="E39" i="18"/>
  <c r="D39" i="18"/>
  <c r="I37" i="18"/>
  <c r="H37" i="18"/>
  <c r="G37" i="18"/>
  <c r="F37" i="18"/>
  <c r="E37" i="18"/>
  <c r="D37" i="18"/>
  <c r="J36" i="18"/>
  <c r="I35" i="18"/>
  <c r="H35" i="18"/>
  <c r="G35" i="18"/>
  <c r="F35" i="18"/>
  <c r="E35" i="18"/>
  <c r="D35" i="18"/>
  <c r="I33" i="18"/>
  <c r="H33" i="18"/>
  <c r="G33" i="18"/>
  <c r="F33" i="18"/>
  <c r="E33" i="18"/>
  <c r="D33" i="18"/>
  <c r="I31" i="18"/>
  <c r="H31" i="18"/>
  <c r="G31" i="18"/>
  <c r="F31" i="18"/>
  <c r="E31" i="18"/>
  <c r="D31" i="18"/>
  <c r="I29" i="18"/>
  <c r="H29" i="18"/>
  <c r="G29" i="18"/>
  <c r="F29" i="18"/>
  <c r="E29" i="18"/>
  <c r="D29" i="18"/>
  <c r="I20" i="18"/>
  <c r="H20" i="18"/>
  <c r="G20" i="18"/>
  <c r="F20" i="18"/>
  <c r="E20" i="18"/>
  <c r="I19" i="18"/>
  <c r="H19" i="18"/>
  <c r="G19" i="18"/>
  <c r="F19" i="18"/>
  <c r="E19" i="18"/>
  <c r="I18" i="18"/>
  <c r="H18" i="18"/>
  <c r="G18" i="18"/>
  <c r="F18" i="18"/>
  <c r="E18" i="18"/>
  <c r="E21" i="18" s="1"/>
  <c r="I17" i="18"/>
  <c r="H17" i="18"/>
  <c r="G17" i="18"/>
  <c r="F17" i="18"/>
  <c r="E17" i="18"/>
  <c r="I14" i="18"/>
  <c r="H14" i="18"/>
  <c r="G14" i="18"/>
  <c r="F14" i="18"/>
  <c r="E14" i="18"/>
  <c r="I13" i="18"/>
  <c r="H13" i="18"/>
  <c r="G13" i="18"/>
  <c r="F13" i="18"/>
  <c r="E13" i="18"/>
  <c r="I12" i="18"/>
  <c r="H12" i="18"/>
  <c r="G12" i="18"/>
  <c r="F12" i="18"/>
  <c r="E12" i="18"/>
  <c r="F11" i="18"/>
  <c r="I9" i="18"/>
  <c r="H9" i="18"/>
  <c r="G9" i="18"/>
  <c r="G62" i="18" s="1"/>
  <c r="F9" i="18"/>
  <c r="E9" i="18"/>
  <c r="E32" i="18" s="1"/>
  <c r="D9" i="18"/>
  <c r="I46" i="4"/>
  <c r="I46" i="3"/>
  <c r="I259" i="5"/>
  <c r="I238" i="6"/>
  <c r="I232" i="6"/>
  <c r="I219" i="6"/>
  <c r="I206" i="6"/>
  <c r="I70" i="6"/>
  <c r="I62" i="6"/>
  <c r="I51" i="6"/>
  <c r="I46" i="6"/>
  <c r="I45" i="6"/>
  <c r="I30" i="6"/>
  <c r="I11" i="6"/>
  <c r="I259" i="4"/>
  <c r="I238" i="4"/>
  <c r="I232" i="4"/>
  <c r="I219" i="4"/>
  <c r="I206" i="4"/>
  <c r="I122" i="4"/>
  <c r="J122" i="4" s="1"/>
  <c r="K122" i="4" s="1"/>
  <c r="I121" i="4"/>
  <c r="J121" i="4" s="1"/>
  <c r="K121" i="4" s="1"/>
  <c r="I70" i="4"/>
  <c r="I45" i="4"/>
  <c r="I30" i="4"/>
  <c r="I11" i="4"/>
  <c r="I109" i="3"/>
  <c r="J109" i="3" s="1"/>
  <c r="K109" i="3" s="1"/>
  <c r="I70" i="3"/>
  <c r="I45" i="3"/>
  <c r="I30" i="3"/>
  <c r="I259" i="2"/>
  <c r="I238" i="2"/>
  <c r="I232" i="2"/>
  <c r="I219" i="2"/>
  <c r="I206" i="2"/>
  <c r="I193" i="2"/>
  <c r="I70" i="2"/>
  <c r="I51" i="2"/>
  <c r="I46" i="2"/>
  <c r="I45" i="2"/>
  <c r="I30" i="2"/>
  <c r="I11" i="2"/>
  <c r="I238" i="1"/>
  <c r="I232" i="1"/>
  <c r="I219" i="1"/>
  <c r="I206" i="1"/>
  <c r="I134" i="1"/>
  <c r="I70" i="1"/>
  <c r="I62" i="1"/>
  <c r="I51" i="1"/>
  <c r="I46" i="1"/>
  <c r="I45" i="1"/>
  <c r="I30" i="1"/>
  <c r="I11" i="1"/>
  <c r="H259" i="5"/>
  <c r="H238" i="5"/>
  <c r="H232" i="5"/>
  <c r="H219" i="5"/>
  <c r="H206" i="5"/>
  <c r="D101" i="5"/>
  <c r="P101" i="5"/>
  <c r="P102" i="5"/>
  <c r="P103" i="5"/>
  <c r="P104" i="5"/>
  <c r="D105" i="5"/>
  <c r="E105" i="5"/>
  <c r="F105" i="5"/>
  <c r="G105" i="5"/>
  <c r="H105" i="5"/>
  <c r="I105" i="5"/>
  <c r="J105" i="5"/>
  <c r="K105" i="5"/>
  <c r="L105" i="5"/>
  <c r="M105" i="5"/>
  <c r="N105" i="5"/>
  <c r="P105" i="5"/>
  <c r="H70" i="5"/>
  <c r="H62" i="5"/>
  <c r="H51" i="5"/>
  <c r="H46" i="5"/>
  <c r="H45" i="5"/>
  <c r="H30" i="5"/>
  <c r="H11" i="5"/>
  <c r="H238" i="6"/>
  <c r="H232" i="6"/>
  <c r="H219" i="6"/>
  <c r="H206" i="6"/>
  <c r="H70" i="6"/>
  <c r="H62" i="6"/>
  <c r="H51" i="6"/>
  <c r="H46" i="6"/>
  <c r="H45" i="6"/>
  <c r="H30" i="6"/>
  <c r="H11" i="6"/>
  <c r="H256" i="3"/>
  <c r="H259" i="3" s="1"/>
  <c r="H62" i="3"/>
  <c r="H46" i="3"/>
  <c r="H45" i="3"/>
  <c r="H30" i="3"/>
  <c r="H259" i="4"/>
  <c r="H258" i="4"/>
  <c r="H238" i="4"/>
  <c r="H232" i="4"/>
  <c r="H219" i="4"/>
  <c r="H206" i="4"/>
  <c r="H82" i="4"/>
  <c r="H70" i="4"/>
  <c r="H62" i="4"/>
  <c r="F46" i="2"/>
  <c r="G46" i="2"/>
  <c r="H46" i="2"/>
  <c r="E46" i="2"/>
  <c r="D46" i="2"/>
  <c r="E46" i="18" s="1"/>
  <c r="H46" i="1"/>
  <c r="H46" i="4"/>
  <c r="H45" i="4"/>
  <c r="H30" i="4"/>
  <c r="H11" i="4"/>
  <c r="H259" i="2"/>
  <c r="H258" i="2"/>
  <c r="H238" i="2"/>
  <c r="H232" i="2"/>
  <c r="H219" i="2"/>
  <c r="H206" i="2"/>
  <c r="H70" i="2"/>
  <c r="H62" i="2"/>
  <c r="H51" i="2"/>
  <c r="G45" i="2"/>
  <c r="H45" i="2"/>
  <c r="H30" i="2"/>
  <c r="H11" i="2"/>
  <c r="G259" i="1"/>
  <c r="G258" i="1"/>
  <c r="H259" i="1"/>
  <c r="H258" i="1"/>
  <c r="H238" i="1"/>
  <c r="H232" i="1"/>
  <c r="H219" i="1"/>
  <c r="G219" i="1"/>
  <c r="H206" i="1"/>
  <c r="H82" i="1"/>
  <c r="H76" i="1"/>
  <c r="H70" i="1"/>
  <c r="H51" i="1"/>
  <c r="H45" i="1"/>
  <c r="H30" i="1"/>
  <c r="H11" i="1"/>
  <c r="H258" i="3" l="1"/>
  <c r="F34" i="18"/>
  <c r="J33" i="18"/>
  <c r="G111" i="18"/>
  <c r="E117" i="18"/>
  <c r="F236" i="18"/>
  <c r="I247" i="18"/>
  <c r="G121" i="18"/>
  <c r="G123" i="18" s="1"/>
  <c r="G144" i="18"/>
  <c r="J169" i="18"/>
  <c r="G34" i="18"/>
  <c r="E40" i="18"/>
  <c r="E70" i="18"/>
  <c r="J85" i="18"/>
  <c r="E88" i="18"/>
  <c r="G146" i="18"/>
  <c r="D263" i="18"/>
  <c r="G32" i="18"/>
  <c r="F76" i="18"/>
  <c r="F88" i="18"/>
  <c r="F89" i="18" s="1"/>
  <c r="D123" i="18"/>
  <c r="F145" i="18"/>
  <c r="H146" i="18"/>
  <c r="E45" i="18"/>
  <c r="G90" i="18"/>
  <c r="E38" i="18"/>
  <c r="G40" i="18"/>
  <c r="G88" i="18"/>
  <c r="G89" i="18" s="1"/>
  <c r="F109" i="18"/>
  <c r="G134" i="18"/>
  <c r="J234" i="18"/>
  <c r="F247" i="18"/>
  <c r="E93" i="18"/>
  <c r="G30" i="18"/>
  <c r="E111" i="18"/>
  <c r="E118" i="18" s="1"/>
  <c r="D129" i="18"/>
  <c r="H139" i="18"/>
  <c r="H204" i="18"/>
  <c r="I34" i="18"/>
  <c r="J202" i="18"/>
  <c r="J125" i="18"/>
  <c r="I70" i="18"/>
  <c r="I129" i="18"/>
  <c r="I216" i="18"/>
  <c r="J201" i="18"/>
  <c r="J187" i="18"/>
  <c r="I32" i="18"/>
  <c r="I45" i="18"/>
  <c r="I62" i="18"/>
  <c r="J196" i="18"/>
  <c r="J63" i="18"/>
  <c r="J190" i="18"/>
  <c r="I38" i="18"/>
  <c r="J141" i="18"/>
  <c r="J162" i="18"/>
  <c r="J170" i="18"/>
  <c r="I139" i="18"/>
  <c r="J175" i="18"/>
  <c r="I82" i="18"/>
  <c r="I83" i="18" s="1"/>
  <c r="J164" i="18"/>
  <c r="J225" i="18"/>
  <c r="J240" i="18"/>
  <c r="J235" i="18"/>
  <c r="J154" i="18"/>
  <c r="J156" i="18"/>
  <c r="J49" i="18"/>
  <c r="H32" i="18"/>
  <c r="E47" i="18"/>
  <c r="E62" i="18"/>
  <c r="J157" i="18"/>
  <c r="I193" i="18"/>
  <c r="E91" i="18"/>
  <c r="E256" i="18" s="1"/>
  <c r="E258" i="18" s="1"/>
  <c r="I93" i="18"/>
  <c r="E83" i="18"/>
  <c r="I111" i="18"/>
  <c r="H134" i="18"/>
  <c r="G145" i="18"/>
  <c r="H193" i="18"/>
  <c r="J165" i="18"/>
  <c r="J168" i="18"/>
  <c r="J215" i="18"/>
  <c r="J221" i="18"/>
  <c r="J254" i="18"/>
  <c r="J50" i="18"/>
  <c r="H92" i="18"/>
  <c r="F83" i="18"/>
  <c r="J110" i="18"/>
  <c r="J167" i="18"/>
  <c r="J214" i="18"/>
  <c r="J253" i="18"/>
  <c r="E30" i="18"/>
  <c r="J35" i="18"/>
  <c r="H40" i="18"/>
  <c r="I91" i="18"/>
  <c r="I256" i="18" s="1"/>
  <c r="I258" i="18" s="1"/>
  <c r="J131" i="18"/>
  <c r="J143" i="18"/>
  <c r="J186" i="18"/>
  <c r="J195" i="18"/>
  <c r="H45" i="18"/>
  <c r="D105" i="18"/>
  <c r="H129" i="18"/>
  <c r="I144" i="18"/>
  <c r="J180" i="18"/>
  <c r="J226" i="18"/>
  <c r="G21" i="18"/>
  <c r="D30" i="18"/>
  <c r="E34" i="18"/>
  <c r="I76" i="18"/>
  <c r="I77" i="18" s="1"/>
  <c r="I105" i="18"/>
  <c r="F123" i="18"/>
  <c r="F129" i="18"/>
  <c r="G129" i="18"/>
  <c r="D139" i="18"/>
  <c r="F139" i="18"/>
  <c r="H147" i="18"/>
  <c r="G204" i="18"/>
  <c r="F210" i="18"/>
  <c r="E247" i="18"/>
  <c r="F263" i="18"/>
  <c r="I71" i="18"/>
  <c r="E92" i="18"/>
  <c r="E94" i="18" s="1"/>
  <c r="I146" i="18"/>
  <c r="J138" i="18"/>
  <c r="G70" i="18"/>
  <c r="G83" i="18"/>
  <c r="G193" i="18"/>
  <c r="J233" i="18"/>
  <c r="G38" i="18"/>
  <c r="J69" i="18"/>
  <c r="F111" i="18"/>
  <c r="H111" i="18"/>
  <c r="E134" i="18"/>
  <c r="J185" i="18"/>
  <c r="H38" i="18"/>
  <c r="J104" i="18"/>
  <c r="F147" i="18"/>
  <c r="J160" i="18"/>
  <c r="J184" i="18"/>
  <c r="J189" i="18"/>
  <c r="H105" i="18"/>
  <c r="J142" i="18"/>
  <c r="J163" i="18"/>
  <c r="J178" i="18"/>
  <c r="J182" i="18"/>
  <c r="F21" i="18"/>
  <c r="E41" i="18"/>
  <c r="D34" i="18"/>
  <c r="H62" i="18"/>
  <c r="D70" i="18"/>
  <c r="D71" i="18" s="1"/>
  <c r="F93" i="18"/>
  <c r="H77" i="18"/>
  <c r="D93" i="18"/>
  <c r="G76" i="18"/>
  <c r="G77" i="18" s="1"/>
  <c r="F82" i="18"/>
  <c r="H82" i="18"/>
  <c r="H83" i="18" s="1"/>
  <c r="I90" i="18"/>
  <c r="I147" i="18"/>
  <c r="J173" i="18"/>
  <c r="E229" i="18"/>
  <c r="H229" i="18"/>
  <c r="J239" i="18"/>
  <c r="H247" i="18"/>
  <c r="G263" i="18"/>
  <c r="J262" i="18"/>
  <c r="J171" i="18"/>
  <c r="J177" i="18"/>
  <c r="I204" i="18"/>
  <c r="J203" i="18"/>
  <c r="F229" i="18"/>
  <c r="G229" i="18"/>
  <c r="D94" i="18"/>
  <c r="D258" i="18"/>
  <c r="D41" i="18"/>
  <c r="D62" i="18"/>
  <c r="J61" i="18"/>
  <c r="J136" i="18"/>
  <c r="E146" i="18"/>
  <c r="D145" i="18"/>
  <c r="F62" i="18"/>
  <c r="E71" i="18"/>
  <c r="E90" i="18"/>
  <c r="F91" i="18"/>
  <c r="F256" i="18" s="1"/>
  <c r="F258" i="18" s="1"/>
  <c r="J140" i="18"/>
  <c r="G41" i="18"/>
  <c r="J37" i="18"/>
  <c r="I117" i="18"/>
  <c r="H117" i="18"/>
  <c r="J181" i="18"/>
  <c r="J9" i="18"/>
  <c r="J34" i="18" s="1"/>
  <c r="H30" i="18"/>
  <c r="H41" i="18"/>
  <c r="J73" i="18"/>
  <c r="G92" i="18"/>
  <c r="D134" i="18"/>
  <c r="D144" i="18"/>
  <c r="J212" i="18"/>
  <c r="E216" i="18"/>
  <c r="J227" i="18"/>
  <c r="I41" i="18"/>
  <c r="I30" i="18"/>
  <c r="J72" i="18"/>
  <c r="J108" i="18"/>
  <c r="J132" i="18"/>
  <c r="E144" i="18"/>
  <c r="J29" i="18"/>
  <c r="D40" i="18"/>
  <c r="J39" i="18"/>
  <c r="F45" i="18"/>
  <c r="J54" i="18"/>
  <c r="J79" i="18"/>
  <c r="J98" i="18"/>
  <c r="J101" i="18"/>
  <c r="J103" i="18"/>
  <c r="J109" i="18"/>
  <c r="D117" i="18"/>
  <c r="J127" i="18"/>
  <c r="D148" i="18"/>
  <c r="J133" i="18"/>
  <c r="J135" i="18"/>
  <c r="D147" i="18"/>
  <c r="E193" i="18"/>
  <c r="J208" i="18"/>
  <c r="G216" i="18"/>
  <c r="J222" i="18"/>
  <c r="F242" i="18"/>
  <c r="J246" i="18"/>
  <c r="F40" i="18"/>
  <c r="D32" i="18"/>
  <c r="J31" i="18"/>
  <c r="F41" i="18"/>
  <c r="J66" i="18"/>
  <c r="D90" i="18"/>
  <c r="E147" i="18"/>
  <c r="F148" i="18"/>
  <c r="G91" i="18"/>
  <c r="G256" i="18" s="1"/>
  <c r="G258" i="18" s="1"/>
  <c r="D247" i="18"/>
  <c r="J245" i="18"/>
  <c r="F32" i="18"/>
  <c r="H91" i="18"/>
  <c r="H256" i="18" s="1"/>
  <c r="H258" i="18" s="1"/>
  <c r="J87" i="18"/>
  <c r="D88" i="18"/>
  <c r="D89" i="18" s="1"/>
  <c r="F216" i="18"/>
  <c r="F217" i="18" s="1"/>
  <c r="J213" i="18"/>
  <c r="H21" i="18"/>
  <c r="H89" i="18"/>
  <c r="J159" i="18"/>
  <c r="J199" i="18"/>
  <c r="I21" i="18"/>
  <c r="J74" i="18"/>
  <c r="J76" i="18" s="1"/>
  <c r="D92" i="18"/>
  <c r="I89" i="18"/>
  <c r="I92" i="18"/>
  <c r="J137" i="18"/>
  <c r="F144" i="18"/>
  <c r="J153" i="18"/>
  <c r="D193" i="18"/>
  <c r="J158" i="18"/>
  <c r="J200" i="18"/>
  <c r="F15" i="18"/>
  <c r="F38" i="18"/>
  <c r="J67" i="18"/>
  <c r="F70" i="18"/>
  <c r="F71" i="18" s="1"/>
  <c r="F92" i="18"/>
  <c r="H70" i="18"/>
  <c r="H71" i="18" s="1"/>
  <c r="H93" i="18"/>
  <c r="H94" i="18" s="1"/>
  <c r="J78" i="18"/>
  <c r="J81" i="18"/>
  <c r="J82" i="18" s="1"/>
  <c r="H90" i="18"/>
  <c r="G105" i="18"/>
  <c r="F105" i="18"/>
  <c r="H145" i="18"/>
  <c r="J128" i="18"/>
  <c r="I145" i="18"/>
  <c r="I134" i="18"/>
  <c r="F193" i="18"/>
  <c r="J191" i="18"/>
  <c r="J192" i="18"/>
  <c r="E204" i="18"/>
  <c r="J207" i="18"/>
  <c r="J220" i="18"/>
  <c r="D229" i="18"/>
  <c r="J241" i="18"/>
  <c r="H263" i="18"/>
  <c r="J261" i="18"/>
  <c r="J263" i="18" s="1"/>
  <c r="D77" i="18"/>
  <c r="F134" i="18"/>
  <c r="H216" i="18"/>
  <c r="J257" i="18"/>
  <c r="I263" i="18"/>
  <c r="D38" i="18"/>
  <c r="G71" i="18"/>
  <c r="E89" i="18"/>
  <c r="J84" i="18"/>
  <c r="J107" i="18"/>
  <c r="D111" i="18"/>
  <c r="D118" i="18" s="1"/>
  <c r="G147" i="18"/>
  <c r="G149" i="18" s="1"/>
  <c r="H148" i="18"/>
  <c r="J130" i="18"/>
  <c r="H144" i="18"/>
  <c r="J209" i="18"/>
  <c r="F90" i="18"/>
  <c r="E76" i="18"/>
  <c r="E77" i="18" s="1"/>
  <c r="J126" i="18"/>
  <c r="D146" i="18"/>
  <c r="E139" i="18"/>
  <c r="J155" i="18"/>
  <c r="J161" i="18"/>
  <c r="J174" i="18"/>
  <c r="D204" i="18"/>
  <c r="F30" i="18"/>
  <c r="H34" i="18"/>
  <c r="J55" i="18"/>
  <c r="F77" i="18"/>
  <c r="E105" i="18"/>
  <c r="J102" i="18"/>
  <c r="E145" i="18"/>
  <c r="F146" i="18"/>
  <c r="G139" i="18"/>
  <c r="J172" i="18"/>
  <c r="J179" i="18"/>
  <c r="J197" i="18"/>
  <c r="F204" i="18"/>
  <c r="F223" i="18"/>
  <c r="I229" i="18"/>
  <c r="J228" i="18"/>
  <c r="J68" i="18"/>
  <c r="E129" i="18"/>
  <c r="F230" i="18" l="1"/>
  <c r="D119" i="18"/>
  <c r="J70" i="18"/>
  <c r="J71" i="18" s="1"/>
  <c r="F149" i="18"/>
  <c r="E119" i="18"/>
  <c r="J89" i="18"/>
  <c r="H118" i="18"/>
  <c r="H119" i="18" s="1"/>
  <c r="F250" i="18"/>
  <c r="I118" i="18"/>
  <c r="I119" i="18" s="1"/>
  <c r="I149" i="18"/>
  <c r="J247" i="18"/>
  <c r="J148" i="18"/>
  <c r="J30" i="18"/>
  <c r="H230" i="18"/>
  <c r="E95" i="18"/>
  <c r="E255" i="18" s="1"/>
  <c r="E259" i="18" s="1"/>
  <c r="F251" i="18"/>
  <c r="F22" i="18"/>
  <c r="F24" i="18" s="1"/>
  <c r="F25" i="18" s="1"/>
  <c r="H149" i="18"/>
  <c r="J111" i="18"/>
  <c r="J77" i="18"/>
  <c r="J40" i="18"/>
  <c r="J144" i="18"/>
  <c r="E42" i="18"/>
  <c r="J256" i="18"/>
  <c r="J258" i="18" s="1"/>
  <c r="J204" i="18"/>
  <c r="J41" i="18"/>
  <c r="J42" i="18" s="1"/>
  <c r="D42" i="18"/>
  <c r="J90" i="18"/>
  <c r="D95" i="18"/>
  <c r="D255" i="18" s="1"/>
  <c r="D259" i="18" s="1"/>
  <c r="J105" i="18"/>
  <c r="I42" i="18"/>
  <c r="H42" i="18"/>
  <c r="D149" i="18"/>
  <c r="J93" i="18"/>
  <c r="J216" i="18"/>
  <c r="J129" i="18"/>
  <c r="J92" i="18"/>
  <c r="H95" i="18"/>
  <c r="H255" i="18" s="1"/>
  <c r="H259" i="18" s="1"/>
  <c r="J147" i="18"/>
  <c r="J38" i="18"/>
  <c r="E149" i="18"/>
  <c r="J146" i="18"/>
  <c r="J134" i="18"/>
  <c r="J229" i="18"/>
  <c r="J145" i="18"/>
  <c r="F42" i="18"/>
  <c r="G42" i="18"/>
  <c r="J62" i="18"/>
  <c r="J139" i="18"/>
  <c r="F243" i="18"/>
  <c r="J83" i="18"/>
  <c r="J193" i="18"/>
  <c r="J91" i="18"/>
  <c r="J32" i="18"/>
  <c r="F94" i="18"/>
  <c r="F95" i="18" s="1"/>
  <c r="F255" i="18" s="1"/>
  <c r="F259" i="18" s="1"/>
  <c r="G94" i="18"/>
  <c r="G95" i="18" s="1"/>
  <c r="G255" i="18" s="1"/>
  <c r="G259" i="18" s="1"/>
  <c r="I94" i="18"/>
  <c r="I95" i="18" s="1"/>
  <c r="I255" i="18" s="1"/>
  <c r="I259" i="18" s="1"/>
  <c r="I61" i="12"/>
  <c r="I262" i="12"/>
  <c r="I261" i="12"/>
  <c r="I257" i="12"/>
  <c r="I254" i="12"/>
  <c r="I253" i="12"/>
  <c r="I246" i="12"/>
  <c r="I245" i="12"/>
  <c r="I239" i="12"/>
  <c r="I240" i="12"/>
  <c r="I241" i="12"/>
  <c r="I233" i="12"/>
  <c r="I234" i="12"/>
  <c r="I235" i="12"/>
  <c r="I226" i="12"/>
  <c r="I227" i="12"/>
  <c r="I228" i="12"/>
  <c r="I225" i="12"/>
  <c r="I220" i="12"/>
  <c r="I221" i="12"/>
  <c r="I222" i="12"/>
  <c r="I213" i="12"/>
  <c r="I214" i="12"/>
  <c r="I215" i="12"/>
  <c r="I212" i="12"/>
  <c r="I200" i="12"/>
  <c r="I201" i="12"/>
  <c r="I202" i="12"/>
  <c r="I203" i="12"/>
  <c r="I199" i="12"/>
  <c r="I197" i="12"/>
  <c r="I196" i="12"/>
  <c r="I195" i="12"/>
  <c r="I194" i="12"/>
  <c r="I190" i="12"/>
  <c r="I191" i="12"/>
  <c r="I192" i="12"/>
  <c r="I189" i="12"/>
  <c r="I185" i="12"/>
  <c r="I186" i="12"/>
  <c r="I187" i="12"/>
  <c r="I184" i="12"/>
  <c r="I178" i="12"/>
  <c r="I179" i="12"/>
  <c r="I180" i="12"/>
  <c r="I181" i="12"/>
  <c r="I182" i="12"/>
  <c r="I177" i="12"/>
  <c r="I168" i="12"/>
  <c r="I169" i="12"/>
  <c r="I170" i="12"/>
  <c r="I171" i="12"/>
  <c r="I172" i="12"/>
  <c r="I173" i="12"/>
  <c r="I174" i="12"/>
  <c r="I175" i="12"/>
  <c r="I167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53" i="12"/>
  <c r="I142" i="12"/>
  <c r="I143" i="12"/>
  <c r="I141" i="12"/>
  <c r="I138" i="12"/>
  <c r="I137" i="12"/>
  <c r="I136" i="12"/>
  <c r="I133" i="12"/>
  <c r="I132" i="12"/>
  <c r="I131" i="12"/>
  <c r="I128" i="12"/>
  <c r="I127" i="12"/>
  <c r="I126" i="12"/>
  <c r="I114" i="12"/>
  <c r="I115" i="12"/>
  <c r="I116" i="12"/>
  <c r="I113" i="12"/>
  <c r="I102" i="12"/>
  <c r="I103" i="12"/>
  <c r="I104" i="12"/>
  <c r="I101" i="12"/>
  <c r="I207" i="12"/>
  <c r="I208" i="12"/>
  <c r="I209" i="12"/>
  <c r="I98" i="12"/>
  <c r="I87" i="12"/>
  <c r="I86" i="12"/>
  <c r="I85" i="12"/>
  <c r="H84" i="12"/>
  <c r="I81" i="12"/>
  <c r="I80" i="12"/>
  <c r="I79" i="12"/>
  <c r="I78" i="12"/>
  <c r="I75" i="12"/>
  <c r="I74" i="12"/>
  <c r="I73" i="12"/>
  <c r="I72" i="12"/>
  <c r="I69" i="12"/>
  <c r="I68" i="12"/>
  <c r="I67" i="12"/>
  <c r="I66" i="12"/>
  <c r="I63" i="12"/>
  <c r="I55" i="12"/>
  <c r="I56" i="12"/>
  <c r="I54" i="12"/>
  <c r="I50" i="12"/>
  <c r="I52" i="12"/>
  <c r="I49" i="12"/>
  <c r="I44" i="12"/>
  <c r="I37" i="12"/>
  <c r="I39" i="12"/>
  <c r="I31" i="12"/>
  <c r="I33" i="12"/>
  <c r="I35" i="12"/>
  <c r="I36" i="12"/>
  <c r="I29" i="12"/>
  <c r="I18" i="12"/>
  <c r="I19" i="12"/>
  <c r="I20" i="12"/>
  <c r="I17" i="12"/>
  <c r="I12" i="12"/>
  <c r="I13" i="12"/>
  <c r="I14" i="12"/>
  <c r="I9" i="12"/>
  <c r="E262" i="11"/>
  <c r="F262" i="11"/>
  <c r="G262" i="11"/>
  <c r="H262" i="11"/>
  <c r="I262" i="11"/>
  <c r="J262" i="11"/>
  <c r="K262" i="11"/>
  <c r="L262" i="11"/>
  <c r="M262" i="11"/>
  <c r="N262" i="11"/>
  <c r="O262" i="11"/>
  <c r="E261" i="11"/>
  <c r="F261" i="11"/>
  <c r="G261" i="11"/>
  <c r="H261" i="11"/>
  <c r="I261" i="11"/>
  <c r="J261" i="11"/>
  <c r="K261" i="11"/>
  <c r="L261" i="11"/>
  <c r="M261" i="11"/>
  <c r="N261" i="11"/>
  <c r="O261" i="11"/>
  <c r="E257" i="11"/>
  <c r="F257" i="11"/>
  <c r="G257" i="11"/>
  <c r="H257" i="11"/>
  <c r="I257" i="11"/>
  <c r="J257" i="11"/>
  <c r="K257" i="11"/>
  <c r="L257" i="11"/>
  <c r="M257" i="11"/>
  <c r="N257" i="11"/>
  <c r="O257" i="11"/>
  <c r="E254" i="11"/>
  <c r="F254" i="11"/>
  <c r="G254" i="11"/>
  <c r="H254" i="11"/>
  <c r="I254" i="11"/>
  <c r="J254" i="11"/>
  <c r="K254" i="11"/>
  <c r="L254" i="11"/>
  <c r="M254" i="11"/>
  <c r="N254" i="11"/>
  <c r="O254" i="11"/>
  <c r="E253" i="11"/>
  <c r="F253" i="11"/>
  <c r="G253" i="11"/>
  <c r="H253" i="11"/>
  <c r="I253" i="11"/>
  <c r="J253" i="11"/>
  <c r="K253" i="11"/>
  <c r="L253" i="11"/>
  <c r="M253" i="11"/>
  <c r="N253" i="11"/>
  <c r="O253" i="11"/>
  <c r="E246" i="11"/>
  <c r="F246" i="11"/>
  <c r="G246" i="11"/>
  <c r="H246" i="11"/>
  <c r="I246" i="11"/>
  <c r="J246" i="11"/>
  <c r="K246" i="11"/>
  <c r="L246" i="11"/>
  <c r="M246" i="11"/>
  <c r="N246" i="11"/>
  <c r="O246" i="11"/>
  <c r="E245" i="11"/>
  <c r="F245" i="11"/>
  <c r="G245" i="11"/>
  <c r="H245" i="11"/>
  <c r="I245" i="11"/>
  <c r="J245" i="11"/>
  <c r="K245" i="11"/>
  <c r="L245" i="11"/>
  <c r="M245" i="11"/>
  <c r="N245" i="11"/>
  <c r="O245" i="11"/>
  <c r="E241" i="11"/>
  <c r="F241" i="11"/>
  <c r="G241" i="11"/>
  <c r="H241" i="11"/>
  <c r="I241" i="11"/>
  <c r="J241" i="11"/>
  <c r="K241" i="11"/>
  <c r="L241" i="11"/>
  <c r="M241" i="11"/>
  <c r="N241" i="11"/>
  <c r="O241" i="11"/>
  <c r="E240" i="11"/>
  <c r="F240" i="11"/>
  <c r="G240" i="11"/>
  <c r="H240" i="11"/>
  <c r="I240" i="11"/>
  <c r="J240" i="11"/>
  <c r="K240" i="11"/>
  <c r="L240" i="11"/>
  <c r="M240" i="11"/>
  <c r="N240" i="11"/>
  <c r="O240" i="11"/>
  <c r="E239" i="11"/>
  <c r="F239" i="11"/>
  <c r="G239" i="11"/>
  <c r="H239" i="11"/>
  <c r="I239" i="11"/>
  <c r="J239" i="11"/>
  <c r="K239" i="11"/>
  <c r="L239" i="11"/>
  <c r="M239" i="11"/>
  <c r="N239" i="11"/>
  <c r="O239" i="11"/>
  <c r="H238" i="11"/>
  <c r="I238" i="11"/>
  <c r="J238" i="11"/>
  <c r="K238" i="11"/>
  <c r="L238" i="11"/>
  <c r="M238" i="11"/>
  <c r="N238" i="11"/>
  <c r="O238" i="11"/>
  <c r="E235" i="11"/>
  <c r="F235" i="11"/>
  <c r="G235" i="11"/>
  <c r="H235" i="11"/>
  <c r="I235" i="11"/>
  <c r="J235" i="11"/>
  <c r="K235" i="11"/>
  <c r="L235" i="11"/>
  <c r="M235" i="11"/>
  <c r="N235" i="11"/>
  <c r="O235" i="11"/>
  <c r="E234" i="11"/>
  <c r="F234" i="11"/>
  <c r="G234" i="11"/>
  <c r="H234" i="11"/>
  <c r="I234" i="11"/>
  <c r="J234" i="11"/>
  <c r="K234" i="11"/>
  <c r="L234" i="11"/>
  <c r="M234" i="11"/>
  <c r="N234" i="11"/>
  <c r="O234" i="11"/>
  <c r="E233" i="11"/>
  <c r="F233" i="11"/>
  <c r="G233" i="11"/>
  <c r="H233" i="11"/>
  <c r="I233" i="11"/>
  <c r="J233" i="11"/>
  <c r="K233" i="11"/>
  <c r="L233" i="11"/>
  <c r="M233" i="11"/>
  <c r="N233" i="11"/>
  <c r="O233" i="11"/>
  <c r="H232" i="11"/>
  <c r="I232" i="11"/>
  <c r="J232" i="11"/>
  <c r="K232" i="11"/>
  <c r="L232" i="11"/>
  <c r="M232" i="11"/>
  <c r="N232" i="11"/>
  <c r="O232" i="11"/>
  <c r="E228" i="11"/>
  <c r="F228" i="11"/>
  <c r="G228" i="11"/>
  <c r="H228" i="11"/>
  <c r="I228" i="11"/>
  <c r="J228" i="11"/>
  <c r="K228" i="11"/>
  <c r="L228" i="11"/>
  <c r="M228" i="11"/>
  <c r="N228" i="11"/>
  <c r="O228" i="11"/>
  <c r="E227" i="11"/>
  <c r="F227" i="11"/>
  <c r="G227" i="11"/>
  <c r="H227" i="11"/>
  <c r="I227" i="11"/>
  <c r="J227" i="11"/>
  <c r="K227" i="11"/>
  <c r="L227" i="11"/>
  <c r="M227" i="11"/>
  <c r="N227" i="11"/>
  <c r="O227" i="11"/>
  <c r="E226" i="11"/>
  <c r="F226" i="11"/>
  <c r="G226" i="11"/>
  <c r="H226" i="11"/>
  <c r="I226" i="11"/>
  <c r="J226" i="11"/>
  <c r="K226" i="11"/>
  <c r="L226" i="11"/>
  <c r="M226" i="11"/>
  <c r="N226" i="11"/>
  <c r="O226" i="11"/>
  <c r="E225" i="11"/>
  <c r="F225" i="11"/>
  <c r="G225" i="11"/>
  <c r="H225" i="11"/>
  <c r="I225" i="11"/>
  <c r="J225" i="11"/>
  <c r="K225" i="11"/>
  <c r="L225" i="11"/>
  <c r="M225" i="11"/>
  <c r="N225" i="11"/>
  <c r="O225" i="11"/>
  <c r="E222" i="11"/>
  <c r="F222" i="11"/>
  <c r="G222" i="11"/>
  <c r="H222" i="11"/>
  <c r="I222" i="11"/>
  <c r="J222" i="11"/>
  <c r="K222" i="11"/>
  <c r="L222" i="11"/>
  <c r="M222" i="11"/>
  <c r="N222" i="11"/>
  <c r="O222" i="11"/>
  <c r="E221" i="11"/>
  <c r="F221" i="11"/>
  <c r="G221" i="11"/>
  <c r="H221" i="11"/>
  <c r="I221" i="11"/>
  <c r="J221" i="11"/>
  <c r="K221" i="11"/>
  <c r="L221" i="11"/>
  <c r="M221" i="11"/>
  <c r="N221" i="11"/>
  <c r="O221" i="11"/>
  <c r="E220" i="11"/>
  <c r="F220" i="11"/>
  <c r="G220" i="11"/>
  <c r="H220" i="11"/>
  <c r="I220" i="11"/>
  <c r="J220" i="11"/>
  <c r="K220" i="11"/>
  <c r="L220" i="11"/>
  <c r="M220" i="11"/>
  <c r="N220" i="11"/>
  <c r="O220" i="11"/>
  <c r="H219" i="11"/>
  <c r="I219" i="11"/>
  <c r="J219" i="11"/>
  <c r="K219" i="11"/>
  <c r="L219" i="11"/>
  <c r="M219" i="11"/>
  <c r="N219" i="11"/>
  <c r="O219" i="11"/>
  <c r="E215" i="11"/>
  <c r="F215" i="11"/>
  <c r="G215" i="11"/>
  <c r="H215" i="11"/>
  <c r="I215" i="11"/>
  <c r="J215" i="11"/>
  <c r="K215" i="11"/>
  <c r="L215" i="11"/>
  <c r="M215" i="11"/>
  <c r="N215" i="11"/>
  <c r="O215" i="11"/>
  <c r="E214" i="11"/>
  <c r="F214" i="11"/>
  <c r="G214" i="11"/>
  <c r="H214" i="11"/>
  <c r="I214" i="11"/>
  <c r="J214" i="11"/>
  <c r="K214" i="11"/>
  <c r="L214" i="11"/>
  <c r="M214" i="11"/>
  <c r="N214" i="11"/>
  <c r="O214" i="11"/>
  <c r="E213" i="11"/>
  <c r="F213" i="11"/>
  <c r="G213" i="11"/>
  <c r="H213" i="11"/>
  <c r="I213" i="11"/>
  <c r="J213" i="11"/>
  <c r="K213" i="11"/>
  <c r="L213" i="11"/>
  <c r="M213" i="11"/>
  <c r="N213" i="11"/>
  <c r="O213" i="11"/>
  <c r="E212" i="11"/>
  <c r="F212" i="11"/>
  <c r="G212" i="11"/>
  <c r="H212" i="11"/>
  <c r="I212" i="11"/>
  <c r="J212" i="11"/>
  <c r="K212" i="11"/>
  <c r="L212" i="11"/>
  <c r="M212" i="11"/>
  <c r="N212" i="11"/>
  <c r="O212" i="11"/>
  <c r="E209" i="11"/>
  <c r="F209" i="11"/>
  <c r="G209" i="11"/>
  <c r="H209" i="11"/>
  <c r="I209" i="11"/>
  <c r="J209" i="11"/>
  <c r="K209" i="11"/>
  <c r="L209" i="11"/>
  <c r="M209" i="11"/>
  <c r="N209" i="11"/>
  <c r="O209" i="11"/>
  <c r="E208" i="11"/>
  <c r="F208" i="11"/>
  <c r="G208" i="11"/>
  <c r="H208" i="11"/>
  <c r="I208" i="11"/>
  <c r="J208" i="11"/>
  <c r="K208" i="11"/>
  <c r="L208" i="11"/>
  <c r="M208" i="11"/>
  <c r="N208" i="11"/>
  <c r="O208" i="11"/>
  <c r="E207" i="11"/>
  <c r="F207" i="11"/>
  <c r="G207" i="11"/>
  <c r="H207" i="11"/>
  <c r="I207" i="11"/>
  <c r="J207" i="11"/>
  <c r="K207" i="11"/>
  <c r="L207" i="11"/>
  <c r="M207" i="11"/>
  <c r="N207" i="11"/>
  <c r="O207" i="11"/>
  <c r="H206" i="11"/>
  <c r="I206" i="11"/>
  <c r="J206" i="11"/>
  <c r="K206" i="11"/>
  <c r="L206" i="11"/>
  <c r="M206" i="11"/>
  <c r="N206" i="11"/>
  <c r="O206" i="11"/>
  <c r="E203" i="11"/>
  <c r="F203" i="11"/>
  <c r="G203" i="11"/>
  <c r="H203" i="11"/>
  <c r="I203" i="11"/>
  <c r="J203" i="11"/>
  <c r="K203" i="11"/>
  <c r="L203" i="11"/>
  <c r="M203" i="11"/>
  <c r="N203" i="11"/>
  <c r="O203" i="11"/>
  <c r="E202" i="11"/>
  <c r="F202" i="11"/>
  <c r="G202" i="11"/>
  <c r="H202" i="11"/>
  <c r="I202" i="11"/>
  <c r="J202" i="11"/>
  <c r="K202" i="11"/>
  <c r="L202" i="11"/>
  <c r="M202" i="11"/>
  <c r="N202" i="11"/>
  <c r="O202" i="11"/>
  <c r="E201" i="11"/>
  <c r="F201" i="11"/>
  <c r="G201" i="11"/>
  <c r="H201" i="11"/>
  <c r="I201" i="11"/>
  <c r="J201" i="11"/>
  <c r="K201" i="11"/>
  <c r="L201" i="11"/>
  <c r="M201" i="11"/>
  <c r="N201" i="11"/>
  <c r="O201" i="11"/>
  <c r="E200" i="11"/>
  <c r="F200" i="11"/>
  <c r="G200" i="11"/>
  <c r="H200" i="11"/>
  <c r="I200" i="11"/>
  <c r="J200" i="11"/>
  <c r="K200" i="11"/>
  <c r="L200" i="11"/>
  <c r="M200" i="11"/>
  <c r="N200" i="11"/>
  <c r="O200" i="11"/>
  <c r="E199" i="11"/>
  <c r="F199" i="11"/>
  <c r="G199" i="11"/>
  <c r="H199" i="11"/>
  <c r="I199" i="11"/>
  <c r="J199" i="11"/>
  <c r="K199" i="11"/>
  <c r="L199" i="11"/>
  <c r="M199" i="11"/>
  <c r="N199" i="11"/>
  <c r="O199" i="11"/>
  <c r="E197" i="11"/>
  <c r="F197" i="11"/>
  <c r="G197" i="11"/>
  <c r="H197" i="11"/>
  <c r="I197" i="11"/>
  <c r="J197" i="11"/>
  <c r="K197" i="11"/>
  <c r="L197" i="11"/>
  <c r="M197" i="11"/>
  <c r="N197" i="11"/>
  <c r="O197" i="11"/>
  <c r="E195" i="11"/>
  <c r="F195" i="11"/>
  <c r="G195" i="11"/>
  <c r="H195" i="11"/>
  <c r="I195" i="11"/>
  <c r="J195" i="11"/>
  <c r="K195" i="11"/>
  <c r="L195" i="11"/>
  <c r="M195" i="11"/>
  <c r="N195" i="11"/>
  <c r="O195" i="11"/>
  <c r="E194" i="11"/>
  <c r="F194" i="11"/>
  <c r="G194" i="11"/>
  <c r="H194" i="11"/>
  <c r="I194" i="11"/>
  <c r="J194" i="11"/>
  <c r="K194" i="11"/>
  <c r="L194" i="11"/>
  <c r="M194" i="11"/>
  <c r="N194" i="11"/>
  <c r="O194" i="11"/>
  <c r="E192" i="11"/>
  <c r="F192" i="11"/>
  <c r="G192" i="11"/>
  <c r="H192" i="11"/>
  <c r="I192" i="11"/>
  <c r="J192" i="11"/>
  <c r="K192" i="11"/>
  <c r="L192" i="11"/>
  <c r="M192" i="11"/>
  <c r="N192" i="11"/>
  <c r="O192" i="11"/>
  <c r="E191" i="11"/>
  <c r="F191" i="11"/>
  <c r="G191" i="11"/>
  <c r="H191" i="11"/>
  <c r="I191" i="11"/>
  <c r="J191" i="11"/>
  <c r="K191" i="11"/>
  <c r="L191" i="11"/>
  <c r="M191" i="11"/>
  <c r="N191" i="11"/>
  <c r="O191" i="11"/>
  <c r="E190" i="11"/>
  <c r="F190" i="11"/>
  <c r="G190" i="11"/>
  <c r="H190" i="11"/>
  <c r="I190" i="11"/>
  <c r="J190" i="11"/>
  <c r="K190" i="11"/>
  <c r="L190" i="11"/>
  <c r="M190" i="11"/>
  <c r="N190" i="11"/>
  <c r="O190" i="11"/>
  <c r="E187" i="11"/>
  <c r="F187" i="11"/>
  <c r="G187" i="11"/>
  <c r="H187" i="11"/>
  <c r="I187" i="11"/>
  <c r="J187" i="11"/>
  <c r="K187" i="11"/>
  <c r="L187" i="11"/>
  <c r="M187" i="11"/>
  <c r="N187" i="11"/>
  <c r="O187" i="11"/>
  <c r="E186" i="11"/>
  <c r="F186" i="11"/>
  <c r="G186" i="11"/>
  <c r="H186" i="11"/>
  <c r="I186" i="11"/>
  <c r="J186" i="11"/>
  <c r="K186" i="11"/>
  <c r="L186" i="11"/>
  <c r="M186" i="11"/>
  <c r="N186" i="11"/>
  <c r="O186" i="11"/>
  <c r="E185" i="11"/>
  <c r="F185" i="11"/>
  <c r="G185" i="11"/>
  <c r="H185" i="11"/>
  <c r="I185" i="11"/>
  <c r="J185" i="11"/>
  <c r="K185" i="11"/>
  <c r="L185" i="11"/>
  <c r="M185" i="11"/>
  <c r="N185" i="11"/>
  <c r="O185" i="11"/>
  <c r="E184" i="11"/>
  <c r="F184" i="11"/>
  <c r="G184" i="11"/>
  <c r="H184" i="11"/>
  <c r="I184" i="11"/>
  <c r="J184" i="11"/>
  <c r="K184" i="11"/>
  <c r="L184" i="11"/>
  <c r="M184" i="11"/>
  <c r="N184" i="11"/>
  <c r="O184" i="11"/>
  <c r="E182" i="11"/>
  <c r="F182" i="11"/>
  <c r="G182" i="11"/>
  <c r="H182" i="11"/>
  <c r="I182" i="11"/>
  <c r="J182" i="11"/>
  <c r="K182" i="11"/>
  <c r="L182" i="11"/>
  <c r="M182" i="11"/>
  <c r="N182" i="11"/>
  <c r="O182" i="11"/>
  <c r="E181" i="11"/>
  <c r="F181" i="11"/>
  <c r="G181" i="11"/>
  <c r="H181" i="11"/>
  <c r="I181" i="11"/>
  <c r="J181" i="11"/>
  <c r="K181" i="11"/>
  <c r="L181" i="11"/>
  <c r="M181" i="11"/>
  <c r="N181" i="11"/>
  <c r="O181" i="11"/>
  <c r="E180" i="11"/>
  <c r="F180" i="11"/>
  <c r="G180" i="11"/>
  <c r="H180" i="11"/>
  <c r="I180" i="11"/>
  <c r="J180" i="11"/>
  <c r="K180" i="11"/>
  <c r="L180" i="11"/>
  <c r="M180" i="11"/>
  <c r="N180" i="11"/>
  <c r="O180" i="11"/>
  <c r="E179" i="11"/>
  <c r="F179" i="11"/>
  <c r="G179" i="11"/>
  <c r="H179" i="11"/>
  <c r="I179" i="11"/>
  <c r="J179" i="11"/>
  <c r="K179" i="11"/>
  <c r="L179" i="11"/>
  <c r="M179" i="11"/>
  <c r="N179" i="11"/>
  <c r="O179" i="11"/>
  <c r="E178" i="11"/>
  <c r="F178" i="11"/>
  <c r="G178" i="11"/>
  <c r="H178" i="11"/>
  <c r="I178" i="11"/>
  <c r="J178" i="11"/>
  <c r="K178" i="11"/>
  <c r="L178" i="11"/>
  <c r="M178" i="11"/>
  <c r="N178" i="11"/>
  <c r="O178" i="11"/>
  <c r="E177" i="11"/>
  <c r="F177" i="11"/>
  <c r="G177" i="11"/>
  <c r="H177" i="11"/>
  <c r="I177" i="11"/>
  <c r="J177" i="11"/>
  <c r="K177" i="11"/>
  <c r="L177" i="11"/>
  <c r="M177" i="11"/>
  <c r="N177" i="11"/>
  <c r="O177" i="11"/>
  <c r="E175" i="11"/>
  <c r="F175" i="11"/>
  <c r="G175" i="11"/>
  <c r="H175" i="11"/>
  <c r="I175" i="11"/>
  <c r="J175" i="11"/>
  <c r="K175" i="11"/>
  <c r="L175" i="11"/>
  <c r="M175" i="11"/>
  <c r="N175" i="11"/>
  <c r="O175" i="11"/>
  <c r="E174" i="11"/>
  <c r="F174" i="11"/>
  <c r="G174" i="11"/>
  <c r="H174" i="11"/>
  <c r="I174" i="11"/>
  <c r="J174" i="11"/>
  <c r="K174" i="11"/>
  <c r="L174" i="11"/>
  <c r="M174" i="11"/>
  <c r="N174" i="11"/>
  <c r="O174" i="11"/>
  <c r="E173" i="11"/>
  <c r="F173" i="11"/>
  <c r="G173" i="11"/>
  <c r="H173" i="11"/>
  <c r="I173" i="11"/>
  <c r="J173" i="11"/>
  <c r="K173" i="11"/>
  <c r="L173" i="11"/>
  <c r="M173" i="11"/>
  <c r="N173" i="11"/>
  <c r="O173" i="11"/>
  <c r="E172" i="11"/>
  <c r="F172" i="11"/>
  <c r="G172" i="11"/>
  <c r="H172" i="11"/>
  <c r="I172" i="11"/>
  <c r="J172" i="11"/>
  <c r="K172" i="11"/>
  <c r="L172" i="11"/>
  <c r="M172" i="11"/>
  <c r="N172" i="11"/>
  <c r="O172" i="11"/>
  <c r="E171" i="11"/>
  <c r="F171" i="11"/>
  <c r="G171" i="11"/>
  <c r="H171" i="11"/>
  <c r="I171" i="11"/>
  <c r="J171" i="11"/>
  <c r="K171" i="11"/>
  <c r="L171" i="11"/>
  <c r="M171" i="11"/>
  <c r="N171" i="11"/>
  <c r="O171" i="11"/>
  <c r="E170" i="11"/>
  <c r="F170" i="11"/>
  <c r="G170" i="11"/>
  <c r="H170" i="11"/>
  <c r="I170" i="11"/>
  <c r="J170" i="11"/>
  <c r="K170" i="11"/>
  <c r="L170" i="11"/>
  <c r="M170" i="11"/>
  <c r="N170" i="11"/>
  <c r="O170" i="11"/>
  <c r="E169" i="11"/>
  <c r="F169" i="11"/>
  <c r="G169" i="11"/>
  <c r="H169" i="11"/>
  <c r="I169" i="11"/>
  <c r="J169" i="11"/>
  <c r="K169" i="11"/>
  <c r="L169" i="11"/>
  <c r="M169" i="11"/>
  <c r="N169" i="11"/>
  <c r="O169" i="11"/>
  <c r="E168" i="11"/>
  <c r="F168" i="11"/>
  <c r="G168" i="11"/>
  <c r="H168" i="11"/>
  <c r="I168" i="11"/>
  <c r="J168" i="11"/>
  <c r="K168" i="11"/>
  <c r="L168" i="11"/>
  <c r="M168" i="11"/>
  <c r="N168" i="11"/>
  <c r="O168" i="11"/>
  <c r="E167" i="11"/>
  <c r="F167" i="11"/>
  <c r="G167" i="11"/>
  <c r="H167" i="11"/>
  <c r="I167" i="11"/>
  <c r="J167" i="11"/>
  <c r="K167" i="11"/>
  <c r="L167" i="11"/>
  <c r="M167" i="11"/>
  <c r="N167" i="11"/>
  <c r="O167" i="11"/>
  <c r="E165" i="11"/>
  <c r="F165" i="11"/>
  <c r="G165" i="11"/>
  <c r="H165" i="11"/>
  <c r="I165" i="11"/>
  <c r="J165" i="11"/>
  <c r="K165" i="11"/>
  <c r="L165" i="11"/>
  <c r="M165" i="11"/>
  <c r="N165" i="11"/>
  <c r="O165" i="11"/>
  <c r="E164" i="11"/>
  <c r="F164" i="11"/>
  <c r="G164" i="11"/>
  <c r="H164" i="11"/>
  <c r="I164" i="11"/>
  <c r="J164" i="11"/>
  <c r="K164" i="11"/>
  <c r="L164" i="11"/>
  <c r="M164" i="11"/>
  <c r="N164" i="11"/>
  <c r="O164" i="11"/>
  <c r="E163" i="11"/>
  <c r="F163" i="11"/>
  <c r="G163" i="11"/>
  <c r="H163" i="11"/>
  <c r="I163" i="11"/>
  <c r="J163" i="11"/>
  <c r="K163" i="11"/>
  <c r="L163" i="11"/>
  <c r="M163" i="11"/>
  <c r="N163" i="11"/>
  <c r="O163" i="11"/>
  <c r="E162" i="11"/>
  <c r="F162" i="11"/>
  <c r="G162" i="11"/>
  <c r="H162" i="11"/>
  <c r="I162" i="11"/>
  <c r="J162" i="11"/>
  <c r="K162" i="11"/>
  <c r="L162" i="11"/>
  <c r="M162" i="11"/>
  <c r="N162" i="11"/>
  <c r="O162" i="11"/>
  <c r="E161" i="11"/>
  <c r="F161" i="11"/>
  <c r="G161" i="11"/>
  <c r="H161" i="11"/>
  <c r="I161" i="11"/>
  <c r="J161" i="11"/>
  <c r="K161" i="11"/>
  <c r="L161" i="11"/>
  <c r="M161" i="11"/>
  <c r="N161" i="11"/>
  <c r="O161" i="11"/>
  <c r="E160" i="11"/>
  <c r="F160" i="11"/>
  <c r="G160" i="11"/>
  <c r="H160" i="11"/>
  <c r="I160" i="11"/>
  <c r="J160" i="11"/>
  <c r="K160" i="11"/>
  <c r="L160" i="11"/>
  <c r="M160" i="11"/>
  <c r="N160" i="11"/>
  <c r="O160" i="11"/>
  <c r="E159" i="11"/>
  <c r="F159" i="11"/>
  <c r="G159" i="11"/>
  <c r="H159" i="11"/>
  <c r="I159" i="11"/>
  <c r="J159" i="11"/>
  <c r="K159" i="11"/>
  <c r="L159" i="11"/>
  <c r="M159" i="11"/>
  <c r="N159" i="11"/>
  <c r="O159" i="11"/>
  <c r="E158" i="11"/>
  <c r="F158" i="11"/>
  <c r="G158" i="11"/>
  <c r="H158" i="11"/>
  <c r="I158" i="11"/>
  <c r="J158" i="11"/>
  <c r="K158" i="11"/>
  <c r="L158" i="11"/>
  <c r="M158" i="11"/>
  <c r="N158" i="11"/>
  <c r="O158" i="11"/>
  <c r="E157" i="11"/>
  <c r="F157" i="11"/>
  <c r="G157" i="11"/>
  <c r="H157" i="11"/>
  <c r="I157" i="11"/>
  <c r="J157" i="11"/>
  <c r="K157" i="11"/>
  <c r="L157" i="11"/>
  <c r="M157" i="11"/>
  <c r="N157" i="11"/>
  <c r="O157" i="11"/>
  <c r="E156" i="11"/>
  <c r="F156" i="11"/>
  <c r="G156" i="11"/>
  <c r="H156" i="11"/>
  <c r="I156" i="11"/>
  <c r="J156" i="11"/>
  <c r="K156" i="11"/>
  <c r="L156" i="11"/>
  <c r="M156" i="11"/>
  <c r="N156" i="11"/>
  <c r="O156" i="11"/>
  <c r="E155" i="11"/>
  <c r="F155" i="11"/>
  <c r="G155" i="11"/>
  <c r="H155" i="11"/>
  <c r="I155" i="11"/>
  <c r="J155" i="11"/>
  <c r="K155" i="11"/>
  <c r="L155" i="11"/>
  <c r="M155" i="11"/>
  <c r="N155" i="11"/>
  <c r="O155" i="11"/>
  <c r="E154" i="11"/>
  <c r="F154" i="11"/>
  <c r="G154" i="11"/>
  <c r="H154" i="11"/>
  <c r="I154" i="11"/>
  <c r="J154" i="11"/>
  <c r="K154" i="11"/>
  <c r="L154" i="11"/>
  <c r="M154" i="11"/>
  <c r="N154" i="11"/>
  <c r="O154" i="11"/>
  <c r="E153" i="11"/>
  <c r="F153" i="11"/>
  <c r="G153" i="11"/>
  <c r="H153" i="11"/>
  <c r="I153" i="11"/>
  <c r="J153" i="11"/>
  <c r="K153" i="11"/>
  <c r="L153" i="11"/>
  <c r="M153" i="11"/>
  <c r="N153" i="11"/>
  <c r="O153" i="11"/>
  <c r="E143" i="11"/>
  <c r="F143" i="11"/>
  <c r="G143" i="11"/>
  <c r="H143" i="11"/>
  <c r="I143" i="11"/>
  <c r="J143" i="11"/>
  <c r="K143" i="11"/>
  <c r="L143" i="11"/>
  <c r="M143" i="11"/>
  <c r="N143" i="11"/>
  <c r="O143" i="11"/>
  <c r="E142" i="11"/>
  <c r="F142" i="11"/>
  <c r="G142" i="11"/>
  <c r="H142" i="11"/>
  <c r="I142" i="11"/>
  <c r="J142" i="11"/>
  <c r="K142" i="11"/>
  <c r="L142" i="11"/>
  <c r="M142" i="11"/>
  <c r="N142" i="11"/>
  <c r="O142" i="11"/>
  <c r="E141" i="11"/>
  <c r="F141" i="11"/>
  <c r="G141" i="11"/>
  <c r="H141" i="11"/>
  <c r="I141" i="11"/>
  <c r="J141" i="11"/>
  <c r="K141" i="11"/>
  <c r="L141" i="11"/>
  <c r="M141" i="11"/>
  <c r="N141" i="11"/>
  <c r="O141" i="11"/>
  <c r="L140" i="11"/>
  <c r="M140" i="11"/>
  <c r="N140" i="11"/>
  <c r="O140" i="11"/>
  <c r="E138" i="11"/>
  <c r="F138" i="11"/>
  <c r="G138" i="11"/>
  <c r="H138" i="11"/>
  <c r="I138" i="11"/>
  <c r="J138" i="11"/>
  <c r="K138" i="11"/>
  <c r="L138" i="11"/>
  <c r="M138" i="11"/>
  <c r="N138" i="11"/>
  <c r="O138" i="11"/>
  <c r="E137" i="11"/>
  <c r="F137" i="11"/>
  <c r="G137" i="11"/>
  <c r="H137" i="11"/>
  <c r="I137" i="11"/>
  <c r="J137" i="11"/>
  <c r="K137" i="11"/>
  <c r="L137" i="11"/>
  <c r="M137" i="11"/>
  <c r="N137" i="11"/>
  <c r="O137" i="11"/>
  <c r="E136" i="11"/>
  <c r="F136" i="11"/>
  <c r="G136" i="11"/>
  <c r="H136" i="11"/>
  <c r="I136" i="11"/>
  <c r="J136" i="11"/>
  <c r="K136" i="11"/>
  <c r="L136" i="11"/>
  <c r="M136" i="11"/>
  <c r="N136" i="11"/>
  <c r="O136" i="11"/>
  <c r="L135" i="11"/>
  <c r="N135" i="11"/>
  <c r="O135" i="11"/>
  <c r="E133" i="11"/>
  <c r="F133" i="11"/>
  <c r="G133" i="11"/>
  <c r="H133" i="11"/>
  <c r="I133" i="11"/>
  <c r="J133" i="11"/>
  <c r="K133" i="11"/>
  <c r="L133" i="11"/>
  <c r="M133" i="11"/>
  <c r="N133" i="11"/>
  <c r="O133" i="11"/>
  <c r="E132" i="11"/>
  <c r="F132" i="11"/>
  <c r="G132" i="11"/>
  <c r="H132" i="11"/>
  <c r="I132" i="11"/>
  <c r="J132" i="11"/>
  <c r="K132" i="11"/>
  <c r="L132" i="11"/>
  <c r="M132" i="11"/>
  <c r="N132" i="11"/>
  <c r="O132" i="11"/>
  <c r="E131" i="11"/>
  <c r="F131" i="11"/>
  <c r="G131" i="11"/>
  <c r="H131" i="11"/>
  <c r="I131" i="11"/>
  <c r="J131" i="11"/>
  <c r="K131" i="11"/>
  <c r="L131" i="11"/>
  <c r="M131" i="11"/>
  <c r="N131" i="11"/>
  <c r="O131" i="11"/>
  <c r="L130" i="11"/>
  <c r="M130" i="11"/>
  <c r="O130" i="11"/>
  <c r="E128" i="11"/>
  <c r="F128" i="11"/>
  <c r="G128" i="11"/>
  <c r="H128" i="11"/>
  <c r="I128" i="11"/>
  <c r="J128" i="11"/>
  <c r="K128" i="11"/>
  <c r="L128" i="11"/>
  <c r="M128" i="11"/>
  <c r="N128" i="11"/>
  <c r="O128" i="11"/>
  <c r="E127" i="11"/>
  <c r="F127" i="11"/>
  <c r="G127" i="11"/>
  <c r="H127" i="11"/>
  <c r="I127" i="11"/>
  <c r="J127" i="11"/>
  <c r="K127" i="11"/>
  <c r="L127" i="11"/>
  <c r="M127" i="11"/>
  <c r="N127" i="11"/>
  <c r="O127" i="11"/>
  <c r="E126" i="11"/>
  <c r="F126" i="11"/>
  <c r="G126" i="11"/>
  <c r="H126" i="11"/>
  <c r="I126" i="11"/>
  <c r="J126" i="11"/>
  <c r="K126" i="11"/>
  <c r="L126" i="11"/>
  <c r="M126" i="11"/>
  <c r="N126" i="11"/>
  <c r="O126" i="11"/>
  <c r="L125" i="11"/>
  <c r="M125" i="11"/>
  <c r="N125" i="11"/>
  <c r="O125" i="11"/>
  <c r="L122" i="11"/>
  <c r="O122" i="11"/>
  <c r="L121" i="11"/>
  <c r="M121" i="11"/>
  <c r="N121" i="11"/>
  <c r="O121" i="11"/>
  <c r="L116" i="11"/>
  <c r="M116" i="11"/>
  <c r="N116" i="11"/>
  <c r="O116" i="11"/>
  <c r="H115" i="11"/>
  <c r="L115" i="11"/>
  <c r="M115" i="11"/>
  <c r="N115" i="11"/>
  <c r="O115" i="11"/>
  <c r="L114" i="11"/>
  <c r="M114" i="11"/>
  <c r="N114" i="11"/>
  <c r="O114" i="11"/>
  <c r="H113" i="11"/>
  <c r="L113" i="11"/>
  <c r="M113" i="11"/>
  <c r="N113" i="11"/>
  <c r="O113" i="11"/>
  <c r="H110" i="11"/>
  <c r="I110" i="11"/>
  <c r="J110" i="11"/>
  <c r="K110" i="11"/>
  <c r="L110" i="11"/>
  <c r="M110" i="11"/>
  <c r="N110" i="11"/>
  <c r="O110" i="11"/>
  <c r="H109" i="11"/>
  <c r="I109" i="11"/>
  <c r="J109" i="11"/>
  <c r="K109" i="11"/>
  <c r="L109" i="11"/>
  <c r="M109" i="11"/>
  <c r="N109" i="11"/>
  <c r="O109" i="11"/>
  <c r="H108" i="11"/>
  <c r="I108" i="11"/>
  <c r="J108" i="11"/>
  <c r="K108" i="11"/>
  <c r="L108" i="11"/>
  <c r="M108" i="11"/>
  <c r="N108" i="11"/>
  <c r="O108" i="11"/>
  <c r="H107" i="11"/>
  <c r="I107" i="11"/>
  <c r="J107" i="11"/>
  <c r="K107" i="11"/>
  <c r="L107" i="11"/>
  <c r="M107" i="11"/>
  <c r="N107" i="11"/>
  <c r="O107" i="11"/>
  <c r="E104" i="11"/>
  <c r="F104" i="11"/>
  <c r="G104" i="11"/>
  <c r="H104" i="11"/>
  <c r="I104" i="11"/>
  <c r="J104" i="11"/>
  <c r="K104" i="11"/>
  <c r="L104" i="11"/>
  <c r="M104" i="11"/>
  <c r="N104" i="11"/>
  <c r="O104" i="11"/>
  <c r="E103" i="11"/>
  <c r="F103" i="11"/>
  <c r="G103" i="11"/>
  <c r="H103" i="11"/>
  <c r="I103" i="11"/>
  <c r="J103" i="11"/>
  <c r="K103" i="11"/>
  <c r="L103" i="11"/>
  <c r="M103" i="11"/>
  <c r="N103" i="11"/>
  <c r="O103" i="11"/>
  <c r="E102" i="11"/>
  <c r="F102" i="11"/>
  <c r="G102" i="11"/>
  <c r="H102" i="11"/>
  <c r="I102" i="11"/>
  <c r="J102" i="11"/>
  <c r="K102" i="11"/>
  <c r="L102" i="11"/>
  <c r="M102" i="11"/>
  <c r="N102" i="11"/>
  <c r="O102" i="11"/>
  <c r="E101" i="11"/>
  <c r="F101" i="11"/>
  <c r="G101" i="11"/>
  <c r="H101" i="11"/>
  <c r="I101" i="11"/>
  <c r="J101" i="11"/>
  <c r="K101" i="11"/>
  <c r="L101" i="11"/>
  <c r="M101" i="11"/>
  <c r="N101" i="11"/>
  <c r="O101" i="11"/>
  <c r="E98" i="11"/>
  <c r="F98" i="11"/>
  <c r="G98" i="11"/>
  <c r="H98" i="11"/>
  <c r="I98" i="11"/>
  <c r="J98" i="11"/>
  <c r="K98" i="11"/>
  <c r="L98" i="11"/>
  <c r="M98" i="11"/>
  <c r="N98" i="11"/>
  <c r="O98" i="11"/>
  <c r="E87" i="11"/>
  <c r="F87" i="11"/>
  <c r="G87" i="11"/>
  <c r="H87" i="11"/>
  <c r="I87" i="11"/>
  <c r="J87" i="11"/>
  <c r="K87" i="11"/>
  <c r="L87" i="11"/>
  <c r="M87" i="11"/>
  <c r="N87" i="11"/>
  <c r="O87" i="11"/>
  <c r="E86" i="11"/>
  <c r="F86" i="11"/>
  <c r="G86" i="11"/>
  <c r="H86" i="11"/>
  <c r="I86" i="11"/>
  <c r="J86" i="11"/>
  <c r="K86" i="11"/>
  <c r="L86" i="11"/>
  <c r="M86" i="11"/>
  <c r="N86" i="11"/>
  <c r="O86" i="11"/>
  <c r="E85" i="11"/>
  <c r="F85" i="11"/>
  <c r="G85" i="11"/>
  <c r="H85" i="11"/>
  <c r="I85" i="11"/>
  <c r="J85" i="11"/>
  <c r="K85" i="11"/>
  <c r="L85" i="11"/>
  <c r="M85" i="11"/>
  <c r="N85" i="11"/>
  <c r="O85" i="11"/>
  <c r="H84" i="11"/>
  <c r="I84" i="11"/>
  <c r="J84" i="11"/>
  <c r="K84" i="11"/>
  <c r="L84" i="11"/>
  <c r="M84" i="11"/>
  <c r="N84" i="11"/>
  <c r="O84" i="11"/>
  <c r="E81" i="11"/>
  <c r="F81" i="11"/>
  <c r="G81" i="11"/>
  <c r="H81" i="11"/>
  <c r="I81" i="11"/>
  <c r="J81" i="11"/>
  <c r="K81" i="11"/>
  <c r="L81" i="11"/>
  <c r="M81" i="11"/>
  <c r="N81" i="11"/>
  <c r="O81" i="11"/>
  <c r="E80" i="11"/>
  <c r="F80" i="11"/>
  <c r="G80" i="11"/>
  <c r="H80" i="11"/>
  <c r="I80" i="11"/>
  <c r="J80" i="11"/>
  <c r="K80" i="11"/>
  <c r="L80" i="11"/>
  <c r="M80" i="11"/>
  <c r="N80" i="11"/>
  <c r="O80" i="11"/>
  <c r="E79" i="11"/>
  <c r="F79" i="11"/>
  <c r="G79" i="11"/>
  <c r="H79" i="11"/>
  <c r="I79" i="11"/>
  <c r="J79" i="11"/>
  <c r="K79" i="11"/>
  <c r="L79" i="11"/>
  <c r="M79" i="11"/>
  <c r="N79" i="11"/>
  <c r="O79" i="11"/>
  <c r="L78" i="11"/>
  <c r="M78" i="11"/>
  <c r="N78" i="11"/>
  <c r="O78" i="11"/>
  <c r="E75" i="11"/>
  <c r="F75" i="11"/>
  <c r="G75" i="11"/>
  <c r="H75" i="11"/>
  <c r="I75" i="11"/>
  <c r="J75" i="11"/>
  <c r="K75" i="11"/>
  <c r="L75" i="11"/>
  <c r="M75" i="11"/>
  <c r="N75" i="11"/>
  <c r="O75" i="11"/>
  <c r="E74" i="11"/>
  <c r="F74" i="11"/>
  <c r="G74" i="11"/>
  <c r="H74" i="11"/>
  <c r="I74" i="11"/>
  <c r="J74" i="11"/>
  <c r="K74" i="11"/>
  <c r="L74" i="11"/>
  <c r="M74" i="11"/>
  <c r="N74" i="11"/>
  <c r="O74" i="11"/>
  <c r="E73" i="11"/>
  <c r="F73" i="11"/>
  <c r="G73" i="11"/>
  <c r="H73" i="11"/>
  <c r="I73" i="11"/>
  <c r="J73" i="11"/>
  <c r="K73" i="11"/>
  <c r="L73" i="11"/>
  <c r="M73" i="11"/>
  <c r="N73" i="11"/>
  <c r="O73" i="11"/>
  <c r="I72" i="11"/>
  <c r="J72" i="11"/>
  <c r="K72" i="11"/>
  <c r="L72" i="11"/>
  <c r="M72" i="11"/>
  <c r="N72" i="11"/>
  <c r="O72" i="11"/>
  <c r="E69" i="11"/>
  <c r="F69" i="11"/>
  <c r="G69" i="11"/>
  <c r="H69" i="11"/>
  <c r="I69" i="11"/>
  <c r="J69" i="11"/>
  <c r="K69" i="11"/>
  <c r="L69" i="11"/>
  <c r="M69" i="11"/>
  <c r="N69" i="11"/>
  <c r="O69" i="11"/>
  <c r="E68" i="11"/>
  <c r="F68" i="11"/>
  <c r="G68" i="11"/>
  <c r="H68" i="11"/>
  <c r="I68" i="11"/>
  <c r="J68" i="11"/>
  <c r="K68" i="11"/>
  <c r="L68" i="11"/>
  <c r="M68" i="11"/>
  <c r="N68" i="11"/>
  <c r="O68" i="11"/>
  <c r="E67" i="11"/>
  <c r="F67" i="11"/>
  <c r="G67" i="11"/>
  <c r="H67" i="11"/>
  <c r="I67" i="11"/>
  <c r="J67" i="11"/>
  <c r="K67" i="11"/>
  <c r="L67" i="11"/>
  <c r="M67" i="11"/>
  <c r="N67" i="11"/>
  <c r="O67" i="11"/>
  <c r="L66" i="11"/>
  <c r="M66" i="11"/>
  <c r="N66" i="11"/>
  <c r="O66" i="11"/>
  <c r="E63" i="11"/>
  <c r="F63" i="11"/>
  <c r="G63" i="11"/>
  <c r="H63" i="11"/>
  <c r="I63" i="11"/>
  <c r="J63" i="11"/>
  <c r="K63" i="11"/>
  <c r="L63" i="11"/>
  <c r="M63" i="11"/>
  <c r="N63" i="11"/>
  <c r="O63" i="11"/>
  <c r="E61" i="11"/>
  <c r="F61" i="11"/>
  <c r="G61" i="11"/>
  <c r="H61" i="11"/>
  <c r="I61" i="11"/>
  <c r="J61" i="11"/>
  <c r="K61" i="11"/>
  <c r="L61" i="11"/>
  <c r="M61" i="11"/>
  <c r="N61" i="11"/>
  <c r="O61" i="11"/>
  <c r="E56" i="11"/>
  <c r="F56" i="11"/>
  <c r="G56" i="11"/>
  <c r="H56" i="11"/>
  <c r="I56" i="11"/>
  <c r="J56" i="11"/>
  <c r="K56" i="11"/>
  <c r="L56" i="11"/>
  <c r="M56" i="11"/>
  <c r="N56" i="11"/>
  <c r="O56" i="11"/>
  <c r="E55" i="11"/>
  <c r="F55" i="11"/>
  <c r="G55" i="11"/>
  <c r="H55" i="11"/>
  <c r="I55" i="11"/>
  <c r="J55" i="11"/>
  <c r="K55" i="11"/>
  <c r="L55" i="11"/>
  <c r="M55" i="11"/>
  <c r="N55" i="11"/>
  <c r="O55" i="11"/>
  <c r="E54" i="11"/>
  <c r="F54" i="11"/>
  <c r="G54" i="11"/>
  <c r="H54" i="11"/>
  <c r="I54" i="11"/>
  <c r="J54" i="11"/>
  <c r="K54" i="11"/>
  <c r="L54" i="11"/>
  <c r="M54" i="11"/>
  <c r="N54" i="11"/>
  <c r="O54" i="11"/>
  <c r="E52" i="11"/>
  <c r="F52" i="11"/>
  <c r="G52" i="11"/>
  <c r="H52" i="11"/>
  <c r="I52" i="11"/>
  <c r="J52" i="11"/>
  <c r="K52" i="11"/>
  <c r="L52" i="11"/>
  <c r="M52" i="11"/>
  <c r="N52" i="11"/>
  <c r="O52" i="11"/>
  <c r="H51" i="11"/>
  <c r="I51" i="11"/>
  <c r="J51" i="11"/>
  <c r="K51" i="11"/>
  <c r="L51" i="11"/>
  <c r="M51" i="11"/>
  <c r="N51" i="11"/>
  <c r="O51" i="11"/>
  <c r="E50" i="11"/>
  <c r="F50" i="11"/>
  <c r="G50" i="11"/>
  <c r="H50" i="11"/>
  <c r="I50" i="11"/>
  <c r="J50" i="11"/>
  <c r="K50" i="11"/>
  <c r="L50" i="11"/>
  <c r="M50" i="11"/>
  <c r="N50" i="11"/>
  <c r="O50" i="11"/>
  <c r="E49" i="11"/>
  <c r="F49" i="11"/>
  <c r="G49" i="11"/>
  <c r="H49" i="11"/>
  <c r="I49" i="11"/>
  <c r="J49" i="11"/>
  <c r="K49" i="11"/>
  <c r="L49" i="11"/>
  <c r="M49" i="11"/>
  <c r="N49" i="11"/>
  <c r="O49" i="11"/>
  <c r="E44" i="11"/>
  <c r="F44" i="11"/>
  <c r="G44" i="11"/>
  <c r="H44" i="11"/>
  <c r="I44" i="11"/>
  <c r="J44" i="11"/>
  <c r="K44" i="11"/>
  <c r="L44" i="11"/>
  <c r="M44" i="11"/>
  <c r="N44" i="11"/>
  <c r="O44" i="11"/>
  <c r="E39" i="11"/>
  <c r="F39" i="11"/>
  <c r="G39" i="11"/>
  <c r="H39" i="11"/>
  <c r="I39" i="11"/>
  <c r="J39" i="11"/>
  <c r="K39" i="11"/>
  <c r="L39" i="11"/>
  <c r="M39" i="11"/>
  <c r="N39" i="11"/>
  <c r="O39" i="11"/>
  <c r="E37" i="11"/>
  <c r="F37" i="11"/>
  <c r="G37" i="11"/>
  <c r="H37" i="11"/>
  <c r="I37" i="11"/>
  <c r="J37" i="11"/>
  <c r="K37" i="11"/>
  <c r="L37" i="11"/>
  <c r="M37" i="11"/>
  <c r="N37" i="11"/>
  <c r="O37" i="11"/>
  <c r="E35" i="11"/>
  <c r="F35" i="11"/>
  <c r="G35" i="11"/>
  <c r="H35" i="11"/>
  <c r="I35" i="11"/>
  <c r="J35" i="11"/>
  <c r="K35" i="11"/>
  <c r="L35" i="11"/>
  <c r="M35" i="11"/>
  <c r="N35" i="11"/>
  <c r="O35" i="11"/>
  <c r="E33" i="11"/>
  <c r="F33" i="11"/>
  <c r="G33" i="11"/>
  <c r="H33" i="11"/>
  <c r="I33" i="11"/>
  <c r="J33" i="11"/>
  <c r="K33" i="11"/>
  <c r="L33" i="11"/>
  <c r="M33" i="11"/>
  <c r="N33" i="11"/>
  <c r="O33" i="11"/>
  <c r="E31" i="11"/>
  <c r="F31" i="11"/>
  <c r="G31" i="11"/>
  <c r="H31" i="11"/>
  <c r="I31" i="11"/>
  <c r="J31" i="11"/>
  <c r="K31" i="11"/>
  <c r="L31" i="11"/>
  <c r="M31" i="11"/>
  <c r="N31" i="11"/>
  <c r="O31" i="11"/>
  <c r="E29" i="11"/>
  <c r="F29" i="11"/>
  <c r="G29" i="11"/>
  <c r="H29" i="11"/>
  <c r="I29" i="11"/>
  <c r="J29" i="11"/>
  <c r="K29" i="11"/>
  <c r="L29" i="11"/>
  <c r="M29" i="11"/>
  <c r="N29" i="11"/>
  <c r="O29" i="11"/>
  <c r="E20" i="11"/>
  <c r="F20" i="11"/>
  <c r="G20" i="11"/>
  <c r="H20" i="11"/>
  <c r="I20" i="11"/>
  <c r="J20" i="11"/>
  <c r="K20" i="11"/>
  <c r="L20" i="11"/>
  <c r="M20" i="11"/>
  <c r="N20" i="11"/>
  <c r="O20" i="11"/>
  <c r="E19" i="11"/>
  <c r="F19" i="11"/>
  <c r="G19" i="11"/>
  <c r="H19" i="11"/>
  <c r="I19" i="11"/>
  <c r="J19" i="11"/>
  <c r="K19" i="11"/>
  <c r="L19" i="11"/>
  <c r="M19" i="11"/>
  <c r="N19" i="11"/>
  <c r="O19" i="11"/>
  <c r="E18" i="11"/>
  <c r="F18" i="11"/>
  <c r="G18" i="11"/>
  <c r="H18" i="11"/>
  <c r="I18" i="11"/>
  <c r="J18" i="11"/>
  <c r="K18" i="11"/>
  <c r="L18" i="11"/>
  <c r="M18" i="11"/>
  <c r="N18" i="11"/>
  <c r="O18" i="11"/>
  <c r="E17" i="11"/>
  <c r="F17" i="11"/>
  <c r="G17" i="11"/>
  <c r="H17" i="11"/>
  <c r="I17" i="11"/>
  <c r="J17" i="11"/>
  <c r="K17" i="11"/>
  <c r="L17" i="11"/>
  <c r="M17" i="11"/>
  <c r="N17" i="11"/>
  <c r="O17" i="11"/>
  <c r="E14" i="11"/>
  <c r="F14" i="11"/>
  <c r="G14" i="11"/>
  <c r="H14" i="11"/>
  <c r="I14" i="11"/>
  <c r="J14" i="11"/>
  <c r="K14" i="11"/>
  <c r="L14" i="11"/>
  <c r="M14" i="11"/>
  <c r="N14" i="11"/>
  <c r="O14" i="11"/>
  <c r="E13" i="11"/>
  <c r="F13" i="11"/>
  <c r="G13" i="11"/>
  <c r="H13" i="11"/>
  <c r="I13" i="11"/>
  <c r="J13" i="11"/>
  <c r="K13" i="11"/>
  <c r="L13" i="11"/>
  <c r="M13" i="11"/>
  <c r="N13" i="11"/>
  <c r="O13" i="11"/>
  <c r="E12" i="11"/>
  <c r="F12" i="11"/>
  <c r="G12" i="11"/>
  <c r="H12" i="11"/>
  <c r="I12" i="11"/>
  <c r="J12" i="11"/>
  <c r="K12" i="11"/>
  <c r="L12" i="11"/>
  <c r="M12" i="11"/>
  <c r="N12" i="11"/>
  <c r="O12" i="11"/>
  <c r="D262" i="11"/>
  <c r="D261" i="11"/>
  <c r="D257" i="11"/>
  <c r="D254" i="11"/>
  <c r="D253" i="11"/>
  <c r="D246" i="11"/>
  <c r="D245" i="11"/>
  <c r="D241" i="11"/>
  <c r="D240" i="11"/>
  <c r="D239" i="11"/>
  <c r="D235" i="11"/>
  <c r="D234" i="11"/>
  <c r="D233" i="11"/>
  <c r="D228" i="11"/>
  <c r="D227" i="11"/>
  <c r="D226" i="11"/>
  <c r="D225" i="11"/>
  <c r="D222" i="11"/>
  <c r="D221" i="11"/>
  <c r="D220" i="11"/>
  <c r="D215" i="11"/>
  <c r="D214" i="11"/>
  <c r="D213" i="11"/>
  <c r="D212" i="11"/>
  <c r="D209" i="11"/>
  <c r="D208" i="11"/>
  <c r="D207" i="11"/>
  <c r="D203" i="11"/>
  <c r="D202" i="11"/>
  <c r="D201" i="11"/>
  <c r="D200" i="11"/>
  <c r="D199" i="11"/>
  <c r="D197" i="11"/>
  <c r="D195" i="11"/>
  <c r="D194" i="11"/>
  <c r="D192" i="11"/>
  <c r="D191" i="11"/>
  <c r="D190" i="11"/>
  <c r="D187" i="11"/>
  <c r="D186" i="11"/>
  <c r="D185" i="11"/>
  <c r="D184" i="11"/>
  <c r="D182" i="11"/>
  <c r="D181" i="11"/>
  <c r="D180" i="11"/>
  <c r="D179" i="11"/>
  <c r="D178" i="11"/>
  <c r="D177" i="11"/>
  <c r="D175" i="11"/>
  <c r="D174" i="11"/>
  <c r="D173" i="11"/>
  <c r="D172" i="11"/>
  <c r="D171" i="11"/>
  <c r="D170" i="11"/>
  <c r="D169" i="11"/>
  <c r="D168" i="11"/>
  <c r="D167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22" i="11"/>
  <c r="D121" i="11"/>
  <c r="D116" i="11"/>
  <c r="D115" i="11"/>
  <c r="D114" i="11"/>
  <c r="D113" i="11"/>
  <c r="D110" i="11"/>
  <c r="D109" i="11"/>
  <c r="D108" i="11"/>
  <c r="D104" i="11"/>
  <c r="D103" i="11"/>
  <c r="D102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9" i="11"/>
  <c r="D68" i="11"/>
  <c r="D67" i="11"/>
  <c r="D66" i="11"/>
  <c r="D63" i="11"/>
  <c r="D61" i="11"/>
  <c r="D56" i="11"/>
  <c r="D55" i="11"/>
  <c r="D54" i="11"/>
  <c r="D52" i="11"/>
  <c r="D50" i="11"/>
  <c r="D49" i="11"/>
  <c r="D39" i="11"/>
  <c r="D37" i="11"/>
  <c r="D35" i="11"/>
  <c r="D33" i="11"/>
  <c r="D31" i="11"/>
  <c r="D29" i="11"/>
  <c r="H11" i="11"/>
  <c r="I11" i="11"/>
  <c r="J11" i="11"/>
  <c r="K11" i="11"/>
  <c r="L11" i="11"/>
  <c r="M11" i="11"/>
  <c r="N11" i="11"/>
  <c r="O11" i="11"/>
  <c r="E9" i="11"/>
  <c r="F9" i="11"/>
  <c r="G9" i="11"/>
  <c r="H9" i="11"/>
  <c r="I9" i="11"/>
  <c r="J9" i="11"/>
  <c r="K9" i="11"/>
  <c r="L9" i="11"/>
  <c r="M9" i="11"/>
  <c r="N9" i="11"/>
  <c r="O9" i="11"/>
  <c r="D9" i="11"/>
  <c r="G263" i="6"/>
  <c r="F263" i="6"/>
  <c r="E263" i="6"/>
  <c r="D263" i="6"/>
  <c r="D259" i="6"/>
  <c r="D258" i="6"/>
  <c r="G259" i="6"/>
  <c r="F259" i="6"/>
  <c r="E259" i="6"/>
  <c r="G258" i="6"/>
  <c r="F258" i="6"/>
  <c r="E258" i="6"/>
  <c r="G238" i="6"/>
  <c r="F238" i="6"/>
  <c r="E238" i="6"/>
  <c r="D238" i="6"/>
  <c r="G232" i="6"/>
  <c r="F232" i="6"/>
  <c r="E232" i="6"/>
  <c r="D232" i="6"/>
  <c r="G219" i="6"/>
  <c r="F219" i="6"/>
  <c r="E219" i="6"/>
  <c r="D219" i="6"/>
  <c r="G206" i="6"/>
  <c r="F206" i="6"/>
  <c r="E206" i="6"/>
  <c r="D206" i="6"/>
  <c r="D144" i="6"/>
  <c r="E140" i="6" s="1"/>
  <c r="E144" i="6" s="1"/>
  <c r="F140" i="6" s="1"/>
  <c r="F144" i="6" s="1"/>
  <c r="G140" i="6" s="1"/>
  <c r="G144" i="6" s="1"/>
  <c r="H140" i="6" s="1"/>
  <c r="H144" i="6" s="1"/>
  <c r="I140" i="6" s="1"/>
  <c r="D139" i="6"/>
  <c r="E135" i="6" s="1"/>
  <c r="D134" i="6"/>
  <c r="E130" i="6" s="1"/>
  <c r="E134" i="6" s="1"/>
  <c r="F130" i="6" s="1"/>
  <c r="F134" i="6" s="1"/>
  <c r="G130" i="6" s="1"/>
  <c r="G134" i="6" s="1"/>
  <c r="D129" i="6"/>
  <c r="E125" i="6" s="1"/>
  <c r="E129" i="6" s="1"/>
  <c r="F125" i="6" s="1"/>
  <c r="F129" i="6" s="1"/>
  <c r="G125" i="6" s="1"/>
  <c r="G129" i="6" s="1"/>
  <c r="H125" i="6" s="1"/>
  <c r="H129" i="6" s="1"/>
  <c r="I125" i="6" s="1"/>
  <c r="I125" i="11" s="1"/>
  <c r="D123" i="6"/>
  <c r="E122" i="6"/>
  <c r="E121" i="6"/>
  <c r="F121" i="6" s="1"/>
  <c r="G121" i="6" s="1"/>
  <c r="E110" i="6"/>
  <c r="F110" i="6" s="1"/>
  <c r="G110" i="6" s="1"/>
  <c r="I110" i="12" s="1"/>
  <c r="E109" i="6"/>
  <c r="F109" i="6" s="1"/>
  <c r="G109" i="6" s="1"/>
  <c r="I109" i="12" s="1"/>
  <c r="E108" i="6"/>
  <c r="F108" i="6" s="1"/>
  <c r="G108" i="6" s="1"/>
  <c r="I108" i="12" s="1"/>
  <c r="D107" i="6"/>
  <c r="E107" i="6" s="1"/>
  <c r="F107" i="6" s="1"/>
  <c r="G107" i="6" s="1"/>
  <c r="G107" i="11" s="1"/>
  <c r="D101" i="6"/>
  <c r="G93" i="6"/>
  <c r="F93" i="6"/>
  <c r="E93" i="6"/>
  <c r="D93" i="6"/>
  <c r="G92" i="6"/>
  <c r="F92" i="6"/>
  <c r="E92" i="6"/>
  <c r="D92" i="6"/>
  <c r="G91" i="6"/>
  <c r="F91" i="6"/>
  <c r="E91" i="6"/>
  <c r="D91" i="6"/>
  <c r="D90" i="6"/>
  <c r="G88" i="6"/>
  <c r="F88" i="6"/>
  <c r="E88" i="6"/>
  <c r="D88" i="6"/>
  <c r="D89" i="6" s="1"/>
  <c r="E84" i="6" s="1"/>
  <c r="G82" i="6"/>
  <c r="F82" i="6"/>
  <c r="E82" i="6"/>
  <c r="D82" i="6"/>
  <c r="D83" i="6" s="1"/>
  <c r="E78" i="6" s="1"/>
  <c r="G76" i="6"/>
  <c r="F76" i="6"/>
  <c r="E76" i="6"/>
  <c r="D76" i="6"/>
  <c r="D77" i="6" s="1"/>
  <c r="E72" i="6" s="1"/>
  <c r="G70" i="6"/>
  <c r="F70" i="6"/>
  <c r="E70" i="6"/>
  <c r="D70" i="6"/>
  <c r="D71" i="6" s="1"/>
  <c r="E66" i="6" s="1"/>
  <c r="G62" i="6"/>
  <c r="F62" i="6"/>
  <c r="E62" i="6"/>
  <c r="D62" i="6"/>
  <c r="G51" i="6"/>
  <c r="F51" i="6"/>
  <c r="E51" i="6"/>
  <c r="D51" i="6"/>
  <c r="G46" i="6"/>
  <c r="G47" i="6" s="1"/>
  <c r="F46" i="6"/>
  <c r="F47" i="6" s="1"/>
  <c r="E46" i="6"/>
  <c r="E47" i="6" s="1"/>
  <c r="D46" i="6"/>
  <c r="G45" i="6"/>
  <c r="F45" i="6"/>
  <c r="E45" i="6"/>
  <c r="D45" i="6"/>
  <c r="G40" i="6"/>
  <c r="F40" i="6"/>
  <c r="E40" i="6"/>
  <c r="D40" i="6"/>
  <c r="G38" i="6"/>
  <c r="F38" i="6"/>
  <c r="E38" i="6"/>
  <c r="D38" i="6"/>
  <c r="G34" i="6"/>
  <c r="F34" i="6"/>
  <c r="E34" i="6"/>
  <c r="D34" i="6"/>
  <c r="G32" i="6"/>
  <c r="F32" i="6"/>
  <c r="E32" i="6"/>
  <c r="D32" i="6"/>
  <c r="I32" i="12" s="1"/>
  <c r="G30" i="6"/>
  <c r="F30" i="6"/>
  <c r="E30" i="6"/>
  <c r="D30" i="6"/>
  <c r="G11" i="6"/>
  <c r="F11" i="6"/>
  <c r="E11" i="6"/>
  <c r="D11" i="6"/>
  <c r="D259" i="5"/>
  <c r="G263" i="5"/>
  <c r="F263" i="5"/>
  <c r="E263" i="5"/>
  <c r="D263" i="5"/>
  <c r="G259" i="5"/>
  <c r="F259" i="5"/>
  <c r="E259" i="5"/>
  <c r="G258" i="5"/>
  <c r="F258" i="5"/>
  <c r="E258" i="5"/>
  <c r="D258" i="5"/>
  <c r="G238" i="5"/>
  <c r="F238" i="5"/>
  <c r="E238" i="5"/>
  <c r="D238" i="5"/>
  <c r="H238" i="18" s="1"/>
  <c r="H242" i="18" s="1"/>
  <c r="G232" i="5"/>
  <c r="F232" i="5"/>
  <c r="E232" i="5"/>
  <c r="D232" i="5"/>
  <c r="G219" i="5"/>
  <c r="F219" i="5"/>
  <c r="E219" i="5"/>
  <c r="D219" i="5"/>
  <c r="H219" i="18" s="1"/>
  <c r="H223" i="18" s="1"/>
  <c r="G206" i="5"/>
  <c r="F206" i="5"/>
  <c r="E206" i="5"/>
  <c r="D206" i="5"/>
  <c r="D144" i="5"/>
  <c r="E140" i="5" s="1"/>
  <c r="E144" i="5" s="1"/>
  <c r="F140" i="5" s="1"/>
  <c r="F144" i="5" s="1"/>
  <c r="G140" i="5" s="1"/>
  <c r="G144" i="5" s="1"/>
  <c r="H140" i="5" s="1"/>
  <c r="H144" i="5" s="1"/>
  <c r="I140" i="5" s="1"/>
  <c r="I144" i="5" s="1"/>
  <c r="D139" i="5"/>
  <c r="E135" i="5" s="1"/>
  <c r="E139" i="5" s="1"/>
  <c r="F135" i="5" s="1"/>
  <c r="F139" i="5" s="1"/>
  <c r="G135" i="5" s="1"/>
  <c r="G139" i="5" s="1"/>
  <c r="D134" i="5"/>
  <c r="E130" i="5" s="1"/>
  <c r="E134" i="5" s="1"/>
  <c r="F130" i="5" s="1"/>
  <c r="F134" i="5" s="1"/>
  <c r="G130" i="5" s="1"/>
  <c r="G134" i="5" s="1"/>
  <c r="D129" i="5"/>
  <c r="E125" i="5" s="1"/>
  <c r="E129" i="5" s="1"/>
  <c r="F125" i="5" s="1"/>
  <c r="F129" i="5" s="1"/>
  <c r="G125" i="5" s="1"/>
  <c r="G129" i="5" s="1"/>
  <c r="D123" i="5"/>
  <c r="E122" i="5"/>
  <c r="E121" i="5"/>
  <c r="F121" i="5" s="1"/>
  <c r="G121" i="5" s="1"/>
  <c r="H121" i="5" s="1"/>
  <c r="I121" i="5" s="1"/>
  <c r="E117" i="5"/>
  <c r="D117" i="5"/>
  <c r="F117" i="5"/>
  <c r="G117" i="5"/>
  <c r="E123" i="5" l="1"/>
  <c r="I263" i="12"/>
  <c r="J121" i="5"/>
  <c r="K121" i="5" s="1"/>
  <c r="H121" i="18"/>
  <c r="H206" i="18"/>
  <c r="H210" i="18" s="1"/>
  <c r="H232" i="18"/>
  <c r="H236" i="18" s="1"/>
  <c r="H243" i="18" s="1"/>
  <c r="H206" i="12"/>
  <c r="I40" i="12"/>
  <c r="I38" i="12"/>
  <c r="E90" i="6"/>
  <c r="H125" i="11"/>
  <c r="I11" i="12"/>
  <c r="I11" i="18"/>
  <c r="F94" i="6"/>
  <c r="I121" i="12"/>
  <c r="H121" i="6"/>
  <c r="I238" i="12"/>
  <c r="I242" i="12" s="1"/>
  <c r="I238" i="18"/>
  <c r="I51" i="12"/>
  <c r="I51" i="18"/>
  <c r="E123" i="6"/>
  <c r="I206" i="18"/>
  <c r="I232" i="12"/>
  <c r="I236" i="12" s="1"/>
  <c r="I232" i="18"/>
  <c r="I219" i="12"/>
  <c r="I219" i="18"/>
  <c r="I34" i="12"/>
  <c r="D47" i="6"/>
  <c r="I46" i="18"/>
  <c r="F122" i="6"/>
  <c r="G122" i="6" s="1"/>
  <c r="I122" i="12" s="1"/>
  <c r="I206" i="12"/>
  <c r="N45" i="11"/>
  <c r="I88" i="12"/>
  <c r="J94" i="18"/>
  <c r="J95" i="18" s="1"/>
  <c r="J255" i="18"/>
  <c r="J259" i="18" s="1"/>
  <c r="J149" i="18"/>
  <c r="E139" i="6"/>
  <c r="F135" i="6" s="1"/>
  <c r="F139" i="6" s="1"/>
  <c r="G135" i="6" s="1"/>
  <c r="G139" i="6" s="1"/>
  <c r="H135" i="6" s="1"/>
  <c r="H139" i="6" s="1"/>
  <c r="I135" i="12"/>
  <c r="I139" i="12" s="1"/>
  <c r="E94" i="6"/>
  <c r="I125" i="12"/>
  <c r="I129" i="12" s="1"/>
  <c r="I193" i="12"/>
  <c r="I91" i="12"/>
  <c r="I256" i="12" s="1"/>
  <c r="I130" i="12"/>
  <c r="I134" i="12" s="1"/>
  <c r="G94" i="6"/>
  <c r="I82" i="12"/>
  <c r="I83" i="12" s="1"/>
  <c r="I146" i="12"/>
  <c r="I147" i="12"/>
  <c r="E77" i="6"/>
  <c r="F72" i="6" s="1"/>
  <c r="F77" i="6" s="1"/>
  <c r="G72" i="6" s="1"/>
  <c r="G77" i="6" s="1"/>
  <c r="E89" i="6"/>
  <c r="F84" i="6" s="1"/>
  <c r="F89" i="6" s="1"/>
  <c r="G84" i="6" s="1"/>
  <c r="G89" i="6" s="1"/>
  <c r="I46" i="12"/>
  <c r="I47" i="12" s="1"/>
  <c r="M70" i="11"/>
  <c r="I30" i="12"/>
  <c r="I107" i="12"/>
  <c r="I140" i="12"/>
  <c r="I144" i="12" s="1"/>
  <c r="I41" i="12"/>
  <c r="I76" i="12"/>
  <c r="I77" i="12" s="1"/>
  <c r="I258" i="12"/>
  <c r="I45" i="12"/>
  <c r="I92" i="12"/>
  <c r="I105" i="12"/>
  <c r="I148" i="12"/>
  <c r="I216" i="12"/>
  <c r="I247" i="12"/>
  <c r="I70" i="12"/>
  <c r="I71" i="12" s="1"/>
  <c r="I93" i="12"/>
  <c r="I94" i="12" s="1"/>
  <c r="I204" i="12"/>
  <c r="I21" i="12"/>
  <c r="I229" i="12"/>
  <c r="I117" i="12"/>
  <c r="I62" i="12"/>
  <c r="I223" i="12"/>
  <c r="J61" i="12"/>
  <c r="E71" i="6"/>
  <c r="E83" i="6"/>
  <c r="F78" i="6" s="1"/>
  <c r="F83" i="6" s="1"/>
  <c r="G78" i="6" s="1"/>
  <c r="G83" i="6" s="1"/>
  <c r="D94" i="6"/>
  <c r="F107" i="11"/>
  <c r="E107" i="11"/>
  <c r="D95" i="6"/>
  <c r="E70" i="11"/>
  <c r="I45" i="11"/>
  <c r="M30" i="11"/>
  <c r="E30" i="11"/>
  <c r="L70" i="11"/>
  <c r="H30" i="11"/>
  <c r="E45" i="11"/>
  <c r="K70" i="11"/>
  <c r="H70" i="11"/>
  <c r="O123" i="11"/>
  <c r="F45" i="11"/>
  <c r="M45" i="11"/>
  <c r="O144" i="11"/>
  <c r="N144" i="11"/>
  <c r="I30" i="11"/>
  <c r="I70" i="11"/>
  <c r="L144" i="11"/>
  <c r="L30" i="11"/>
  <c r="O45" i="11"/>
  <c r="G45" i="11"/>
  <c r="J70" i="11"/>
  <c r="L123" i="11"/>
  <c r="K30" i="11"/>
  <c r="J30" i="11"/>
  <c r="L45" i="11"/>
  <c r="K45" i="11"/>
  <c r="N70" i="11"/>
  <c r="F70" i="11"/>
  <c r="M144" i="11"/>
  <c r="O30" i="11"/>
  <c r="G30" i="11"/>
  <c r="J45" i="11"/>
  <c r="N30" i="11"/>
  <c r="F30" i="11"/>
  <c r="O70" i="11"/>
  <c r="G70" i="11"/>
  <c r="H45" i="11"/>
  <c r="F122" i="5"/>
  <c r="G93" i="5"/>
  <c r="F93" i="5"/>
  <c r="E93" i="5"/>
  <c r="D93" i="5"/>
  <c r="G92" i="5"/>
  <c r="F92" i="5"/>
  <c r="E92" i="5"/>
  <c r="D92" i="5"/>
  <c r="G91" i="5"/>
  <c r="F91" i="5"/>
  <c r="E91" i="5"/>
  <c r="D91" i="5"/>
  <c r="D90" i="5"/>
  <c r="G88" i="5"/>
  <c r="F88" i="5"/>
  <c r="E88" i="5"/>
  <c r="D88" i="5"/>
  <c r="D89" i="5" s="1"/>
  <c r="E84" i="5" s="1"/>
  <c r="I84" i="12" s="1"/>
  <c r="I90" i="12" s="1"/>
  <c r="G82" i="5"/>
  <c r="F82" i="5"/>
  <c r="E82" i="5"/>
  <c r="D82" i="5"/>
  <c r="D83" i="5" s="1"/>
  <c r="E78" i="5" s="1"/>
  <c r="G76" i="5"/>
  <c r="F76" i="5"/>
  <c r="E76" i="5"/>
  <c r="D76" i="5"/>
  <c r="D77" i="5" s="1"/>
  <c r="E72" i="5" s="1"/>
  <c r="G70" i="5"/>
  <c r="F70" i="5"/>
  <c r="E70" i="5"/>
  <c r="E94" i="5" s="1"/>
  <c r="D70" i="5"/>
  <c r="D71" i="5" s="1"/>
  <c r="E66" i="5" s="1"/>
  <c r="G62" i="5"/>
  <c r="F62" i="5"/>
  <c r="E62" i="5"/>
  <c r="D62" i="5"/>
  <c r="G51" i="5"/>
  <c r="F51" i="5"/>
  <c r="E51" i="5"/>
  <c r="D51" i="5"/>
  <c r="G46" i="5"/>
  <c r="G47" i="5" s="1"/>
  <c r="F46" i="5"/>
  <c r="F47" i="5" s="1"/>
  <c r="E46" i="5"/>
  <c r="E47" i="5" s="1"/>
  <c r="D46" i="5"/>
  <c r="G45" i="5"/>
  <c r="F45" i="5"/>
  <c r="E45" i="5"/>
  <c r="D45" i="5"/>
  <c r="G40" i="5"/>
  <c r="F40" i="5"/>
  <c r="E40" i="5"/>
  <c r="D40" i="5"/>
  <c r="G38" i="5"/>
  <c r="F38" i="5"/>
  <c r="E38" i="5"/>
  <c r="D38" i="5"/>
  <c r="G34" i="5"/>
  <c r="F34" i="5"/>
  <c r="E34" i="5"/>
  <c r="D34" i="5"/>
  <c r="G30" i="5"/>
  <c r="F30" i="5"/>
  <c r="E30" i="5"/>
  <c r="D30" i="5"/>
  <c r="G11" i="5"/>
  <c r="G32" i="5" s="1"/>
  <c r="F11" i="5"/>
  <c r="F32" i="5" s="1"/>
  <c r="E11" i="5"/>
  <c r="E32" i="5" s="1"/>
  <c r="D11" i="5"/>
  <c r="G263" i="3"/>
  <c r="F263" i="3"/>
  <c r="E263" i="3"/>
  <c r="D263" i="3"/>
  <c r="D259" i="3"/>
  <c r="D258" i="3"/>
  <c r="G259" i="3"/>
  <c r="F259" i="3"/>
  <c r="E259" i="3"/>
  <c r="G258" i="3"/>
  <c r="F258" i="3"/>
  <c r="E258" i="3"/>
  <c r="D193" i="3"/>
  <c r="D144" i="3"/>
  <c r="E140" i="3" s="1"/>
  <c r="E144" i="3" s="1"/>
  <c r="F140" i="3" s="1"/>
  <c r="F144" i="3" s="1"/>
  <c r="G140" i="3" s="1"/>
  <c r="G144" i="3" s="1"/>
  <c r="H140" i="3" s="1"/>
  <c r="H144" i="3" s="1"/>
  <c r="I140" i="3" s="1"/>
  <c r="D139" i="3"/>
  <c r="E135" i="3" s="1"/>
  <c r="E139" i="3" s="1"/>
  <c r="F135" i="3" s="1"/>
  <c r="F139" i="3" s="1"/>
  <c r="G135" i="3" s="1"/>
  <c r="G139" i="3" s="1"/>
  <c r="D134" i="3"/>
  <c r="E130" i="3" s="1"/>
  <c r="E134" i="3" s="1"/>
  <c r="F130" i="3" s="1"/>
  <c r="F134" i="3" s="1"/>
  <c r="G130" i="3" s="1"/>
  <c r="G134" i="3" s="1"/>
  <c r="D129" i="3"/>
  <c r="E125" i="3" s="1"/>
  <c r="E129" i="3" s="1"/>
  <c r="F125" i="3" s="1"/>
  <c r="F129" i="3" s="1"/>
  <c r="G125" i="3" s="1"/>
  <c r="G129" i="3" s="1"/>
  <c r="E110" i="3"/>
  <c r="E109" i="3"/>
  <c r="E108" i="3"/>
  <c r="D111" i="3"/>
  <c r="D117" i="3"/>
  <c r="H51" i="18" l="1"/>
  <c r="E71" i="5"/>
  <c r="F66" i="5" s="1"/>
  <c r="F71" i="5" s="1"/>
  <c r="G66" i="5" s="1"/>
  <c r="G71" i="5" s="1"/>
  <c r="H66" i="5" s="1"/>
  <c r="H71" i="5" s="1"/>
  <c r="I66" i="5" s="1"/>
  <c r="I71" i="5" s="1"/>
  <c r="E83" i="5"/>
  <c r="F78" i="5" s="1"/>
  <c r="F83" i="5" s="1"/>
  <c r="G78" i="5" s="1"/>
  <c r="G83" i="5" s="1"/>
  <c r="H250" i="18"/>
  <c r="H217" i="18"/>
  <c r="H251" i="18"/>
  <c r="F94" i="5"/>
  <c r="G94" i="5"/>
  <c r="D32" i="5"/>
  <c r="H11" i="18"/>
  <c r="H15" i="18" s="1"/>
  <c r="H22" i="18" s="1"/>
  <c r="H24" i="18" s="1"/>
  <c r="H25" i="18" s="1"/>
  <c r="D47" i="5"/>
  <c r="H46" i="18"/>
  <c r="I89" i="12"/>
  <c r="I95" i="12"/>
  <c r="I255" i="12" s="1"/>
  <c r="I15" i="12"/>
  <c r="I22" i="12" s="1"/>
  <c r="I24" i="12" s="1"/>
  <c r="I25" i="12" s="1"/>
  <c r="I236" i="18"/>
  <c r="I42" i="12"/>
  <c r="I47" i="18"/>
  <c r="I58" i="18"/>
  <c r="I210" i="18"/>
  <c r="I15" i="18"/>
  <c r="I22" i="18" s="1"/>
  <c r="I24" i="18" s="1"/>
  <c r="G123" i="6"/>
  <c r="H122" i="6"/>
  <c r="F123" i="6"/>
  <c r="I121" i="6"/>
  <c r="J121" i="6" s="1"/>
  <c r="K121" i="6" s="1"/>
  <c r="I210" i="12"/>
  <c r="I217" i="12" s="1"/>
  <c r="I223" i="18"/>
  <c r="I242" i="18"/>
  <c r="I145" i="12"/>
  <c r="I149" i="12" s="1"/>
  <c r="I111" i="12"/>
  <c r="I58" i="12"/>
  <c r="I59" i="12" s="1"/>
  <c r="I123" i="12"/>
  <c r="I259" i="12"/>
  <c r="I230" i="12"/>
  <c r="F66" i="6"/>
  <c r="E95" i="6"/>
  <c r="D94" i="5"/>
  <c r="E90" i="5"/>
  <c r="E77" i="5"/>
  <c r="E89" i="5"/>
  <c r="F84" i="5" s="1"/>
  <c r="F89" i="5" s="1"/>
  <c r="G84" i="5" s="1"/>
  <c r="G89" i="5" s="1"/>
  <c r="D95" i="5"/>
  <c r="F108" i="3"/>
  <c r="E108" i="11"/>
  <c r="F109" i="3"/>
  <c r="E109" i="11"/>
  <c r="F110" i="3"/>
  <c r="E110" i="11"/>
  <c r="F123" i="5"/>
  <c r="G122" i="5"/>
  <c r="G93" i="3"/>
  <c r="F93" i="3"/>
  <c r="E93" i="3"/>
  <c r="D93" i="3"/>
  <c r="G92" i="3"/>
  <c r="F92" i="3"/>
  <c r="E92" i="3"/>
  <c r="D92" i="3"/>
  <c r="G91" i="3"/>
  <c r="F91" i="3"/>
  <c r="E91" i="3"/>
  <c r="D91" i="3"/>
  <c r="D90" i="3"/>
  <c r="G88" i="3"/>
  <c r="F88" i="3"/>
  <c r="E88" i="3"/>
  <c r="D88" i="3"/>
  <c r="D89" i="3" s="1"/>
  <c r="E84" i="3" s="1"/>
  <c r="E89" i="3" s="1"/>
  <c r="G82" i="3"/>
  <c r="F82" i="3"/>
  <c r="E82" i="3"/>
  <c r="D82" i="3"/>
  <c r="D83" i="3" s="1"/>
  <c r="E78" i="3" s="1"/>
  <c r="E83" i="3" s="1"/>
  <c r="G76" i="3"/>
  <c r="F76" i="3"/>
  <c r="E76" i="3"/>
  <c r="E113" i="3" s="1"/>
  <c r="F113" i="3" s="1"/>
  <c r="G113" i="3" s="1"/>
  <c r="D76" i="3"/>
  <c r="D77" i="3" s="1"/>
  <c r="E72" i="3" s="1"/>
  <c r="E77" i="3" s="1"/>
  <c r="E95" i="3" s="1"/>
  <c r="G70" i="3"/>
  <c r="F70" i="3"/>
  <c r="F94" i="3" s="1"/>
  <c r="E70" i="3"/>
  <c r="D70" i="3"/>
  <c r="D71" i="3" s="1"/>
  <c r="E66" i="3" s="1"/>
  <c r="E71" i="3" s="1"/>
  <c r="F66" i="3" s="1"/>
  <c r="G62" i="3"/>
  <c r="F62" i="3"/>
  <c r="E62" i="3"/>
  <c r="D62" i="3"/>
  <c r="G51" i="3"/>
  <c r="F51" i="3"/>
  <c r="E51" i="3"/>
  <c r="D51" i="3"/>
  <c r="G46" i="3"/>
  <c r="G47" i="3" s="1"/>
  <c r="F46" i="3"/>
  <c r="F47" i="3" s="1"/>
  <c r="E46" i="3"/>
  <c r="E47" i="3" s="1"/>
  <c r="D46" i="3"/>
  <c r="G45" i="3"/>
  <c r="F45" i="3"/>
  <c r="E45" i="3"/>
  <c r="D45" i="3"/>
  <c r="G38" i="3"/>
  <c r="F38" i="3"/>
  <c r="E38" i="3"/>
  <c r="D38" i="3"/>
  <c r="G36" i="3"/>
  <c r="F36" i="3"/>
  <c r="E36" i="3"/>
  <c r="D36" i="3"/>
  <c r="G34" i="3"/>
  <c r="F34" i="3"/>
  <c r="E34" i="3"/>
  <c r="D34" i="3"/>
  <c r="G32" i="3"/>
  <c r="F32" i="3"/>
  <c r="E32" i="3"/>
  <c r="D32" i="3"/>
  <c r="G30" i="3"/>
  <c r="F30" i="3"/>
  <c r="E30" i="3"/>
  <c r="D30" i="3"/>
  <c r="G263" i="4"/>
  <c r="F263" i="4"/>
  <c r="E263" i="4"/>
  <c r="D263" i="4"/>
  <c r="D258" i="4"/>
  <c r="G259" i="4"/>
  <c r="F259" i="4"/>
  <c r="E259" i="4"/>
  <c r="D259" i="4"/>
  <c r="G258" i="4"/>
  <c r="F258" i="4"/>
  <c r="E258" i="4"/>
  <c r="G238" i="4"/>
  <c r="F238" i="4"/>
  <c r="E238" i="4"/>
  <c r="D238" i="4"/>
  <c r="G238" i="18" s="1"/>
  <c r="G242" i="18" s="1"/>
  <c r="G232" i="4"/>
  <c r="F232" i="4"/>
  <c r="E232" i="4"/>
  <c r="D232" i="4"/>
  <c r="G219" i="4"/>
  <c r="F219" i="4"/>
  <c r="E219" i="4"/>
  <c r="D219" i="4"/>
  <c r="G219" i="18" s="1"/>
  <c r="G223" i="18" s="1"/>
  <c r="G230" i="18" s="1"/>
  <c r="G206" i="4"/>
  <c r="F206" i="4"/>
  <c r="E206" i="4"/>
  <c r="D206" i="4"/>
  <c r="D193" i="4"/>
  <c r="D144" i="4"/>
  <c r="E140" i="4" s="1"/>
  <c r="E144" i="4" s="1"/>
  <c r="F140" i="4" s="1"/>
  <c r="F144" i="4" s="1"/>
  <c r="G140" i="4" s="1"/>
  <c r="G144" i="4" s="1"/>
  <c r="H140" i="4" s="1"/>
  <c r="D139" i="4"/>
  <c r="E135" i="4" s="1"/>
  <c r="E139" i="4" s="1"/>
  <c r="F135" i="4" s="1"/>
  <c r="F139" i="4" s="1"/>
  <c r="G135" i="4" s="1"/>
  <c r="G139" i="4" s="1"/>
  <c r="D134" i="4"/>
  <c r="E130" i="4" s="1"/>
  <c r="E134" i="4" s="1"/>
  <c r="F130" i="4" s="1"/>
  <c r="F134" i="4" s="1"/>
  <c r="G130" i="4" s="1"/>
  <c r="G134" i="4" s="1"/>
  <c r="H130" i="4" s="1"/>
  <c r="G94" i="3" l="1"/>
  <c r="D47" i="3"/>
  <c r="F46" i="18"/>
  <c r="G123" i="5"/>
  <c r="H122" i="5"/>
  <c r="I122" i="5" s="1"/>
  <c r="H47" i="18"/>
  <c r="H58" i="18"/>
  <c r="H134" i="4"/>
  <c r="I130" i="4" s="1"/>
  <c r="I130" i="11" s="1"/>
  <c r="H130" i="11"/>
  <c r="G206" i="18"/>
  <c r="G210" i="18" s="1"/>
  <c r="F71" i="3"/>
  <c r="G66" i="3" s="1"/>
  <c r="G71" i="3" s="1"/>
  <c r="H66" i="3" s="1"/>
  <c r="H71" i="3" s="1"/>
  <c r="I66" i="3" s="1"/>
  <c r="I71" i="3" s="1"/>
  <c r="J66" i="3" s="1"/>
  <c r="I250" i="12"/>
  <c r="G232" i="18"/>
  <c r="G236" i="18" s="1"/>
  <c r="G243" i="18" s="1"/>
  <c r="F51" i="18"/>
  <c r="E94" i="3"/>
  <c r="I251" i="12"/>
  <c r="I122" i="6"/>
  <c r="J122" i="6" s="1"/>
  <c r="K122" i="6" s="1"/>
  <c r="I118" i="12"/>
  <c r="I217" i="18"/>
  <c r="I251" i="18"/>
  <c r="I250" i="18"/>
  <c r="I60" i="18"/>
  <c r="I59" i="18"/>
  <c r="I230" i="18"/>
  <c r="I25" i="18"/>
  <c r="I121" i="18"/>
  <c r="I60" i="12"/>
  <c r="I243" i="12"/>
  <c r="I249" i="12" s="1"/>
  <c r="I119" i="12"/>
  <c r="F71" i="6"/>
  <c r="F90" i="6"/>
  <c r="F72" i="5"/>
  <c r="E95" i="5"/>
  <c r="F84" i="3"/>
  <c r="F89" i="3" s="1"/>
  <c r="G84" i="3" s="1"/>
  <c r="G89" i="3" s="1"/>
  <c r="E116" i="3"/>
  <c r="D95" i="3"/>
  <c r="G108" i="3"/>
  <c r="G108" i="11" s="1"/>
  <c r="F108" i="11"/>
  <c r="F78" i="3"/>
  <c r="F83" i="3" s="1"/>
  <c r="G78" i="3" s="1"/>
  <c r="G83" i="3" s="1"/>
  <c r="E115" i="3"/>
  <c r="F115" i="3" s="1"/>
  <c r="E90" i="3"/>
  <c r="G110" i="3"/>
  <c r="G110" i="11" s="1"/>
  <c r="F110" i="11"/>
  <c r="F72" i="3"/>
  <c r="F77" i="3" s="1"/>
  <c r="G72" i="3" s="1"/>
  <c r="G77" i="3" s="1"/>
  <c r="E114" i="3"/>
  <c r="D94" i="3"/>
  <c r="G109" i="3"/>
  <c r="G109" i="11" s="1"/>
  <c r="F109" i="11"/>
  <c r="D129" i="4"/>
  <c r="E125" i="4"/>
  <c r="E129" i="4" s="1"/>
  <c r="F125" i="4" s="1"/>
  <c r="F129" i="4" s="1"/>
  <c r="G125" i="4" s="1"/>
  <c r="G129" i="4" s="1"/>
  <c r="D123" i="4"/>
  <c r="E122" i="4"/>
  <c r="E121" i="4"/>
  <c r="F121" i="4" s="1"/>
  <c r="G121" i="4" s="1"/>
  <c r="E115" i="4"/>
  <c r="F115" i="4" s="1"/>
  <c r="D101" i="4"/>
  <c r="G93" i="4"/>
  <c r="F93" i="4"/>
  <c r="E93" i="4"/>
  <c r="D93" i="4"/>
  <c r="G92" i="4"/>
  <c r="F92" i="4"/>
  <c r="E92" i="4"/>
  <c r="D92" i="4"/>
  <c r="G91" i="4"/>
  <c r="F91" i="4"/>
  <c r="E91" i="4"/>
  <c r="D91" i="4"/>
  <c r="D90" i="4"/>
  <c r="G82" i="4"/>
  <c r="F82" i="4"/>
  <c r="E82" i="4"/>
  <c r="D82" i="4"/>
  <c r="D83" i="4" s="1"/>
  <c r="E78" i="4" s="1"/>
  <c r="E83" i="4" s="1"/>
  <c r="F78" i="4" s="1"/>
  <c r="F83" i="4" s="1"/>
  <c r="G78" i="4" s="1"/>
  <c r="G76" i="4"/>
  <c r="F76" i="4"/>
  <c r="F94" i="4" s="1"/>
  <c r="E76" i="4"/>
  <c r="D76" i="4"/>
  <c r="D77" i="4" s="1"/>
  <c r="E72" i="4" s="1"/>
  <c r="G70" i="4"/>
  <c r="F70" i="4"/>
  <c r="E70" i="4"/>
  <c r="D70" i="4"/>
  <c r="D71" i="4" s="1"/>
  <c r="E66" i="4" s="1"/>
  <c r="E71" i="4" s="1"/>
  <c r="F66" i="4" s="1"/>
  <c r="F71" i="4" s="1"/>
  <c r="G66" i="4" s="1"/>
  <c r="G62" i="4"/>
  <c r="F62" i="4"/>
  <c r="E62" i="4"/>
  <c r="D62" i="4"/>
  <c r="G46" i="4"/>
  <c r="G47" i="4" s="1"/>
  <c r="F46" i="4"/>
  <c r="F47" i="4" s="1"/>
  <c r="E46" i="4"/>
  <c r="E47" i="4" s="1"/>
  <c r="D46" i="4"/>
  <c r="G45" i="4"/>
  <c r="F45" i="4"/>
  <c r="E45" i="4"/>
  <c r="D45" i="4"/>
  <c r="G38" i="4"/>
  <c r="F38" i="4"/>
  <c r="E38" i="4"/>
  <c r="D38" i="4"/>
  <c r="G34" i="4"/>
  <c r="F34" i="4"/>
  <c r="E34" i="4"/>
  <c r="D34" i="4"/>
  <c r="G32" i="4"/>
  <c r="F32" i="4"/>
  <c r="E32" i="4"/>
  <c r="D32" i="4"/>
  <c r="G30" i="4"/>
  <c r="F30" i="4"/>
  <c r="E30" i="4"/>
  <c r="D30" i="4"/>
  <c r="G11" i="4"/>
  <c r="G36" i="4" s="1"/>
  <c r="F11" i="4"/>
  <c r="F36" i="4" s="1"/>
  <c r="E11" i="4"/>
  <c r="E36" i="4" s="1"/>
  <c r="D11" i="4"/>
  <c r="G263" i="2"/>
  <c r="F263" i="2"/>
  <c r="E263" i="2"/>
  <c r="D263" i="2"/>
  <c r="D259" i="2"/>
  <c r="D258" i="2"/>
  <c r="G259" i="2"/>
  <c r="F259" i="2"/>
  <c r="E259" i="2"/>
  <c r="G258" i="2"/>
  <c r="F258" i="2"/>
  <c r="E258" i="2"/>
  <c r="E77" i="4" l="1"/>
  <c r="F72" i="4" s="1"/>
  <c r="F90" i="4" s="1"/>
  <c r="F114" i="3"/>
  <c r="G114" i="3" s="1"/>
  <c r="G217" i="18"/>
  <c r="G251" i="18"/>
  <c r="G250" i="18"/>
  <c r="F47" i="18"/>
  <c r="F58" i="18"/>
  <c r="G94" i="4"/>
  <c r="D36" i="4"/>
  <c r="G11" i="18"/>
  <c r="G15" i="18" s="1"/>
  <c r="G22" i="18" s="1"/>
  <c r="G24" i="18" s="1"/>
  <c r="G25" i="18" s="1"/>
  <c r="D47" i="4"/>
  <c r="G46" i="18"/>
  <c r="E94" i="4"/>
  <c r="J122" i="5"/>
  <c r="K122" i="5" s="1"/>
  <c r="H122" i="18"/>
  <c r="H123" i="18" s="1"/>
  <c r="G71" i="4"/>
  <c r="H66" i="4" s="1"/>
  <c r="H71" i="4" s="1"/>
  <c r="I66" i="4" s="1"/>
  <c r="I71" i="4" s="1"/>
  <c r="J66" i="4" s="1"/>
  <c r="G95" i="3"/>
  <c r="H249" i="18"/>
  <c r="H60" i="18"/>
  <c r="H59" i="18"/>
  <c r="I243" i="18"/>
  <c r="I249" i="18" s="1"/>
  <c r="I122" i="18"/>
  <c r="G66" i="6"/>
  <c r="F95" i="6"/>
  <c r="F77" i="5"/>
  <c r="F90" i="5"/>
  <c r="G115" i="3"/>
  <c r="F116" i="3"/>
  <c r="G116" i="3" s="1"/>
  <c r="F90" i="3"/>
  <c r="G90" i="3"/>
  <c r="E117" i="3"/>
  <c r="F95" i="3"/>
  <c r="G83" i="4"/>
  <c r="E123" i="4"/>
  <c r="F77" i="4"/>
  <c r="G72" i="4" s="1"/>
  <c r="D94" i="4"/>
  <c r="E90" i="4"/>
  <c r="E114" i="4"/>
  <c r="F114" i="4" s="1"/>
  <c r="F122" i="4"/>
  <c r="F249" i="18" l="1"/>
  <c r="F60" i="18"/>
  <c r="F59" i="18"/>
  <c r="G117" i="3"/>
  <c r="F117" i="3"/>
  <c r="G47" i="18"/>
  <c r="G58" i="18"/>
  <c r="G115" i="4"/>
  <c r="H78" i="4"/>
  <c r="H83" i="4" s="1"/>
  <c r="I78" i="4" s="1"/>
  <c r="I123" i="18"/>
  <c r="G71" i="6"/>
  <c r="G90" i="6"/>
  <c r="G72" i="5"/>
  <c r="F95" i="5"/>
  <c r="G77" i="4"/>
  <c r="G90" i="4"/>
  <c r="F123" i="4"/>
  <c r="G122" i="4"/>
  <c r="G123" i="4" s="1"/>
  <c r="G59" i="18" l="1"/>
  <c r="G249" i="18"/>
  <c r="G60" i="18"/>
  <c r="G95" i="6"/>
  <c r="H66" i="6"/>
  <c r="G77" i="5"/>
  <c r="G95" i="5" s="1"/>
  <c r="G90" i="5"/>
  <c r="G114" i="4"/>
  <c r="G238" i="2"/>
  <c r="F238" i="2"/>
  <c r="E238" i="2"/>
  <c r="D238" i="2"/>
  <c r="E238" i="18" s="1"/>
  <c r="E242" i="18" s="1"/>
  <c r="G232" i="2"/>
  <c r="F232" i="2"/>
  <c r="E232" i="2"/>
  <c r="D232" i="2"/>
  <c r="E232" i="18" s="1"/>
  <c r="E236" i="18" s="1"/>
  <c r="G219" i="2"/>
  <c r="G219" i="11" s="1"/>
  <c r="F219" i="2"/>
  <c r="F219" i="11" s="1"/>
  <c r="E219" i="2"/>
  <c r="E219" i="11" s="1"/>
  <c r="D219" i="2"/>
  <c r="E219" i="18" s="1"/>
  <c r="E223" i="18" s="1"/>
  <c r="E230" i="18" s="1"/>
  <c r="G206" i="2"/>
  <c r="F206" i="2"/>
  <c r="E206" i="2"/>
  <c r="D206" i="2"/>
  <c r="E206" i="18" s="1"/>
  <c r="E210" i="18" s="1"/>
  <c r="E193" i="2"/>
  <c r="F193" i="2"/>
  <c r="G193" i="2"/>
  <c r="D193" i="2"/>
  <c r="E251" i="18" l="1"/>
  <c r="E250" i="18"/>
  <c r="E217" i="18"/>
  <c r="E243" i="18"/>
  <c r="H71" i="6"/>
  <c r="I66" i="6" s="1"/>
  <c r="G148" i="2"/>
  <c r="F148" i="2"/>
  <c r="E148" i="2"/>
  <c r="D148" i="2"/>
  <c r="G147" i="2"/>
  <c r="F147" i="2"/>
  <c r="E147" i="2"/>
  <c r="D147" i="2"/>
  <c r="G146" i="2"/>
  <c r="F146" i="2"/>
  <c r="E146" i="2"/>
  <c r="D146" i="2"/>
  <c r="D145" i="2"/>
  <c r="D144" i="2"/>
  <c r="E140" i="2" s="1"/>
  <c r="E144" i="2" s="1"/>
  <c r="F140" i="2" s="1"/>
  <c r="F144" i="2" s="1"/>
  <c r="G140" i="2" s="1"/>
  <c r="G144" i="2" s="1"/>
  <c r="H140" i="2" s="1"/>
  <c r="H144" i="2" s="1"/>
  <c r="I140" i="2" s="1"/>
  <c r="D139" i="2"/>
  <c r="E135" i="2" s="1"/>
  <c r="E139" i="2" s="1"/>
  <c r="F135" i="2" s="1"/>
  <c r="F139" i="2" s="1"/>
  <c r="G135" i="2" s="1"/>
  <c r="G139" i="2" s="1"/>
  <c r="D134" i="2"/>
  <c r="E130" i="2" s="1"/>
  <c r="E134" i="2" s="1"/>
  <c r="F130" i="2" s="1"/>
  <c r="F134" i="2" s="1"/>
  <c r="G130" i="2" s="1"/>
  <c r="G134" i="2" s="1"/>
  <c r="D129" i="2"/>
  <c r="E125" i="2"/>
  <c r="E129" i="2" s="1"/>
  <c r="F125" i="2" s="1"/>
  <c r="F129" i="2" s="1"/>
  <c r="G125" i="2" s="1"/>
  <c r="G129" i="2" s="1"/>
  <c r="D123" i="2"/>
  <c r="E122" i="2"/>
  <c r="E121" i="2"/>
  <c r="F121" i="2" s="1"/>
  <c r="G121" i="2" s="1"/>
  <c r="H121" i="2" s="1"/>
  <c r="I121" i="2" s="1"/>
  <c r="E115" i="2"/>
  <c r="D101" i="2"/>
  <c r="G93" i="2"/>
  <c r="F93" i="2"/>
  <c r="E93" i="2"/>
  <c r="D93" i="2"/>
  <c r="G92" i="2"/>
  <c r="F92" i="2"/>
  <c r="E92" i="2"/>
  <c r="D92" i="2"/>
  <c r="G91" i="2"/>
  <c r="F91" i="2"/>
  <c r="E91" i="2"/>
  <c r="D91" i="2"/>
  <c r="D90" i="2"/>
  <c r="G88" i="2"/>
  <c r="F88" i="2"/>
  <c r="E88" i="2"/>
  <c r="D88" i="2"/>
  <c r="D89" i="2" s="1"/>
  <c r="E84" i="2" s="1"/>
  <c r="G82" i="2"/>
  <c r="F82" i="2"/>
  <c r="E82" i="2"/>
  <c r="D82" i="2"/>
  <c r="D83" i="2" s="1"/>
  <c r="E78" i="2" s="1"/>
  <c r="E83" i="2" s="1"/>
  <c r="F78" i="2" s="1"/>
  <c r="F83" i="2" s="1"/>
  <c r="G78" i="2" s="1"/>
  <c r="G83" i="2" s="1"/>
  <c r="G76" i="2"/>
  <c r="F76" i="2"/>
  <c r="E76" i="2"/>
  <c r="D76" i="2"/>
  <c r="D77" i="2" s="1"/>
  <c r="E72" i="2" s="1"/>
  <c r="G70" i="2"/>
  <c r="F70" i="2"/>
  <c r="E70" i="2"/>
  <c r="D70" i="2"/>
  <c r="D71" i="2" s="1"/>
  <c r="E66" i="2" s="1"/>
  <c r="G62" i="2"/>
  <c r="F62" i="2"/>
  <c r="E62" i="2"/>
  <c r="D62" i="2"/>
  <c r="G51" i="2"/>
  <c r="F51" i="2"/>
  <c r="E51" i="2"/>
  <c r="D51" i="2"/>
  <c r="E51" i="18" s="1"/>
  <c r="E58" i="18" s="1"/>
  <c r="G38" i="2"/>
  <c r="F38" i="2"/>
  <c r="E38" i="2"/>
  <c r="D38" i="2"/>
  <c r="G34" i="2"/>
  <c r="F34" i="2"/>
  <c r="E34" i="2"/>
  <c r="D34" i="2"/>
  <c r="G32" i="2"/>
  <c r="F32" i="2"/>
  <c r="E32" i="2"/>
  <c r="D32" i="2"/>
  <c r="G30" i="2"/>
  <c r="F30" i="2"/>
  <c r="E30" i="2"/>
  <c r="D30" i="2"/>
  <c r="G11" i="2"/>
  <c r="F11" i="2"/>
  <c r="F36" i="2" s="1"/>
  <c r="E11" i="2"/>
  <c r="D11" i="2"/>
  <c r="G263" i="1"/>
  <c r="F263" i="1"/>
  <c r="E263" i="1"/>
  <c r="D263" i="1"/>
  <c r="F259" i="1"/>
  <c r="F258" i="1"/>
  <c r="E249" i="18" l="1"/>
  <c r="E59" i="18"/>
  <c r="D36" i="2"/>
  <c r="E11" i="18"/>
  <c r="E15" i="18" s="1"/>
  <c r="E22" i="18" s="1"/>
  <c r="E24" i="18" s="1"/>
  <c r="E25" i="18" s="1"/>
  <c r="E94" i="2"/>
  <c r="G149" i="2"/>
  <c r="J121" i="2"/>
  <c r="E121" i="18"/>
  <c r="J121" i="18" s="1"/>
  <c r="I121" i="11"/>
  <c r="E90" i="2"/>
  <c r="F94" i="2"/>
  <c r="G94" i="2"/>
  <c r="I71" i="6"/>
  <c r="J66" i="6" s="1"/>
  <c r="E123" i="2"/>
  <c r="D149" i="2"/>
  <c r="E145" i="2" s="1"/>
  <c r="E149" i="2"/>
  <c r="F145" i="2" s="1"/>
  <c r="F115" i="2"/>
  <c r="E115" i="11"/>
  <c r="D94" i="2"/>
  <c r="F149" i="2"/>
  <c r="G145" i="2" s="1"/>
  <c r="E77" i="2"/>
  <c r="E89" i="2"/>
  <c r="D95" i="2"/>
  <c r="F122" i="2"/>
  <c r="E71" i="2"/>
  <c r="K121" i="2" l="1"/>
  <c r="K121" i="11" s="1"/>
  <c r="J121" i="11"/>
  <c r="E60" i="18"/>
  <c r="F72" i="2"/>
  <c r="F77" i="2" s="1"/>
  <c r="G72" i="2" s="1"/>
  <c r="G77" i="2" s="1"/>
  <c r="E114" i="2"/>
  <c r="F66" i="2"/>
  <c r="E113" i="2"/>
  <c r="E95" i="2"/>
  <c r="G115" i="2"/>
  <c r="G115" i="11" s="1"/>
  <c r="F115" i="11"/>
  <c r="F84" i="2"/>
  <c r="F89" i="2" s="1"/>
  <c r="G84" i="2" s="1"/>
  <c r="G89" i="2" s="1"/>
  <c r="E116" i="2"/>
  <c r="G122" i="2"/>
  <c r="F123" i="2"/>
  <c r="F71" i="2"/>
  <c r="G123" i="2" l="1"/>
  <c r="H122" i="2"/>
  <c r="I122" i="2" s="1"/>
  <c r="G66" i="2"/>
  <c r="G90" i="2" s="1"/>
  <c r="F95" i="2"/>
  <c r="F113" i="2"/>
  <c r="E113" i="11"/>
  <c r="E114" i="11"/>
  <c r="F114" i="2"/>
  <c r="F90" i="2"/>
  <c r="F116" i="2"/>
  <c r="G71" i="2"/>
  <c r="G95" i="2" l="1"/>
  <c r="H66" i="2"/>
  <c r="H71" i="2" s="1"/>
  <c r="I66" i="2" s="1"/>
  <c r="I71" i="2" s="1"/>
  <c r="J66" i="2" s="1"/>
  <c r="J122" i="2"/>
  <c r="E122" i="18"/>
  <c r="I122" i="11"/>
  <c r="I123" i="11" s="1"/>
  <c r="F114" i="11"/>
  <c r="G114" i="2"/>
  <c r="G114" i="11" s="1"/>
  <c r="G113" i="2"/>
  <c r="G113" i="11" s="1"/>
  <c r="F113" i="11"/>
  <c r="G116" i="2"/>
  <c r="E123" i="18" l="1"/>
  <c r="J122" i="18"/>
  <c r="J123" i="18" s="1"/>
  <c r="K122" i="2"/>
  <c r="K122" i="11" s="1"/>
  <c r="K123" i="11" s="1"/>
  <c r="J122" i="11"/>
  <c r="J123" i="11" s="1"/>
  <c r="G238" i="1"/>
  <c r="G238" i="11" s="1"/>
  <c r="F238" i="1"/>
  <c r="F238" i="11" s="1"/>
  <c r="E238" i="1"/>
  <c r="E238" i="11" s="1"/>
  <c r="G232" i="1"/>
  <c r="G232" i="11" s="1"/>
  <c r="F232" i="1"/>
  <c r="F232" i="11" s="1"/>
  <c r="E232" i="1"/>
  <c r="E232" i="11" s="1"/>
  <c r="G206" i="1"/>
  <c r="G206" i="11" s="1"/>
  <c r="F206" i="1"/>
  <c r="F206" i="11" s="1"/>
  <c r="E206" i="1"/>
  <c r="E206" i="11" s="1"/>
  <c r="F193" i="1"/>
  <c r="G193" i="1"/>
  <c r="E193" i="1"/>
  <c r="D193" i="1"/>
  <c r="G148" i="1"/>
  <c r="F148" i="1"/>
  <c r="E148" i="1"/>
  <c r="G147" i="1"/>
  <c r="F147" i="1"/>
  <c r="E147" i="1"/>
  <c r="G146" i="1"/>
  <c r="F146" i="1"/>
  <c r="E146" i="1"/>
  <c r="E135" i="1"/>
  <c r="E122" i="1"/>
  <c r="E121" i="1"/>
  <c r="D107" i="1"/>
  <c r="D107" i="11" s="1"/>
  <c r="G93" i="1"/>
  <c r="F93" i="1"/>
  <c r="E93" i="1"/>
  <c r="G92" i="1"/>
  <c r="F92" i="1"/>
  <c r="E92" i="1"/>
  <c r="G91" i="1"/>
  <c r="F91" i="1"/>
  <c r="E91" i="1"/>
  <c r="G88" i="1"/>
  <c r="F88" i="1"/>
  <c r="E88" i="1"/>
  <c r="G82" i="1"/>
  <c r="F82" i="1"/>
  <c r="E82" i="1"/>
  <c r="G76" i="1"/>
  <c r="F76" i="1"/>
  <c r="E76" i="1"/>
  <c r="G70" i="1"/>
  <c r="F70" i="1"/>
  <c r="E70" i="1"/>
  <c r="G62" i="1"/>
  <c r="F62" i="1"/>
  <c r="E62" i="1"/>
  <c r="G51" i="1"/>
  <c r="G51" i="11" s="1"/>
  <c r="F51" i="1"/>
  <c r="F51" i="11" s="1"/>
  <c r="E51" i="1"/>
  <c r="E51" i="11" s="1"/>
  <c r="F46" i="1"/>
  <c r="G46" i="1"/>
  <c r="E46" i="1"/>
  <c r="G45" i="1"/>
  <c r="F45" i="1"/>
  <c r="E45" i="1"/>
  <c r="G30" i="1"/>
  <c r="F30" i="1"/>
  <c r="E30" i="1"/>
  <c r="D30" i="1"/>
  <c r="G11" i="1"/>
  <c r="G11" i="11" s="1"/>
  <c r="F11" i="1"/>
  <c r="F11" i="11" s="1"/>
  <c r="E11" i="1"/>
  <c r="E11" i="11" s="1"/>
  <c r="N41" i="1"/>
  <c r="J41" i="1"/>
  <c r="K41" i="1"/>
  <c r="L41" i="1"/>
  <c r="M41" i="1"/>
  <c r="E41" i="1"/>
  <c r="F41" i="1"/>
  <c r="G41" i="1"/>
  <c r="H41" i="1"/>
  <c r="H58" i="1" s="1"/>
  <c r="I41" i="1"/>
  <c r="F38" i="1"/>
  <c r="E38" i="1"/>
  <c r="F34" i="1"/>
  <c r="E34" i="1"/>
  <c r="D34" i="1"/>
  <c r="F32" i="1"/>
  <c r="E32" i="1"/>
  <c r="D32" i="1"/>
  <c r="D17" i="18"/>
  <c r="E21" i="1"/>
  <c r="F21" i="1"/>
  <c r="H59" i="1" l="1"/>
  <c r="E94" i="1"/>
  <c r="E36" i="1"/>
  <c r="F94" i="1"/>
  <c r="D20" i="11"/>
  <c r="D20" i="18"/>
  <c r="J20" i="18" s="1"/>
  <c r="D19" i="11"/>
  <c r="D19" i="18"/>
  <c r="J19" i="18" s="1"/>
  <c r="D18" i="11"/>
  <c r="D18" i="18"/>
  <c r="J18" i="18" s="1"/>
  <c r="J17" i="18"/>
  <c r="G94" i="1"/>
  <c r="F121" i="1"/>
  <c r="E121" i="11"/>
  <c r="E123" i="1"/>
  <c r="E122" i="11"/>
  <c r="E139" i="1"/>
  <c r="F135" i="1" s="1"/>
  <c r="E135" i="11"/>
  <c r="D21" i="1"/>
  <c r="D17" i="11"/>
  <c r="F122" i="1"/>
  <c r="F122" i="11" s="1"/>
  <c r="D238" i="1"/>
  <c r="D232" i="1"/>
  <c r="D219" i="1"/>
  <c r="D206" i="1"/>
  <c r="D101" i="1"/>
  <c r="D101" i="11" s="1"/>
  <c r="D62" i="1"/>
  <c r="D51" i="1"/>
  <c r="D46" i="18"/>
  <c r="D13" i="18"/>
  <c r="J13" i="18" s="1"/>
  <c r="D11" i="11" l="1"/>
  <c r="D11" i="18"/>
  <c r="D12" i="11"/>
  <c r="D12" i="18"/>
  <c r="J12" i="18" s="1"/>
  <c r="D47" i="18"/>
  <c r="D58" i="18"/>
  <c r="J46" i="18"/>
  <c r="J47" i="18" s="1"/>
  <c r="D238" i="11"/>
  <c r="D238" i="18"/>
  <c r="D51" i="11"/>
  <c r="D51" i="18"/>
  <c r="J51" i="18" s="1"/>
  <c r="D44" i="11"/>
  <c r="D44" i="18"/>
  <c r="D21" i="18"/>
  <c r="J21" i="18"/>
  <c r="D14" i="11"/>
  <c r="D14" i="18"/>
  <c r="J14" i="18" s="1"/>
  <c r="D206" i="11"/>
  <c r="D206" i="18"/>
  <c r="D219" i="11"/>
  <c r="D219" i="18"/>
  <c r="E123" i="11"/>
  <c r="D232" i="11"/>
  <c r="D232" i="18"/>
  <c r="F139" i="1"/>
  <c r="G135" i="1" s="1"/>
  <c r="F135" i="11"/>
  <c r="G121" i="1"/>
  <c r="F121" i="11"/>
  <c r="F123" i="11" s="1"/>
  <c r="D38" i="1"/>
  <c r="D13" i="11"/>
  <c r="F123" i="1"/>
  <c r="G122" i="1"/>
  <c r="H122" i="1" s="1"/>
  <c r="H122" i="11" s="1"/>
  <c r="D41" i="1"/>
  <c r="D42" i="1" s="1"/>
  <c r="D236" i="18" l="1"/>
  <c r="J232" i="18"/>
  <c r="J236" i="18" s="1"/>
  <c r="D223" i="18"/>
  <c r="J219" i="18"/>
  <c r="D45" i="18"/>
  <c r="J44" i="18"/>
  <c r="J45" i="18" s="1"/>
  <c r="D59" i="18"/>
  <c r="J58" i="18"/>
  <c r="G121" i="11"/>
  <c r="H121" i="1"/>
  <c r="H121" i="11" s="1"/>
  <c r="H123" i="11" s="1"/>
  <c r="D210" i="18"/>
  <c r="J206" i="18"/>
  <c r="D15" i="18"/>
  <c r="D22" i="18" s="1"/>
  <c r="J11" i="18"/>
  <c r="J15" i="18" s="1"/>
  <c r="J22" i="18" s="1"/>
  <c r="D242" i="18"/>
  <c r="J238" i="18"/>
  <c r="J242" i="18" s="1"/>
  <c r="G123" i="1"/>
  <c r="G122" i="11"/>
  <c r="G123" i="11" s="1"/>
  <c r="G139" i="1"/>
  <c r="H135" i="1" s="1"/>
  <c r="H139" i="1" s="1"/>
  <c r="I135" i="1" s="1"/>
  <c r="I135" i="11" s="1"/>
  <c r="G135" i="11"/>
  <c r="D70" i="1"/>
  <c r="D71" i="1" s="1"/>
  <c r="E66" i="1" s="1"/>
  <c r="D76" i="1"/>
  <c r="D77" i="1" s="1"/>
  <c r="E72" i="1" s="1"/>
  <c r="D82" i="1"/>
  <c r="D83" i="1" s="1"/>
  <c r="E78" i="1" s="1"/>
  <c r="D88" i="1"/>
  <c r="D89" i="1" s="1"/>
  <c r="E84" i="1" s="1"/>
  <c r="D90" i="1"/>
  <c r="D24" i="18" l="1"/>
  <c r="D60" i="18"/>
  <c r="D250" i="18"/>
  <c r="D251" i="18"/>
  <c r="D217" i="18"/>
  <c r="J210" i="18"/>
  <c r="J60" i="18"/>
  <c r="J249" i="18"/>
  <c r="J59" i="18"/>
  <c r="D230" i="18"/>
  <c r="J223" i="18"/>
  <c r="J243" i="18" s="1"/>
  <c r="E78" i="11"/>
  <c r="E83" i="1"/>
  <c r="E71" i="1"/>
  <c r="F66" i="1" s="1"/>
  <c r="E66" i="11"/>
  <c r="E84" i="11"/>
  <c r="E89" i="1"/>
  <c r="F84" i="1" s="1"/>
  <c r="E72" i="11"/>
  <c r="E77" i="1"/>
  <c r="F72" i="1" s="1"/>
  <c r="D246" i="16"/>
  <c r="E246" i="16"/>
  <c r="F246" i="16"/>
  <c r="G246" i="16"/>
  <c r="H246" i="16"/>
  <c r="I246" i="16"/>
  <c r="I245" i="16"/>
  <c r="H245" i="16"/>
  <c r="G245" i="16"/>
  <c r="F245" i="16"/>
  <c r="E245" i="16"/>
  <c r="D245" i="16"/>
  <c r="J217" i="18" l="1"/>
  <c r="J250" i="18"/>
  <c r="J251" i="18"/>
  <c r="D243" i="18"/>
  <c r="D249" i="18" s="1"/>
  <c r="J230" i="18"/>
  <c r="D25" i="18"/>
  <c r="J24" i="18"/>
  <c r="J25" i="18" s="1"/>
  <c r="F77" i="1"/>
  <c r="G72" i="1" s="1"/>
  <c r="F72" i="11"/>
  <c r="F89" i="1"/>
  <c r="G84" i="1" s="1"/>
  <c r="F84" i="11"/>
  <c r="F71" i="1"/>
  <c r="G66" i="1" s="1"/>
  <c r="F66" i="11"/>
  <c r="G71" i="1" l="1"/>
  <c r="H66" i="1" s="1"/>
  <c r="G66" i="11"/>
  <c r="G89" i="1"/>
  <c r="G84" i="11"/>
  <c r="G77" i="1"/>
  <c r="H72" i="1" s="1"/>
  <c r="G72" i="11"/>
  <c r="P196" i="6"/>
  <c r="P196" i="4"/>
  <c r="H77" i="1" l="1"/>
  <c r="H72" i="11"/>
  <c r="H71" i="1"/>
  <c r="I66" i="1" s="1"/>
  <c r="H66" i="11"/>
  <c r="P246" i="6"/>
  <c r="P245" i="6"/>
  <c r="P246" i="5"/>
  <c r="P245" i="5"/>
  <c r="P246" i="4"/>
  <c r="P245" i="4"/>
  <c r="P246" i="3"/>
  <c r="P245" i="3"/>
  <c r="P246" i="2"/>
  <c r="P245" i="2"/>
  <c r="P246" i="1"/>
  <c r="P245" i="1"/>
  <c r="I71" i="1" l="1"/>
  <c r="J66" i="1" s="1"/>
  <c r="J66" i="11" s="1"/>
  <c r="I66" i="11"/>
  <c r="I143" i="16"/>
  <c r="H143" i="16"/>
  <c r="G143" i="16"/>
  <c r="F143" i="16"/>
  <c r="E143" i="16"/>
  <c r="D143" i="16"/>
  <c r="I142" i="16"/>
  <c r="H142" i="16"/>
  <c r="G142" i="16"/>
  <c r="F142" i="16"/>
  <c r="E142" i="16"/>
  <c r="D142" i="16"/>
  <c r="I141" i="16"/>
  <c r="H141" i="16"/>
  <c r="G141" i="16"/>
  <c r="F141" i="16"/>
  <c r="E141" i="16"/>
  <c r="D141" i="16"/>
  <c r="I140" i="16"/>
  <c r="H140" i="16"/>
  <c r="G140" i="16"/>
  <c r="F140" i="16"/>
  <c r="E140" i="16"/>
  <c r="D140" i="16"/>
  <c r="I138" i="16"/>
  <c r="H138" i="16"/>
  <c r="G138" i="16"/>
  <c r="F138" i="16"/>
  <c r="E138" i="16"/>
  <c r="D138" i="16"/>
  <c r="I137" i="16"/>
  <c r="H137" i="16"/>
  <c r="G137" i="16"/>
  <c r="F137" i="16"/>
  <c r="E137" i="16"/>
  <c r="D137" i="16"/>
  <c r="I136" i="16"/>
  <c r="H136" i="16"/>
  <c r="G136" i="16"/>
  <c r="F136" i="16"/>
  <c r="E136" i="16"/>
  <c r="D136" i="16"/>
  <c r="I135" i="16"/>
  <c r="H135" i="16"/>
  <c r="G135" i="16"/>
  <c r="F135" i="16"/>
  <c r="E135" i="16"/>
  <c r="I133" i="16"/>
  <c r="H133" i="16"/>
  <c r="G133" i="16"/>
  <c r="F133" i="16"/>
  <c r="E133" i="16"/>
  <c r="D133" i="16"/>
  <c r="I132" i="16"/>
  <c r="H132" i="16"/>
  <c r="G132" i="16"/>
  <c r="F132" i="16"/>
  <c r="E132" i="16"/>
  <c r="D132" i="16"/>
  <c r="I131" i="16"/>
  <c r="H131" i="16"/>
  <c r="G131" i="16"/>
  <c r="F131" i="16"/>
  <c r="E131" i="16"/>
  <c r="D131" i="16"/>
  <c r="I130" i="16"/>
  <c r="H130" i="16"/>
  <c r="G130" i="16"/>
  <c r="F130" i="16"/>
  <c r="E130" i="16"/>
  <c r="D130" i="16"/>
  <c r="I128" i="16"/>
  <c r="H128" i="16"/>
  <c r="G128" i="16"/>
  <c r="F128" i="16"/>
  <c r="E128" i="16"/>
  <c r="D128" i="16"/>
  <c r="I127" i="16"/>
  <c r="H127" i="16"/>
  <c r="G127" i="16"/>
  <c r="F127" i="16"/>
  <c r="E127" i="16"/>
  <c r="D127" i="16"/>
  <c r="I126" i="16"/>
  <c r="H126" i="16"/>
  <c r="G126" i="16"/>
  <c r="F126" i="16"/>
  <c r="E126" i="16"/>
  <c r="D126" i="16"/>
  <c r="I125" i="16"/>
  <c r="H125" i="16"/>
  <c r="G125" i="16"/>
  <c r="F125" i="16"/>
  <c r="E125" i="16"/>
  <c r="D125" i="16"/>
  <c r="D50" i="12"/>
  <c r="E50" i="12"/>
  <c r="F50" i="12"/>
  <c r="G50" i="12"/>
  <c r="H50" i="12"/>
  <c r="D51" i="12"/>
  <c r="J51" i="12" s="1"/>
  <c r="E51" i="12"/>
  <c r="F51" i="12"/>
  <c r="G51" i="12"/>
  <c r="H51" i="12"/>
  <c r="P88" i="6"/>
  <c r="H89" i="6"/>
  <c r="I89" i="6"/>
  <c r="J89" i="6"/>
  <c r="K89" i="6"/>
  <c r="L89" i="6"/>
  <c r="M89" i="6"/>
  <c r="N89" i="6"/>
  <c r="P88" i="5"/>
  <c r="P86" i="4"/>
  <c r="I76" i="1"/>
  <c r="I77" i="1" s="1"/>
  <c r="J76" i="1"/>
  <c r="J77" i="1" s="1"/>
  <c r="K76" i="1"/>
  <c r="K77" i="1" s="1"/>
  <c r="L76" i="1"/>
  <c r="L77" i="1" s="1"/>
  <c r="M76" i="1"/>
  <c r="M77" i="1" s="1"/>
  <c r="N76" i="1"/>
  <c r="N77" i="1" s="1"/>
  <c r="P75" i="1"/>
  <c r="P74" i="1"/>
  <c r="P73" i="1"/>
  <c r="P72" i="1"/>
  <c r="I87" i="16"/>
  <c r="H87" i="16"/>
  <c r="G87" i="16"/>
  <c r="F87" i="16"/>
  <c r="E87" i="16"/>
  <c r="D87" i="16"/>
  <c r="I86" i="16"/>
  <c r="H86" i="16"/>
  <c r="G86" i="16"/>
  <c r="F86" i="16"/>
  <c r="E86" i="16"/>
  <c r="D86" i="16"/>
  <c r="I85" i="16"/>
  <c r="H85" i="16"/>
  <c r="G85" i="16"/>
  <c r="F85" i="16"/>
  <c r="E85" i="16"/>
  <c r="D85" i="16"/>
  <c r="I84" i="16"/>
  <c r="H84" i="16"/>
  <c r="G84" i="16"/>
  <c r="F84" i="16"/>
  <c r="E84" i="16"/>
  <c r="D84" i="16"/>
  <c r="I81" i="16"/>
  <c r="H81" i="16"/>
  <c r="G81" i="16"/>
  <c r="F81" i="16"/>
  <c r="E81" i="16"/>
  <c r="D81" i="16"/>
  <c r="I80" i="16"/>
  <c r="H80" i="16"/>
  <c r="G80" i="16"/>
  <c r="F80" i="16"/>
  <c r="E80" i="16"/>
  <c r="D80" i="16"/>
  <c r="I79" i="16"/>
  <c r="H79" i="16"/>
  <c r="G79" i="16"/>
  <c r="F79" i="16"/>
  <c r="E79" i="16"/>
  <c r="D79" i="16"/>
  <c r="I78" i="16"/>
  <c r="H78" i="16"/>
  <c r="G78" i="16"/>
  <c r="F78" i="16"/>
  <c r="E78" i="16"/>
  <c r="D78" i="16"/>
  <c r="I75" i="16"/>
  <c r="H75" i="16"/>
  <c r="G75" i="16"/>
  <c r="F75" i="16"/>
  <c r="E75" i="16"/>
  <c r="D75" i="16"/>
  <c r="I74" i="16"/>
  <c r="H74" i="16"/>
  <c r="G74" i="16"/>
  <c r="F74" i="16"/>
  <c r="E74" i="16"/>
  <c r="D74" i="16"/>
  <c r="I73" i="16"/>
  <c r="H73" i="16"/>
  <c r="G73" i="16"/>
  <c r="F73" i="16"/>
  <c r="E73" i="16"/>
  <c r="D73" i="16"/>
  <c r="I72" i="16"/>
  <c r="H72" i="16"/>
  <c r="G72" i="16"/>
  <c r="F72" i="16"/>
  <c r="E72" i="16"/>
  <c r="D72" i="16"/>
  <c r="I66" i="16"/>
  <c r="H66" i="16"/>
  <c r="G66" i="16"/>
  <c r="F66" i="16"/>
  <c r="E66" i="16"/>
  <c r="D66" i="16"/>
  <c r="P86" i="1"/>
  <c r="P87" i="1"/>
  <c r="D87" i="17" s="1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N92" i="1"/>
  <c r="P80" i="1"/>
  <c r="P196" i="1"/>
  <c r="J50" i="12" l="1"/>
  <c r="I88" i="16"/>
  <c r="I82" i="16"/>
  <c r="I83" i="16" s="1"/>
  <c r="F76" i="16"/>
  <c r="G82" i="16"/>
  <c r="G83" i="16" s="1"/>
  <c r="G76" i="16"/>
  <c r="G77" i="16" s="1"/>
  <c r="E88" i="16"/>
  <c r="I144" i="16"/>
  <c r="H76" i="16"/>
  <c r="H77" i="16" s="1"/>
  <c r="H82" i="16"/>
  <c r="H83" i="16" s="1"/>
  <c r="G88" i="16"/>
  <c r="G89" i="16" s="1"/>
  <c r="F88" i="16"/>
  <c r="F89" i="16" s="1"/>
  <c r="G144" i="16"/>
  <c r="E90" i="16"/>
  <c r="F144" i="16"/>
  <c r="I76" i="16"/>
  <c r="I77" i="16" s="1"/>
  <c r="H88" i="16"/>
  <c r="H89" i="16" s="1"/>
  <c r="D76" i="16"/>
  <c r="D77" i="16" s="1"/>
  <c r="D82" i="16"/>
  <c r="D83" i="16" s="1"/>
  <c r="E144" i="16"/>
  <c r="H144" i="16"/>
  <c r="E76" i="16"/>
  <c r="E77" i="16" s="1"/>
  <c r="E82" i="16"/>
  <c r="E83" i="16" s="1"/>
  <c r="D88" i="16"/>
  <c r="D89" i="16" s="1"/>
  <c r="P76" i="1"/>
  <c r="P77" i="1" s="1"/>
  <c r="I89" i="16"/>
  <c r="I90" i="16"/>
  <c r="H90" i="16"/>
  <c r="G90" i="16"/>
  <c r="F82" i="16"/>
  <c r="F83" i="16" s="1"/>
  <c r="F77" i="16"/>
  <c r="F90" i="16"/>
  <c r="P263" i="1"/>
  <c r="D90" i="16"/>
  <c r="E89" i="16"/>
  <c r="I122" i="16" l="1"/>
  <c r="H122" i="16"/>
  <c r="G122" i="16"/>
  <c r="F122" i="16"/>
  <c r="E122" i="16"/>
  <c r="D122" i="16"/>
  <c r="I121" i="16"/>
  <c r="H121" i="16"/>
  <c r="G121" i="16"/>
  <c r="F121" i="16"/>
  <c r="E121" i="16"/>
  <c r="D121" i="16"/>
  <c r="I116" i="16"/>
  <c r="H116" i="16"/>
  <c r="G116" i="16"/>
  <c r="F116" i="16"/>
  <c r="E116" i="16"/>
  <c r="D116" i="16"/>
  <c r="I115" i="16"/>
  <c r="H115" i="16"/>
  <c r="G115" i="16"/>
  <c r="F115" i="16"/>
  <c r="E115" i="16"/>
  <c r="D115" i="16"/>
  <c r="I114" i="16"/>
  <c r="H114" i="16"/>
  <c r="G114" i="16"/>
  <c r="F114" i="16"/>
  <c r="E114" i="16"/>
  <c r="D114" i="16"/>
  <c r="I113" i="16"/>
  <c r="H113" i="16"/>
  <c r="G113" i="16"/>
  <c r="F113" i="16"/>
  <c r="E113" i="16"/>
  <c r="D113" i="16"/>
  <c r="I110" i="16"/>
  <c r="H110" i="16"/>
  <c r="G110" i="16"/>
  <c r="F110" i="16"/>
  <c r="E110" i="16"/>
  <c r="D110" i="16"/>
  <c r="I109" i="16"/>
  <c r="H109" i="16"/>
  <c r="G109" i="16"/>
  <c r="F109" i="16"/>
  <c r="E109" i="16"/>
  <c r="D109" i="16"/>
  <c r="I108" i="16"/>
  <c r="H108" i="16"/>
  <c r="G108" i="16"/>
  <c r="F108" i="16"/>
  <c r="E108" i="16"/>
  <c r="D108" i="16"/>
  <c r="I107" i="16"/>
  <c r="H107" i="16"/>
  <c r="G107" i="16"/>
  <c r="F107" i="16"/>
  <c r="E107" i="16"/>
  <c r="D107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I98" i="16"/>
  <c r="H98" i="16"/>
  <c r="G98" i="16"/>
  <c r="F98" i="16"/>
  <c r="E98" i="16"/>
  <c r="D98" i="16"/>
  <c r="D144" i="16"/>
  <c r="I139" i="16"/>
  <c r="H139" i="16"/>
  <c r="G139" i="16"/>
  <c r="F139" i="16"/>
  <c r="E139" i="16"/>
  <c r="I134" i="16"/>
  <c r="H134" i="16"/>
  <c r="G134" i="16"/>
  <c r="F134" i="16"/>
  <c r="E134" i="16"/>
  <c r="D134" i="16"/>
  <c r="I148" i="16"/>
  <c r="H148" i="16"/>
  <c r="G148" i="16"/>
  <c r="F148" i="16"/>
  <c r="E148" i="16"/>
  <c r="D148" i="16"/>
  <c r="I147" i="16"/>
  <c r="H147" i="16"/>
  <c r="G147" i="16"/>
  <c r="F147" i="16"/>
  <c r="E147" i="16"/>
  <c r="D147" i="16"/>
  <c r="I146" i="16"/>
  <c r="H146" i="16"/>
  <c r="G146" i="16"/>
  <c r="F146" i="16"/>
  <c r="E146" i="16"/>
  <c r="D146" i="16"/>
  <c r="I145" i="16"/>
  <c r="H145" i="16"/>
  <c r="G145" i="16"/>
  <c r="F145" i="16"/>
  <c r="E145" i="16"/>
  <c r="I257" i="16"/>
  <c r="H257" i="16"/>
  <c r="G257" i="16"/>
  <c r="F257" i="16"/>
  <c r="E257" i="16"/>
  <c r="D257" i="16"/>
  <c r="I254" i="16"/>
  <c r="H254" i="16"/>
  <c r="G254" i="16"/>
  <c r="F254" i="16"/>
  <c r="E254" i="16"/>
  <c r="D254" i="16"/>
  <c r="I253" i="16"/>
  <c r="H253" i="16"/>
  <c r="G253" i="16"/>
  <c r="F253" i="16"/>
  <c r="E253" i="16"/>
  <c r="D253" i="16"/>
  <c r="I262" i="16"/>
  <c r="H262" i="16"/>
  <c r="G262" i="16"/>
  <c r="F262" i="16"/>
  <c r="E262" i="16"/>
  <c r="D262" i="16"/>
  <c r="I261" i="16"/>
  <c r="H261" i="16"/>
  <c r="G261" i="16"/>
  <c r="F261" i="16"/>
  <c r="E261" i="16"/>
  <c r="D261" i="16"/>
  <c r="I241" i="16"/>
  <c r="H241" i="16"/>
  <c r="G241" i="16"/>
  <c r="F241" i="16"/>
  <c r="E241" i="16"/>
  <c r="D241" i="16"/>
  <c r="I240" i="16"/>
  <c r="H240" i="16"/>
  <c r="G240" i="16"/>
  <c r="F240" i="16"/>
  <c r="E240" i="16"/>
  <c r="D240" i="16"/>
  <c r="I239" i="16"/>
  <c r="H239" i="16"/>
  <c r="G239" i="16"/>
  <c r="F239" i="16"/>
  <c r="E239" i="16"/>
  <c r="D239" i="16"/>
  <c r="I238" i="16"/>
  <c r="H238" i="16"/>
  <c r="G238" i="16"/>
  <c r="F238" i="16"/>
  <c r="E238" i="16"/>
  <c r="D238" i="16"/>
  <c r="I235" i="16"/>
  <c r="H235" i="16"/>
  <c r="G235" i="16"/>
  <c r="F235" i="16"/>
  <c r="E235" i="16"/>
  <c r="D235" i="16"/>
  <c r="I234" i="16"/>
  <c r="H234" i="16"/>
  <c r="G234" i="16"/>
  <c r="F234" i="16"/>
  <c r="E234" i="16"/>
  <c r="D234" i="16"/>
  <c r="I233" i="16"/>
  <c r="H233" i="16"/>
  <c r="G233" i="16"/>
  <c r="F233" i="16"/>
  <c r="E233" i="16"/>
  <c r="D233" i="16"/>
  <c r="I232" i="16"/>
  <c r="H232" i="16"/>
  <c r="G232" i="16"/>
  <c r="F232" i="16"/>
  <c r="E232" i="16"/>
  <c r="D232" i="16"/>
  <c r="I228" i="16"/>
  <c r="H228" i="16"/>
  <c r="G228" i="16"/>
  <c r="F228" i="16"/>
  <c r="E228" i="16"/>
  <c r="D228" i="16"/>
  <c r="I227" i="16"/>
  <c r="H227" i="16"/>
  <c r="G227" i="16"/>
  <c r="F227" i="16"/>
  <c r="E227" i="16"/>
  <c r="D227" i="16"/>
  <c r="I226" i="16"/>
  <c r="H226" i="16"/>
  <c r="G226" i="16"/>
  <c r="F226" i="16"/>
  <c r="E226" i="16"/>
  <c r="D226" i="16"/>
  <c r="I225" i="16"/>
  <c r="H225" i="16"/>
  <c r="G225" i="16"/>
  <c r="F225" i="16"/>
  <c r="E225" i="16"/>
  <c r="D225" i="16"/>
  <c r="I222" i="16"/>
  <c r="H222" i="16"/>
  <c r="G222" i="16"/>
  <c r="F222" i="16"/>
  <c r="E222" i="16"/>
  <c r="D222" i="16"/>
  <c r="I221" i="16"/>
  <c r="H221" i="16"/>
  <c r="G221" i="16"/>
  <c r="F221" i="16"/>
  <c r="E221" i="16"/>
  <c r="D221" i="16"/>
  <c r="I220" i="16"/>
  <c r="H220" i="16"/>
  <c r="G220" i="16"/>
  <c r="F220" i="16"/>
  <c r="E220" i="16"/>
  <c r="D220" i="16"/>
  <c r="I219" i="16"/>
  <c r="H219" i="16"/>
  <c r="G219" i="16"/>
  <c r="F219" i="16"/>
  <c r="E219" i="16"/>
  <c r="D219" i="16"/>
  <c r="I215" i="16"/>
  <c r="H215" i="16"/>
  <c r="G215" i="16"/>
  <c r="F215" i="16"/>
  <c r="E215" i="16"/>
  <c r="D215" i="16"/>
  <c r="I214" i="16"/>
  <c r="H214" i="16"/>
  <c r="G214" i="16"/>
  <c r="F214" i="16"/>
  <c r="E214" i="16"/>
  <c r="D214" i="16"/>
  <c r="I213" i="16"/>
  <c r="H213" i="16"/>
  <c r="G213" i="16"/>
  <c r="F213" i="16"/>
  <c r="E213" i="16"/>
  <c r="D213" i="16"/>
  <c r="I212" i="16"/>
  <c r="H212" i="16"/>
  <c r="G212" i="16"/>
  <c r="F212" i="16"/>
  <c r="E212" i="16"/>
  <c r="D212" i="16"/>
  <c r="I209" i="16"/>
  <c r="H209" i="16"/>
  <c r="G209" i="16"/>
  <c r="F209" i="16"/>
  <c r="E209" i="16"/>
  <c r="D209" i="16"/>
  <c r="I208" i="16"/>
  <c r="H208" i="16"/>
  <c r="G208" i="16"/>
  <c r="F208" i="16"/>
  <c r="E208" i="16"/>
  <c r="D208" i="16"/>
  <c r="I207" i="16"/>
  <c r="H207" i="16"/>
  <c r="G207" i="16"/>
  <c r="F207" i="16"/>
  <c r="E207" i="16"/>
  <c r="D207" i="16"/>
  <c r="I206" i="16"/>
  <c r="H206" i="16"/>
  <c r="G206" i="16"/>
  <c r="F206" i="16"/>
  <c r="E206" i="16"/>
  <c r="D206" i="16"/>
  <c r="I203" i="16"/>
  <c r="H203" i="16"/>
  <c r="G203" i="16"/>
  <c r="F203" i="16"/>
  <c r="E203" i="16"/>
  <c r="D203" i="16"/>
  <c r="I202" i="16"/>
  <c r="H202" i="16"/>
  <c r="G202" i="16"/>
  <c r="F202" i="16"/>
  <c r="E202" i="16"/>
  <c r="D202" i="16"/>
  <c r="I201" i="16"/>
  <c r="H201" i="16"/>
  <c r="G201" i="16"/>
  <c r="F201" i="16"/>
  <c r="E201" i="16"/>
  <c r="D201" i="16"/>
  <c r="I200" i="16"/>
  <c r="H200" i="16"/>
  <c r="G200" i="16"/>
  <c r="F200" i="16"/>
  <c r="E200" i="16"/>
  <c r="D200" i="16"/>
  <c r="I199" i="16"/>
  <c r="H199" i="16"/>
  <c r="G199" i="16"/>
  <c r="F199" i="16"/>
  <c r="E199" i="16"/>
  <c r="D199" i="16"/>
  <c r="I197" i="16"/>
  <c r="H197" i="16"/>
  <c r="G197" i="16"/>
  <c r="F197" i="16"/>
  <c r="E197" i="16"/>
  <c r="D197" i="16"/>
  <c r="I196" i="16"/>
  <c r="H196" i="16"/>
  <c r="G196" i="16"/>
  <c r="F196" i="16"/>
  <c r="E196" i="16"/>
  <c r="D196" i="16"/>
  <c r="I195" i="16"/>
  <c r="H195" i="16"/>
  <c r="G195" i="16"/>
  <c r="F195" i="16"/>
  <c r="E195" i="16"/>
  <c r="D195" i="16"/>
  <c r="I194" i="16"/>
  <c r="H194" i="16"/>
  <c r="G194" i="16"/>
  <c r="F194" i="16"/>
  <c r="E194" i="16"/>
  <c r="D194" i="16"/>
  <c r="I187" i="16"/>
  <c r="H187" i="16"/>
  <c r="G187" i="16"/>
  <c r="F187" i="16"/>
  <c r="E187" i="16"/>
  <c r="D187" i="16"/>
  <c r="I186" i="16"/>
  <c r="H186" i="16"/>
  <c r="G186" i="16"/>
  <c r="F186" i="16"/>
  <c r="E186" i="16"/>
  <c r="D186" i="16"/>
  <c r="I185" i="16"/>
  <c r="H185" i="16"/>
  <c r="G185" i="16"/>
  <c r="F185" i="16"/>
  <c r="E185" i="16"/>
  <c r="D185" i="16"/>
  <c r="I184" i="16"/>
  <c r="H184" i="16"/>
  <c r="G184" i="16"/>
  <c r="F184" i="16"/>
  <c r="E184" i="16"/>
  <c r="D184" i="16"/>
  <c r="I182" i="16"/>
  <c r="H182" i="16"/>
  <c r="G182" i="16"/>
  <c r="F182" i="16"/>
  <c r="E182" i="16"/>
  <c r="D182" i="16"/>
  <c r="I181" i="16"/>
  <c r="H181" i="16"/>
  <c r="G181" i="16"/>
  <c r="F181" i="16"/>
  <c r="E181" i="16"/>
  <c r="D181" i="16"/>
  <c r="I180" i="16"/>
  <c r="H180" i="16"/>
  <c r="G180" i="16"/>
  <c r="F180" i="16"/>
  <c r="E180" i="16"/>
  <c r="D180" i="16"/>
  <c r="I179" i="16"/>
  <c r="H179" i="16"/>
  <c r="G179" i="16"/>
  <c r="F179" i="16"/>
  <c r="E179" i="16"/>
  <c r="D179" i="16"/>
  <c r="I178" i="16"/>
  <c r="H178" i="16"/>
  <c r="G178" i="16"/>
  <c r="F178" i="16"/>
  <c r="E178" i="16"/>
  <c r="D178" i="16"/>
  <c r="I177" i="16"/>
  <c r="H177" i="16"/>
  <c r="G177" i="16"/>
  <c r="F177" i="16"/>
  <c r="E177" i="16"/>
  <c r="D177" i="16"/>
  <c r="I175" i="16"/>
  <c r="H175" i="16"/>
  <c r="G175" i="16"/>
  <c r="F175" i="16"/>
  <c r="E175" i="16"/>
  <c r="D175" i="16"/>
  <c r="I174" i="16"/>
  <c r="H174" i="16"/>
  <c r="G174" i="16"/>
  <c r="F174" i="16"/>
  <c r="E174" i="16"/>
  <c r="D174" i="16"/>
  <c r="I173" i="16"/>
  <c r="H173" i="16"/>
  <c r="G173" i="16"/>
  <c r="F173" i="16"/>
  <c r="E173" i="16"/>
  <c r="D173" i="16"/>
  <c r="I172" i="16"/>
  <c r="H172" i="16"/>
  <c r="G172" i="16"/>
  <c r="F172" i="16"/>
  <c r="E172" i="16"/>
  <c r="D172" i="16"/>
  <c r="I171" i="16"/>
  <c r="H171" i="16"/>
  <c r="G171" i="16"/>
  <c r="F171" i="16"/>
  <c r="E171" i="16"/>
  <c r="D171" i="16"/>
  <c r="I170" i="16"/>
  <c r="H170" i="16"/>
  <c r="G170" i="16"/>
  <c r="F170" i="16"/>
  <c r="E170" i="16"/>
  <c r="D170" i="16"/>
  <c r="I169" i="16"/>
  <c r="H169" i="16"/>
  <c r="G169" i="16"/>
  <c r="F169" i="16"/>
  <c r="E169" i="16"/>
  <c r="D169" i="16"/>
  <c r="I168" i="16"/>
  <c r="H168" i="16"/>
  <c r="G168" i="16"/>
  <c r="F168" i="16"/>
  <c r="E168" i="16"/>
  <c r="D168" i="16"/>
  <c r="I167" i="16"/>
  <c r="H167" i="16"/>
  <c r="G167" i="16"/>
  <c r="F167" i="16"/>
  <c r="E167" i="16"/>
  <c r="D167" i="16"/>
  <c r="I165" i="16"/>
  <c r="H165" i="16"/>
  <c r="G165" i="16"/>
  <c r="F165" i="16"/>
  <c r="E165" i="16"/>
  <c r="D165" i="16"/>
  <c r="I164" i="16"/>
  <c r="H164" i="16"/>
  <c r="G164" i="16"/>
  <c r="F164" i="16"/>
  <c r="E164" i="16"/>
  <c r="D164" i="16"/>
  <c r="I163" i="16"/>
  <c r="H163" i="16"/>
  <c r="G163" i="16"/>
  <c r="F163" i="16"/>
  <c r="E163" i="16"/>
  <c r="D163" i="16"/>
  <c r="I162" i="16"/>
  <c r="H162" i="16"/>
  <c r="G162" i="16"/>
  <c r="F162" i="16"/>
  <c r="E162" i="16"/>
  <c r="D162" i="16"/>
  <c r="I161" i="16"/>
  <c r="H161" i="16"/>
  <c r="G161" i="16"/>
  <c r="F161" i="16"/>
  <c r="E161" i="16"/>
  <c r="D161" i="16"/>
  <c r="I160" i="16"/>
  <c r="H160" i="16"/>
  <c r="G160" i="16"/>
  <c r="F160" i="16"/>
  <c r="E160" i="16"/>
  <c r="D160" i="16"/>
  <c r="I159" i="16"/>
  <c r="H159" i="16"/>
  <c r="G159" i="16"/>
  <c r="F159" i="16"/>
  <c r="E159" i="16"/>
  <c r="D159" i="16"/>
  <c r="I158" i="16"/>
  <c r="H158" i="16"/>
  <c r="G158" i="16"/>
  <c r="F158" i="16"/>
  <c r="E158" i="16"/>
  <c r="D158" i="16"/>
  <c r="I157" i="16"/>
  <c r="H157" i="16"/>
  <c r="G157" i="16"/>
  <c r="F157" i="16"/>
  <c r="E157" i="16"/>
  <c r="D157" i="16"/>
  <c r="I156" i="16"/>
  <c r="H156" i="16"/>
  <c r="G156" i="16"/>
  <c r="F156" i="16"/>
  <c r="E156" i="16"/>
  <c r="D156" i="16"/>
  <c r="I155" i="16"/>
  <c r="H155" i="16"/>
  <c r="G155" i="16"/>
  <c r="F155" i="16"/>
  <c r="E155" i="16"/>
  <c r="D155" i="16"/>
  <c r="I154" i="16"/>
  <c r="H154" i="16"/>
  <c r="G154" i="16"/>
  <c r="F154" i="16"/>
  <c r="E154" i="16"/>
  <c r="D154" i="16"/>
  <c r="I153" i="16"/>
  <c r="H153" i="16"/>
  <c r="G153" i="16"/>
  <c r="F153" i="16"/>
  <c r="E153" i="16"/>
  <c r="D153" i="16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D93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D92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D91" i="16" s="1"/>
  <c r="I56" i="16"/>
  <c r="H56" i="16"/>
  <c r="G56" i="16"/>
  <c r="F56" i="16"/>
  <c r="E56" i="16"/>
  <c r="D56" i="16"/>
  <c r="I55" i="16"/>
  <c r="H55" i="16"/>
  <c r="G55" i="16"/>
  <c r="F55" i="16"/>
  <c r="E55" i="16"/>
  <c r="D55" i="16"/>
  <c r="I54" i="16"/>
  <c r="H54" i="16"/>
  <c r="G54" i="16"/>
  <c r="F54" i="16"/>
  <c r="E54" i="16"/>
  <c r="D54" i="16"/>
  <c r="I51" i="16"/>
  <c r="H51" i="16"/>
  <c r="G51" i="16"/>
  <c r="F51" i="16"/>
  <c r="E51" i="16"/>
  <c r="D51" i="16"/>
  <c r="I50" i="16"/>
  <c r="H50" i="16"/>
  <c r="G50" i="16"/>
  <c r="F50" i="16"/>
  <c r="E50" i="16"/>
  <c r="D50" i="16"/>
  <c r="I49" i="16"/>
  <c r="H49" i="16"/>
  <c r="G49" i="16"/>
  <c r="F49" i="16"/>
  <c r="E49" i="16"/>
  <c r="D49" i="16"/>
  <c r="I44" i="16"/>
  <c r="H44" i="16"/>
  <c r="G44" i="16"/>
  <c r="F44" i="16"/>
  <c r="E44" i="16"/>
  <c r="D44" i="16"/>
  <c r="I35" i="16"/>
  <c r="H35" i="16"/>
  <c r="G35" i="16"/>
  <c r="F35" i="16"/>
  <c r="E35" i="16"/>
  <c r="D35" i="16"/>
  <c r="I33" i="16"/>
  <c r="H33" i="16"/>
  <c r="G33" i="16"/>
  <c r="F33" i="16"/>
  <c r="E33" i="16"/>
  <c r="D33" i="16"/>
  <c r="I31" i="16"/>
  <c r="H31" i="16"/>
  <c r="G31" i="16"/>
  <c r="F31" i="16"/>
  <c r="E31" i="16"/>
  <c r="D31" i="16"/>
  <c r="I29" i="16"/>
  <c r="H29" i="16"/>
  <c r="G29" i="16"/>
  <c r="F29" i="16"/>
  <c r="E29" i="16"/>
  <c r="D29" i="16"/>
  <c r="I20" i="16"/>
  <c r="H20" i="16"/>
  <c r="G20" i="16"/>
  <c r="F20" i="16"/>
  <c r="E20" i="16"/>
  <c r="I19" i="16"/>
  <c r="H19" i="16"/>
  <c r="G19" i="16"/>
  <c r="F19" i="16"/>
  <c r="E19" i="16"/>
  <c r="I18" i="16"/>
  <c r="H18" i="16"/>
  <c r="G18" i="16"/>
  <c r="F18" i="16"/>
  <c r="E18" i="16"/>
  <c r="I17" i="16"/>
  <c r="H17" i="16"/>
  <c r="G17" i="16"/>
  <c r="F17" i="16"/>
  <c r="E17" i="16"/>
  <c r="I14" i="16"/>
  <c r="H14" i="16"/>
  <c r="G14" i="16"/>
  <c r="F14" i="16"/>
  <c r="E14" i="16"/>
  <c r="I13" i="16"/>
  <c r="H13" i="16"/>
  <c r="G13" i="16"/>
  <c r="F13" i="16"/>
  <c r="E13" i="16"/>
  <c r="I12" i="16"/>
  <c r="H12" i="16"/>
  <c r="G12" i="16"/>
  <c r="F12" i="16"/>
  <c r="E12" i="16"/>
  <c r="I11" i="16"/>
  <c r="H11" i="16"/>
  <c r="G11" i="16"/>
  <c r="F11" i="16"/>
  <c r="E11" i="16"/>
  <c r="I9" i="16"/>
  <c r="H9" i="16"/>
  <c r="G9" i="16"/>
  <c r="F9" i="16"/>
  <c r="E9" i="16"/>
  <c r="P196" i="2"/>
  <c r="P116" i="2"/>
  <c r="P115" i="2"/>
  <c r="P114" i="2"/>
  <c r="P113" i="2"/>
  <c r="P86" i="2"/>
  <c r="P75" i="2"/>
  <c r="P80" i="2"/>
  <c r="N88" i="2"/>
  <c r="E263" i="16" l="1"/>
  <c r="I263" i="16"/>
  <c r="G94" i="16"/>
  <c r="G95" i="16" s="1"/>
  <c r="G263" i="16"/>
  <c r="D236" i="16"/>
  <c r="F263" i="16"/>
  <c r="G236" i="16"/>
  <c r="I236" i="16"/>
  <c r="I94" i="16"/>
  <c r="I95" i="16" s="1"/>
  <c r="H263" i="16"/>
  <c r="H236" i="16"/>
  <c r="H94" i="16"/>
  <c r="H95" i="16" s="1"/>
  <c r="F236" i="16"/>
  <c r="F94" i="16"/>
  <c r="F95" i="16" s="1"/>
  <c r="E236" i="16"/>
  <c r="E94" i="16"/>
  <c r="E95" i="16" s="1"/>
  <c r="D263" i="16"/>
  <c r="D94" i="16"/>
  <c r="D95" i="16" s="1"/>
  <c r="I149" i="16"/>
  <c r="E149" i="16"/>
  <c r="F149" i="16"/>
  <c r="G149" i="16"/>
  <c r="H149" i="16"/>
  <c r="F129" i="16"/>
  <c r="G129" i="16"/>
  <c r="H129" i="16"/>
  <c r="I129" i="16"/>
  <c r="D129" i="16"/>
  <c r="E129" i="16"/>
  <c r="P262" i="3" l="1"/>
  <c r="P261" i="3"/>
  <c r="P196" i="3"/>
  <c r="P116" i="3"/>
  <c r="P115" i="3"/>
  <c r="P114" i="3"/>
  <c r="P113" i="3"/>
  <c r="P80" i="3"/>
  <c r="P75" i="3"/>
  <c r="P86" i="3"/>
  <c r="P262" i="4"/>
  <c r="P261" i="4"/>
  <c r="P116" i="4"/>
  <c r="P115" i="4"/>
  <c r="P114" i="4"/>
  <c r="P113" i="4"/>
  <c r="P75" i="4"/>
  <c r="P80" i="4"/>
  <c r="N90" i="4"/>
  <c r="N89" i="4"/>
  <c r="N82" i="4"/>
  <c r="N83" i="4" s="1"/>
  <c r="P263" i="3" l="1"/>
  <c r="P263" i="4"/>
  <c r="P262" i="5"/>
  <c r="P261" i="5"/>
  <c r="P196" i="5"/>
  <c r="P116" i="5"/>
  <c r="P115" i="5"/>
  <c r="P114" i="5"/>
  <c r="P113" i="5"/>
  <c r="P75" i="5"/>
  <c r="P80" i="5"/>
  <c r="P86" i="5"/>
  <c r="P263" i="5" l="1"/>
  <c r="P262" i="6"/>
  <c r="P261" i="6"/>
  <c r="P116" i="6"/>
  <c r="P115" i="6"/>
  <c r="P114" i="6"/>
  <c r="P113" i="6"/>
  <c r="P75" i="6"/>
  <c r="P80" i="6"/>
  <c r="P86" i="6"/>
  <c r="O46" i="11"/>
  <c r="P263" i="6" l="1"/>
  <c r="P262" i="2" l="1"/>
  <c r="P261" i="2"/>
  <c r="P263" i="2" l="1"/>
  <c r="N92" i="6" l="1"/>
  <c r="M92" i="4"/>
  <c r="N92" i="4"/>
  <c r="L92" i="4"/>
  <c r="N93" i="4"/>
  <c r="N93" i="1"/>
  <c r="N263" i="3" l="1"/>
  <c r="N129" i="3"/>
  <c r="N134" i="3"/>
  <c r="N139" i="3"/>
  <c r="N144" i="3"/>
  <c r="N145" i="3"/>
  <c r="N146" i="3"/>
  <c r="N147" i="3"/>
  <c r="N148" i="3"/>
  <c r="N117" i="3"/>
  <c r="N76" i="3"/>
  <c r="N77" i="3" s="1"/>
  <c r="N82" i="3"/>
  <c r="N83" i="3" s="1"/>
  <c r="N88" i="3"/>
  <c r="N89" i="3" s="1"/>
  <c r="N90" i="3"/>
  <c r="N91" i="3"/>
  <c r="N256" i="3" s="1"/>
  <c r="N92" i="3"/>
  <c r="N93" i="3"/>
  <c r="N46" i="3"/>
  <c r="N263" i="6"/>
  <c r="N134" i="6"/>
  <c r="N145" i="6"/>
  <c r="N146" i="6"/>
  <c r="N147" i="6"/>
  <c r="N148" i="6"/>
  <c r="N117" i="6"/>
  <c r="N76" i="6"/>
  <c r="N77" i="6" s="1"/>
  <c r="N82" i="6"/>
  <c r="N83" i="6" s="1"/>
  <c r="N90" i="6"/>
  <c r="N91" i="6"/>
  <c r="N256" i="6" s="1"/>
  <c r="N93" i="6"/>
  <c r="N94" i="6" s="1"/>
  <c r="N46" i="6"/>
  <c r="N94" i="3" l="1"/>
  <c r="N95" i="3" s="1"/>
  <c r="N255" i="3" s="1"/>
  <c r="N149" i="3"/>
  <c r="N149" i="6"/>
  <c r="N95" i="6"/>
  <c r="N255" i="6" s="1"/>
  <c r="N263" i="5" l="1"/>
  <c r="N129" i="5"/>
  <c r="N134" i="5"/>
  <c r="N139" i="5"/>
  <c r="N145" i="5"/>
  <c r="N146" i="5"/>
  <c r="N147" i="5"/>
  <c r="N148" i="5"/>
  <c r="N117" i="5"/>
  <c r="N76" i="5"/>
  <c r="N77" i="5" s="1"/>
  <c r="N82" i="5"/>
  <c r="N83" i="5" s="1"/>
  <c r="N89" i="5"/>
  <c r="N90" i="5"/>
  <c r="N91" i="5"/>
  <c r="N256" i="5" s="1"/>
  <c r="N92" i="5"/>
  <c r="N93" i="5"/>
  <c r="N46" i="5"/>
  <c r="N149" i="5" l="1"/>
  <c r="N94" i="5"/>
  <c r="N95" i="5"/>
  <c r="N255" i="5" s="1"/>
  <c r="N263" i="4"/>
  <c r="N146" i="4" l="1"/>
  <c r="N147" i="4"/>
  <c r="N148" i="4"/>
  <c r="N129" i="4"/>
  <c r="N139" i="4"/>
  <c r="N46" i="4" l="1"/>
  <c r="N263" i="2" l="1"/>
  <c r="N129" i="2"/>
  <c r="N134" i="2"/>
  <c r="N139" i="2"/>
  <c r="N145" i="2"/>
  <c r="N146" i="2"/>
  <c r="N147" i="2"/>
  <c r="N148" i="2"/>
  <c r="N46" i="2"/>
  <c r="N149" i="2" l="1"/>
  <c r="N117" i="1" l="1"/>
  <c r="N46" i="1"/>
  <c r="N46" i="11" s="1"/>
  <c r="M263" i="6" l="1"/>
  <c r="M129" i="6"/>
  <c r="M134" i="6"/>
  <c r="M139" i="6"/>
  <c r="M145" i="6"/>
  <c r="M146" i="6"/>
  <c r="M147" i="6"/>
  <c r="M148" i="6"/>
  <c r="M117" i="6"/>
  <c r="M149" i="6" l="1"/>
  <c r="M71" i="6"/>
  <c r="M76" i="6"/>
  <c r="M77" i="6" s="1"/>
  <c r="M82" i="6"/>
  <c r="M83" i="6" s="1"/>
  <c r="M90" i="6"/>
  <c r="M91" i="6"/>
  <c r="M256" i="6" s="1"/>
  <c r="M92" i="6"/>
  <c r="M93" i="6"/>
  <c r="M46" i="6"/>
  <c r="I46" i="16" s="1"/>
  <c r="M263" i="5"/>
  <c r="M129" i="5"/>
  <c r="M134" i="5"/>
  <c r="M139" i="5"/>
  <c r="M145" i="5"/>
  <c r="M146" i="5"/>
  <c r="M147" i="5"/>
  <c r="M148" i="5"/>
  <c r="M117" i="5"/>
  <c r="M71" i="5"/>
  <c r="M76" i="5"/>
  <c r="M77" i="5"/>
  <c r="M82" i="5"/>
  <c r="M83" i="5"/>
  <c r="M89" i="5"/>
  <c r="M90" i="5"/>
  <c r="M91" i="5"/>
  <c r="M256" i="5" s="1"/>
  <c r="H256" i="16" s="1"/>
  <c r="M92" i="5"/>
  <c r="M93" i="5"/>
  <c r="M46" i="5"/>
  <c r="H46" i="16" s="1"/>
  <c r="I256" i="16" l="1"/>
  <c r="M258" i="6"/>
  <c r="M94" i="6"/>
  <c r="M95" i="6" s="1"/>
  <c r="M255" i="6" s="1"/>
  <c r="I255" i="16" s="1"/>
  <c r="M94" i="5"/>
  <c r="M95" i="5" s="1"/>
  <c r="M149" i="5"/>
  <c r="M255" i="5" l="1"/>
  <c r="H255" i="16" s="1"/>
  <c r="M122" i="5"/>
  <c r="M263" i="4"/>
  <c r="M129" i="4"/>
  <c r="M134" i="4"/>
  <c r="N130" i="4" s="1"/>
  <c r="M139" i="4"/>
  <c r="M145" i="4"/>
  <c r="M146" i="4"/>
  <c r="M147" i="4"/>
  <c r="M148" i="4"/>
  <c r="M117" i="4"/>
  <c r="M76" i="4"/>
  <c r="M77" i="4" s="1"/>
  <c r="M82" i="4"/>
  <c r="M83" i="4" s="1"/>
  <c r="M89" i="4"/>
  <c r="M90" i="4"/>
  <c r="M91" i="4"/>
  <c r="M93" i="4"/>
  <c r="M94" i="4" s="1"/>
  <c r="M46" i="4"/>
  <c r="G46" i="16" s="1"/>
  <c r="N130" i="11" l="1"/>
  <c r="N145" i="4"/>
  <c r="N149" i="4" s="1"/>
  <c r="N134" i="4"/>
  <c r="N122" i="5"/>
  <c r="N122" i="11" s="1"/>
  <c r="N123" i="11" s="1"/>
  <c r="M122" i="11"/>
  <c r="M123" i="11" s="1"/>
  <c r="M149" i="4"/>
  <c r="M95" i="4"/>
  <c r="M255" i="4" s="1"/>
  <c r="M263" i="3" l="1"/>
  <c r="M129" i="3"/>
  <c r="M134" i="3"/>
  <c r="M139" i="3"/>
  <c r="M145" i="3"/>
  <c r="M146" i="3"/>
  <c r="M147" i="3"/>
  <c r="M148" i="3"/>
  <c r="M117" i="3"/>
  <c r="M76" i="3"/>
  <c r="M77" i="3" s="1"/>
  <c r="M82" i="3"/>
  <c r="M83" i="3" s="1"/>
  <c r="M88" i="3"/>
  <c r="M89" i="3" s="1"/>
  <c r="M90" i="3"/>
  <c r="M91" i="3"/>
  <c r="M256" i="3" s="1"/>
  <c r="F256" i="16" s="1"/>
  <c r="M92" i="3"/>
  <c r="M93" i="3"/>
  <c r="M46" i="3"/>
  <c r="F46" i="16" s="1"/>
  <c r="M263" i="2"/>
  <c r="M129" i="2"/>
  <c r="M134" i="2"/>
  <c r="M139" i="2"/>
  <c r="M145" i="2"/>
  <c r="M146" i="2"/>
  <c r="M147" i="2"/>
  <c r="M148" i="2"/>
  <c r="M117" i="2"/>
  <c r="M88" i="2"/>
  <c r="M94" i="3" l="1"/>
  <c r="M95" i="3" s="1"/>
  <c r="M255" i="3" s="1"/>
  <c r="F255" i="16" s="1"/>
  <c r="M149" i="3"/>
  <c r="M149" i="2"/>
  <c r="L90" i="2"/>
  <c r="M90" i="2"/>
  <c r="N90" i="2"/>
  <c r="L91" i="2"/>
  <c r="M91" i="2"/>
  <c r="M256" i="2" s="1"/>
  <c r="N91" i="2"/>
  <c r="N256" i="2" s="1"/>
  <c r="L92" i="2"/>
  <c r="M92" i="2"/>
  <c r="N92" i="2"/>
  <c r="L93" i="2"/>
  <c r="M93" i="2"/>
  <c r="N93" i="2"/>
  <c r="M89" i="2"/>
  <c r="N89" i="2"/>
  <c r="M46" i="2"/>
  <c r="E46" i="16" s="1"/>
  <c r="E256" i="16" l="1"/>
  <c r="L94" i="2"/>
  <c r="L95" i="2" s="1"/>
  <c r="N94" i="2"/>
  <c r="N95" i="2" s="1"/>
  <c r="N255" i="2" s="1"/>
  <c r="M94" i="2"/>
  <c r="M95" i="2" s="1"/>
  <c r="M255" i="2" s="1"/>
  <c r="E255" i="16" l="1"/>
  <c r="N145" i="1"/>
  <c r="M146" i="1"/>
  <c r="N146" i="1"/>
  <c r="M147" i="1"/>
  <c r="N147" i="1"/>
  <c r="M148" i="1"/>
  <c r="N148" i="1"/>
  <c r="N139" i="1"/>
  <c r="M134" i="1"/>
  <c r="N134" i="1"/>
  <c r="M129" i="1"/>
  <c r="N129" i="1"/>
  <c r="M117" i="1"/>
  <c r="M90" i="1"/>
  <c r="M91" i="1"/>
  <c r="M256" i="1" s="1"/>
  <c r="M258" i="1" s="1"/>
  <c r="M92" i="1"/>
  <c r="M93" i="1"/>
  <c r="M88" i="1"/>
  <c r="M89" i="1" s="1"/>
  <c r="M94" i="1" l="1"/>
  <c r="M95" i="1" s="1"/>
  <c r="M255" i="1" s="1"/>
  <c r="N149" i="1"/>
  <c r="M46" i="1" l="1"/>
  <c r="D46" i="16" l="1"/>
  <c r="M46" i="11"/>
  <c r="L263" i="6"/>
  <c r="L134" i="6"/>
  <c r="L144" i="6"/>
  <c r="L145" i="6"/>
  <c r="L146" i="6"/>
  <c r="L147" i="6"/>
  <c r="L148" i="6"/>
  <c r="L149" i="6" l="1"/>
  <c r="L76" i="6"/>
  <c r="L77" i="6" s="1"/>
  <c r="L82" i="6"/>
  <c r="L83" i="6" s="1"/>
  <c r="L90" i="6"/>
  <c r="L91" i="6"/>
  <c r="L92" i="6"/>
  <c r="L93" i="6"/>
  <c r="J46" i="6"/>
  <c r="K46" i="6"/>
  <c r="L46" i="6"/>
  <c r="L94" i="6" l="1"/>
  <c r="L95" i="6" s="1"/>
  <c r="L263" i="5"/>
  <c r="L129" i="5"/>
  <c r="L134" i="5"/>
  <c r="L139" i="5"/>
  <c r="L145" i="5"/>
  <c r="L146" i="5"/>
  <c r="L147" i="5"/>
  <c r="L148" i="5"/>
  <c r="L149" i="5" l="1"/>
  <c r="L76" i="5"/>
  <c r="L77" i="5" s="1"/>
  <c r="L82" i="5"/>
  <c r="L83" i="5" s="1"/>
  <c r="L89" i="5"/>
  <c r="L90" i="5"/>
  <c r="L91" i="5"/>
  <c r="L92" i="5"/>
  <c r="L93" i="5"/>
  <c r="K46" i="5"/>
  <c r="L46" i="5"/>
  <c r="L94" i="5" l="1"/>
  <c r="L95" i="5" s="1"/>
  <c r="L263" i="4"/>
  <c r="L129" i="4"/>
  <c r="L134" i="4"/>
  <c r="L139" i="4"/>
  <c r="L144" i="4"/>
  <c r="L145" i="4"/>
  <c r="L146" i="4"/>
  <c r="L147" i="4"/>
  <c r="L148" i="4"/>
  <c r="L149" i="4" l="1"/>
  <c r="L76" i="4" l="1"/>
  <c r="L77" i="4" s="1"/>
  <c r="L82" i="4"/>
  <c r="L83" i="4" s="1"/>
  <c r="L89" i="4"/>
  <c r="L90" i="4"/>
  <c r="L91" i="4"/>
  <c r="L93" i="4"/>
  <c r="L94" i="4" s="1"/>
  <c r="J46" i="4"/>
  <c r="K46" i="4"/>
  <c r="L46" i="4"/>
  <c r="L95" i="4" l="1"/>
  <c r="L263" i="3" l="1"/>
  <c r="L129" i="3"/>
  <c r="L134" i="3"/>
  <c r="L139" i="3"/>
  <c r="L144" i="3"/>
  <c r="L145" i="3"/>
  <c r="L146" i="3"/>
  <c r="L147" i="3"/>
  <c r="L148" i="3"/>
  <c r="L117" i="3"/>
  <c r="L76" i="3"/>
  <c r="L77" i="3" s="1"/>
  <c r="L82" i="3"/>
  <c r="L83" i="3"/>
  <c r="L88" i="3"/>
  <c r="L89" i="3" s="1"/>
  <c r="L90" i="3"/>
  <c r="L91" i="3"/>
  <c r="L92" i="3"/>
  <c r="L93" i="3"/>
  <c r="J46" i="3"/>
  <c r="K46" i="3"/>
  <c r="L46" i="3"/>
  <c r="L94" i="3" l="1"/>
  <c r="L95" i="3" s="1"/>
  <c r="L149" i="3"/>
  <c r="L263" i="2" l="1"/>
  <c r="L129" i="2"/>
  <c r="L134" i="2"/>
  <c r="L139" i="2"/>
  <c r="L145" i="2"/>
  <c r="L146" i="2"/>
  <c r="L147" i="2"/>
  <c r="L148" i="2"/>
  <c r="L149" i="2" l="1"/>
  <c r="E47" i="1" l="1"/>
  <c r="F47" i="1"/>
  <c r="G47" i="1"/>
  <c r="J46" i="1"/>
  <c r="K46" i="1"/>
  <c r="L46" i="1"/>
  <c r="E46" i="11"/>
  <c r="F46" i="11"/>
  <c r="G46" i="11"/>
  <c r="J46" i="2"/>
  <c r="K46" i="2"/>
  <c r="L46" i="2"/>
  <c r="D46" i="11"/>
  <c r="L76" i="2"/>
  <c r="L77" i="2" s="1"/>
  <c r="L82" i="2"/>
  <c r="L83" i="2" s="1"/>
  <c r="L88" i="2"/>
  <c r="L89" i="2" s="1"/>
  <c r="L46" i="11" l="1"/>
  <c r="K46" i="11"/>
  <c r="I46" i="11"/>
  <c r="J46" i="11"/>
  <c r="H46" i="11"/>
  <c r="L129" i="1"/>
  <c r="L134" i="1"/>
  <c r="L139" i="1"/>
  <c r="M135" i="1" s="1"/>
  <c r="L145" i="1"/>
  <c r="L146" i="1"/>
  <c r="L147" i="1"/>
  <c r="L148" i="1"/>
  <c r="M135" i="11" l="1"/>
  <c r="D135" i="16"/>
  <c r="M139" i="1"/>
  <c r="M145" i="1"/>
  <c r="M149" i="1" s="1"/>
  <c r="L149" i="1"/>
  <c r="D145" i="16" l="1"/>
  <c r="D149" i="16" s="1"/>
  <c r="D139" i="16"/>
  <c r="L82" i="1"/>
  <c r="L83" i="1" s="1"/>
  <c r="L88" i="1"/>
  <c r="L89" i="1" s="1"/>
  <c r="L90" i="1"/>
  <c r="L91" i="1"/>
  <c r="L92" i="1"/>
  <c r="L93" i="1"/>
  <c r="L94" i="1" l="1"/>
  <c r="L95" i="1" s="1"/>
  <c r="K263" i="2" l="1"/>
  <c r="K263" i="3" l="1"/>
  <c r="K129" i="3"/>
  <c r="K134" i="3"/>
  <c r="K139" i="3"/>
  <c r="K146" i="3"/>
  <c r="K147" i="3"/>
  <c r="K148" i="3"/>
  <c r="K70" i="3"/>
  <c r="K76" i="3"/>
  <c r="K77" i="3" s="1"/>
  <c r="K82" i="3"/>
  <c r="K83" i="3"/>
  <c r="K88" i="3"/>
  <c r="K89" i="3" s="1"/>
  <c r="K91" i="3"/>
  <c r="K92" i="3"/>
  <c r="K259" i="3" s="1"/>
  <c r="K93" i="3"/>
  <c r="K263" i="5"/>
  <c r="K129" i="5"/>
  <c r="K134" i="5"/>
  <c r="K139" i="5"/>
  <c r="K146" i="5"/>
  <c r="K147" i="5"/>
  <c r="K148" i="5"/>
  <c r="K117" i="5"/>
  <c r="K76" i="5"/>
  <c r="K77" i="5" s="1"/>
  <c r="K82" i="5"/>
  <c r="K83" i="5" s="1"/>
  <c r="K89" i="5"/>
  <c r="K91" i="5"/>
  <c r="K92" i="5"/>
  <c r="K93" i="5"/>
  <c r="K94" i="5" l="1"/>
  <c r="K94" i="3"/>
  <c r="K263" i="6" l="1"/>
  <c r="K134" i="6"/>
  <c r="K139" i="6"/>
  <c r="K146" i="6"/>
  <c r="K147" i="6"/>
  <c r="K148" i="6"/>
  <c r="K117" i="6"/>
  <c r="K76" i="6"/>
  <c r="K77" i="6" s="1"/>
  <c r="K82" i="6"/>
  <c r="K83" i="6" s="1"/>
  <c r="K91" i="6"/>
  <c r="K92" i="6"/>
  <c r="K259" i="6" s="1"/>
  <c r="K93" i="6"/>
  <c r="K94" i="6" l="1"/>
  <c r="K263" i="4" l="1"/>
  <c r="K129" i="4"/>
  <c r="K139" i="4"/>
  <c r="K146" i="4"/>
  <c r="K147" i="4"/>
  <c r="K148" i="4"/>
  <c r="K76" i="4"/>
  <c r="K77" i="4"/>
  <c r="K114" i="4" s="1"/>
  <c r="K82" i="4"/>
  <c r="K89" i="4"/>
  <c r="K116" i="4" s="1"/>
  <c r="K91" i="4"/>
  <c r="K92" i="4"/>
  <c r="K93" i="4"/>
  <c r="K94" i="4" l="1"/>
  <c r="K129" i="2" l="1"/>
  <c r="K134" i="2"/>
  <c r="K139" i="2"/>
  <c r="K146" i="2"/>
  <c r="K147" i="2"/>
  <c r="K148" i="2"/>
  <c r="K117" i="2"/>
  <c r="K76" i="2" l="1"/>
  <c r="K77" i="2" s="1"/>
  <c r="K82" i="2"/>
  <c r="K83" i="2" s="1"/>
  <c r="K88" i="2"/>
  <c r="K89" i="2" s="1"/>
  <c r="K91" i="2"/>
  <c r="K92" i="2"/>
  <c r="K93" i="2"/>
  <c r="K94" i="2" l="1"/>
  <c r="K229" i="1" l="1"/>
  <c r="K129" i="1"/>
  <c r="K134" i="1"/>
  <c r="K146" i="1"/>
  <c r="K147" i="1"/>
  <c r="K148" i="1"/>
  <c r="K117" i="1" l="1"/>
  <c r="K91" i="1"/>
  <c r="K92" i="1"/>
  <c r="K93" i="1"/>
  <c r="K88" i="1"/>
  <c r="K89" i="1" s="1"/>
  <c r="K82" i="1"/>
  <c r="K94" i="1" l="1"/>
  <c r="I122" i="15" l="1"/>
  <c r="H122" i="15"/>
  <c r="G122" i="15"/>
  <c r="F122" i="15"/>
  <c r="E122" i="15"/>
  <c r="D122" i="15"/>
  <c r="I121" i="15"/>
  <c r="H121" i="15"/>
  <c r="G121" i="15"/>
  <c r="F121" i="15"/>
  <c r="E121" i="15"/>
  <c r="D121" i="15"/>
  <c r="I116" i="15"/>
  <c r="H116" i="15"/>
  <c r="G116" i="15"/>
  <c r="F116" i="15"/>
  <c r="E116" i="15"/>
  <c r="D116" i="15"/>
  <c r="I115" i="15"/>
  <c r="H115" i="15"/>
  <c r="G115" i="15"/>
  <c r="F115" i="15"/>
  <c r="E115" i="15"/>
  <c r="D115" i="15"/>
  <c r="I114" i="15"/>
  <c r="H114" i="15"/>
  <c r="G114" i="15"/>
  <c r="F114" i="15"/>
  <c r="E114" i="15"/>
  <c r="D114" i="15"/>
  <c r="I113" i="15"/>
  <c r="H113" i="15"/>
  <c r="G113" i="15"/>
  <c r="F113" i="15"/>
  <c r="E113" i="15"/>
  <c r="D113" i="15"/>
  <c r="I110" i="15"/>
  <c r="H110" i="15"/>
  <c r="G110" i="15"/>
  <c r="F110" i="15"/>
  <c r="E110" i="15"/>
  <c r="D110" i="15"/>
  <c r="I109" i="15"/>
  <c r="H109" i="15"/>
  <c r="G109" i="15"/>
  <c r="F109" i="15"/>
  <c r="E109" i="15"/>
  <c r="D109" i="15"/>
  <c r="I108" i="15"/>
  <c r="H108" i="15"/>
  <c r="G108" i="15"/>
  <c r="F108" i="15"/>
  <c r="E108" i="15"/>
  <c r="D108" i="15"/>
  <c r="I107" i="15"/>
  <c r="H107" i="15"/>
  <c r="G107" i="15"/>
  <c r="F107" i="15"/>
  <c r="E107" i="15"/>
  <c r="D107" i="15"/>
  <c r="I104" i="15"/>
  <c r="H104" i="15"/>
  <c r="G104" i="15"/>
  <c r="F104" i="15"/>
  <c r="E104" i="15"/>
  <c r="D104" i="15"/>
  <c r="I103" i="15"/>
  <c r="H103" i="15"/>
  <c r="G103" i="15"/>
  <c r="F103" i="15"/>
  <c r="E103" i="15"/>
  <c r="D103" i="15"/>
  <c r="I102" i="15"/>
  <c r="H102" i="15"/>
  <c r="G102" i="15"/>
  <c r="F102" i="15"/>
  <c r="E102" i="15"/>
  <c r="D102" i="15"/>
  <c r="I101" i="15"/>
  <c r="H101" i="15"/>
  <c r="G101" i="15"/>
  <c r="F101" i="15"/>
  <c r="E101" i="15"/>
  <c r="D101" i="15"/>
  <c r="I140" i="15"/>
  <c r="H140" i="15"/>
  <c r="I135" i="15"/>
  <c r="H135" i="15"/>
  <c r="G135" i="15"/>
  <c r="F135" i="15"/>
  <c r="E135" i="15"/>
  <c r="I130" i="15"/>
  <c r="H130" i="15"/>
  <c r="F130" i="15"/>
  <c r="E130" i="15"/>
  <c r="D130" i="15"/>
  <c r="H125" i="15"/>
  <c r="G125" i="15"/>
  <c r="F125" i="15"/>
  <c r="E125" i="15"/>
  <c r="D125" i="15"/>
  <c r="I84" i="15"/>
  <c r="H84" i="15"/>
  <c r="G84" i="15"/>
  <c r="F84" i="15"/>
  <c r="E84" i="15"/>
  <c r="D84" i="15"/>
  <c r="I78" i="15"/>
  <c r="H78" i="15"/>
  <c r="F78" i="15"/>
  <c r="E78" i="15"/>
  <c r="I72" i="15"/>
  <c r="H72" i="15"/>
  <c r="G72" i="15"/>
  <c r="F72" i="15"/>
  <c r="E72" i="15"/>
  <c r="D72" i="15"/>
  <c r="I66" i="15"/>
  <c r="H66" i="15"/>
  <c r="G66" i="15"/>
  <c r="F66" i="15"/>
  <c r="E66" i="15"/>
  <c r="D66" i="15"/>
  <c r="I262" i="15"/>
  <c r="H262" i="15"/>
  <c r="G262" i="15"/>
  <c r="F262" i="15"/>
  <c r="E262" i="15"/>
  <c r="D262" i="15"/>
  <c r="I261" i="15"/>
  <c r="H261" i="15"/>
  <c r="G261" i="15"/>
  <c r="F261" i="15"/>
  <c r="E261" i="15"/>
  <c r="D261" i="15"/>
  <c r="I257" i="15"/>
  <c r="H257" i="15"/>
  <c r="G257" i="15"/>
  <c r="F257" i="15"/>
  <c r="E257" i="15"/>
  <c r="D257" i="15"/>
  <c r="I254" i="15"/>
  <c r="H254" i="15"/>
  <c r="G254" i="15"/>
  <c r="F254" i="15"/>
  <c r="E254" i="15"/>
  <c r="D254" i="15"/>
  <c r="I253" i="15"/>
  <c r="H253" i="15"/>
  <c r="G253" i="15"/>
  <c r="F253" i="15"/>
  <c r="E253" i="15"/>
  <c r="D253" i="15"/>
  <c r="I246" i="15"/>
  <c r="H246" i="15"/>
  <c r="G246" i="15"/>
  <c r="F246" i="15"/>
  <c r="E246" i="15"/>
  <c r="D246" i="15"/>
  <c r="I245" i="15"/>
  <c r="H245" i="15"/>
  <c r="G245" i="15"/>
  <c r="F245" i="15"/>
  <c r="E245" i="15"/>
  <c r="D245" i="15"/>
  <c r="I241" i="15"/>
  <c r="H241" i="15"/>
  <c r="G241" i="15"/>
  <c r="F241" i="15"/>
  <c r="E241" i="15"/>
  <c r="D241" i="15"/>
  <c r="I240" i="15"/>
  <c r="H240" i="15"/>
  <c r="G240" i="15"/>
  <c r="F240" i="15"/>
  <c r="E240" i="15"/>
  <c r="D240" i="15"/>
  <c r="I239" i="15"/>
  <c r="H239" i="15"/>
  <c r="G239" i="15"/>
  <c r="F239" i="15"/>
  <c r="E239" i="15"/>
  <c r="D239" i="15"/>
  <c r="I238" i="15"/>
  <c r="H238" i="15"/>
  <c r="G238" i="15"/>
  <c r="F238" i="15"/>
  <c r="E238" i="15"/>
  <c r="D238" i="15"/>
  <c r="I235" i="15"/>
  <c r="H235" i="15"/>
  <c r="G235" i="15"/>
  <c r="F235" i="15"/>
  <c r="E235" i="15"/>
  <c r="D235" i="15"/>
  <c r="I234" i="15"/>
  <c r="H234" i="15"/>
  <c r="G234" i="15"/>
  <c r="F234" i="15"/>
  <c r="E234" i="15"/>
  <c r="D234" i="15"/>
  <c r="I233" i="15"/>
  <c r="H233" i="15"/>
  <c r="G233" i="15"/>
  <c r="F233" i="15"/>
  <c r="E233" i="15"/>
  <c r="D233" i="15"/>
  <c r="I232" i="15"/>
  <c r="H232" i="15"/>
  <c r="G232" i="15"/>
  <c r="F232" i="15"/>
  <c r="E232" i="15"/>
  <c r="D232" i="15"/>
  <c r="I228" i="15"/>
  <c r="H228" i="15"/>
  <c r="G228" i="15"/>
  <c r="F228" i="15"/>
  <c r="E228" i="15"/>
  <c r="D228" i="15"/>
  <c r="I227" i="15"/>
  <c r="H227" i="15"/>
  <c r="G227" i="15"/>
  <c r="F227" i="15"/>
  <c r="E227" i="15"/>
  <c r="D227" i="15"/>
  <c r="I226" i="15"/>
  <c r="H226" i="15"/>
  <c r="G226" i="15"/>
  <c r="F226" i="15"/>
  <c r="E226" i="15"/>
  <c r="D226" i="15"/>
  <c r="I225" i="15"/>
  <c r="H225" i="15"/>
  <c r="G225" i="15"/>
  <c r="F225" i="15"/>
  <c r="E225" i="15"/>
  <c r="D225" i="15"/>
  <c r="I222" i="15"/>
  <c r="H222" i="15"/>
  <c r="G222" i="15"/>
  <c r="F222" i="15"/>
  <c r="E222" i="15"/>
  <c r="D222" i="15"/>
  <c r="I221" i="15"/>
  <c r="H221" i="15"/>
  <c r="G221" i="15"/>
  <c r="F221" i="15"/>
  <c r="E221" i="15"/>
  <c r="D221" i="15"/>
  <c r="I220" i="15"/>
  <c r="H220" i="15"/>
  <c r="G220" i="15"/>
  <c r="F220" i="15"/>
  <c r="E220" i="15"/>
  <c r="D220" i="15"/>
  <c r="I219" i="15"/>
  <c r="H219" i="15"/>
  <c r="G219" i="15"/>
  <c r="F219" i="15"/>
  <c r="E219" i="15"/>
  <c r="D219" i="15"/>
  <c r="I215" i="15"/>
  <c r="H215" i="15"/>
  <c r="G215" i="15"/>
  <c r="F215" i="15"/>
  <c r="E215" i="15"/>
  <c r="D215" i="15"/>
  <c r="I214" i="15"/>
  <c r="H214" i="15"/>
  <c r="G214" i="15"/>
  <c r="F214" i="15"/>
  <c r="E214" i="15"/>
  <c r="D214" i="15"/>
  <c r="I213" i="15"/>
  <c r="H213" i="15"/>
  <c r="G213" i="15"/>
  <c r="F213" i="15"/>
  <c r="E213" i="15"/>
  <c r="D213" i="15"/>
  <c r="I212" i="15"/>
  <c r="H212" i="15"/>
  <c r="G212" i="15"/>
  <c r="F212" i="15"/>
  <c r="E212" i="15"/>
  <c r="D212" i="15"/>
  <c r="I209" i="15"/>
  <c r="H209" i="15"/>
  <c r="G209" i="15"/>
  <c r="F209" i="15"/>
  <c r="E209" i="15"/>
  <c r="D209" i="15"/>
  <c r="I208" i="15"/>
  <c r="H208" i="15"/>
  <c r="G208" i="15"/>
  <c r="F208" i="15"/>
  <c r="E208" i="15"/>
  <c r="D208" i="15"/>
  <c r="I207" i="15"/>
  <c r="H207" i="15"/>
  <c r="G207" i="15"/>
  <c r="F207" i="15"/>
  <c r="E207" i="15"/>
  <c r="D207" i="15"/>
  <c r="I206" i="15"/>
  <c r="H206" i="15"/>
  <c r="G206" i="15"/>
  <c r="F206" i="15"/>
  <c r="E206" i="15"/>
  <c r="D206" i="15"/>
  <c r="I203" i="15"/>
  <c r="H203" i="15"/>
  <c r="G203" i="15"/>
  <c r="F203" i="15"/>
  <c r="E203" i="15"/>
  <c r="D203" i="15"/>
  <c r="I202" i="15"/>
  <c r="H202" i="15"/>
  <c r="G202" i="15"/>
  <c r="F202" i="15"/>
  <c r="E202" i="15"/>
  <c r="D202" i="15"/>
  <c r="I201" i="15"/>
  <c r="H201" i="15"/>
  <c r="G201" i="15"/>
  <c r="F201" i="15"/>
  <c r="E201" i="15"/>
  <c r="D201" i="15"/>
  <c r="I200" i="15"/>
  <c r="H200" i="15"/>
  <c r="G200" i="15"/>
  <c r="F200" i="15"/>
  <c r="E200" i="15"/>
  <c r="D200" i="15"/>
  <c r="I199" i="15"/>
  <c r="H199" i="15"/>
  <c r="G199" i="15"/>
  <c r="F199" i="15"/>
  <c r="E199" i="15"/>
  <c r="D199" i="15"/>
  <c r="I197" i="15"/>
  <c r="H197" i="15"/>
  <c r="G197" i="15"/>
  <c r="F197" i="15"/>
  <c r="E197" i="15"/>
  <c r="D197" i="15"/>
  <c r="I196" i="15"/>
  <c r="H196" i="15"/>
  <c r="G196" i="15"/>
  <c r="F196" i="15"/>
  <c r="E196" i="15"/>
  <c r="D196" i="15"/>
  <c r="I195" i="15"/>
  <c r="H195" i="15"/>
  <c r="G195" i="15"/>
  <c r="F195" i="15"/>
  <c r="E195" i="15"/>
  <c r="D195" i="15"/>
  <c r="I194" i="15"/>
  <c r="H194" i="15"/>
  <c r="G194" i="15"/>
  <c r="F194" i="15"/>
  <c r="E194" i="15"/>
  <c r="D194" i="15"/>
  <c r="I192" i="15"/>
  <c r="H192" i="15"/>
  <c r="G192" i="15"/>
  <c r="F192" i="15"/>
  <c r="E192" i="15"/>
  <c r="D192" i="15"/>
  <c r="I191" i="15"/>
  <c r="H191" i="15"/>
  <c r="G191" i="15"/>
  <c r="F191" i="15"/>
  <c r="E191" i="15"/>
  <c r="D191" i="15"/>
  <c r="I190" i="15"/>
  <c r="H190" i="15"/>
  <c r="G190" i="15"/>
  <c r="F190" i="15"/>
  <c r="E190" i="15"/>
  <c r="D190" i="15"/>
  <c r="I189" i="15"/>
  <c r="H189" i="15"/>
  <c r="G189" i="15"/>
  <c r="F189" i="15"/>
  <c r="E189" i="15"/>
  <c r="D189" i="15"/>
  <c r="I187" i="15"/>
  <c r="H187" i="15"/>
  <c r="G187" i="15"/>
  <c r="F187" i="15"/>
  <c r="E187" i="15"/>
  <c r="D187" i="15"/>
  <c r="I186" i="15"/>
  <c r="H186" i="15"/>
  <c r="G186" i="15"/>
  <c r="F186" i="15"/>
  <c r="E186" i="15"/>
  <c r="D186" i="15"/>
  <c r="I185" i="15"/>
  <c r="H185" i="15"/>
  <c r="G185" i="15"/>
  <c r="F185" i="15"/>
  <c r="E185" i="15"/>
  <c r="D185" i="15"/>
  <c r="I184" i="15"/>
  <c r="H184" i="15"/>
  <c r="G184" i="15"/>
  <c r="F184" i="15"/>
  <c r="E184" i="15"/>
  <c r="D184" i="15"/>
  <c r="I182" i="15"/>
  <c r="H182" i="15"/>
  <c r="G182" i="15"/>
  <c r="F182" i="15"/>
  <c r="E182" i="15"/>
  <c r="D182" i="15"/>
  <c r="I181" i="15"/>
  <c r="H181" i="15"/>
  <c r="G181" i="15"/>
  <c r="F181" i="15"/>
  <c r="E181" i="15"/>
  <c r="D181" i="15"/>
  <c r="I180" i="15"/>
  <c r="H180" i="15"/>
  <c r="G180" i="15"/>
  <c r="F180" i="15"/>
  <c r="E180" i="15"/>
  <c r="D180" i="15"/>
  <c r="I179" i="15"/>
  <c r="H179" i="15"/>
  <c r="G179" i="15"/>
  <c r="F179" i="15"/>
  <c r="E179" i="15"/>
  <c r="D179" i="15"/>
  <c r="I178" i="15"/>
  <c r="H178" i="15"/>
  <c r="G178" i="15"/>
  <c r="F178" i="15"/>
  <c r="E178" i="15"/>
  <c r="D178" i="15"/>
  <c r="I177" i="15"/>
  <c r="H177" i="15"/>
  <c r="G177" i="15"/>
  <c r="F177" i="15"/>
  <c r="E177" i="15"/>
  <c r="D177" i="15"/>
  <c r="I175" i="15"/>
  <c r="H175" i="15"/>
  <c r="G175" i="15"/>
  <c r="F175" i="15"/>
  <c r="E175" i="15"/>
  <c r="D175" i="15"/>
  <c r="I174" i="15"/>
  <c r="H174" i="15"/>
  <c r="G174" i="15"/>
  <c r="F174" i="15"/>
  <c r="E174" i="15"/>
  <c r="D174" i="15"/>
  <c r="I173" i="15"/>
  <c r="H173" i="15"/>
  <c r="G173" i="15"/>
  <c r="F173" i="15"/>
  <c r="E173" i="15"/>
  <c r="D173" i="15"/>
  <c r="I172" i="15"/>
  <c r="H172" i="15"/>
  <c r="G172" i="15"/>
  <c r="F172" i="15"/>
  <c r="E172" i="15"/>
  <c r="D172" i="15"/>
  <c r="I171" i="15"/>
  <c r="H171" i="15"/>
  <c r="G171" i="15"/>
  <c r="F171" i="15"/>
  <c r="E171" i="15"/>
  <c r="D171" i="15"/>
  <c r="I170" i="15"/>
  <c r="H170" i="15"/>
  <c r="G170" i="15"/>
  <c r="F170" i="15"/>
  <c r="E170" i="15"/>
  <c r="D170" i="15"/>
  <c r="I169" i="15"/>
  <c r="H169" i="15"/>
  <c r="G169" i="15"/>
  <c r="F169" i="15"/>
  <c r="E169" i="15"/>
  <c r="D169" i="15"/>
  <c r="I168" i="15"/>
  <c r="H168" i="15"/>
  <c r="G168" i="15"/>
  <c r="F168" i="15"/>
  <c r="E168" i="15"/>
  <c r="D168" i="15"/>
  <c r="I167" i="15"/>
  <c r="H167" i="15"/>
  <c r="G167" i="15"/>
  <c r="F167" i="15"/>
  <c r="E167" i="15"/>
  <c r="D167" i="15"/>
  <c r="I165" i="15"/>
  <c r="H165" i="15"/>
  <c r="G165" i="15"/>
  <c r="F165" i="15"/>
  <c r="E165" i="15"/>
  <c r="D165" i="15"/>
  <c r="I164" i="15"/>
  <c r="H164" i="15"/>
  <c r="G164" i="15"/>
  <c r="F164" i="15"/>
  <c r="E164" i="15"/>
  <c r="D164" i="15"/>
  <c r="I163" i="15"/>
  <c r="H163" i="15"/>
  <c r="G163" i="15"/>
  <c r="F163" i="15"/>
  <c r="E163" i="15"/>
  <c r="D163" i="15"/>
  <c r="I162" i="15"/>
  <c r="H162" i="15"/>
  <c r="G162" i="15"/>
  <c r="F162" i="15"/>
  <c r="E162" i="15"/>
  <c r="D162" i="15"/>
  <c r="I161" i="15"/>
  <c r="H161" i="15"/>
  <c r="G161" i="15"/>
  <c r="F161" i="15"/>
  <c r="E161" i="15"/>
  <c r="D161" i="15"/>
  <c r="I160" i="15"/>
  <c r="H160" i="15"/>
  <c r="G160" i="15"/>
  <c r="F160" i="15"/>
  <c r="E160" i="15"/>
  <c r="D160" i="15"/>
  <c r="I159" i="15"/>
  <c r="H159" i="15"/>
  <c r="G159" i="15"/>
  <c r="F159" i="15"/>
  <c r="E159" i="15"/>
  <c r="D159" i="15"/>
  <c r="I158" i="15"/>
  <c r="H158" i="15"/>
  <c r="G158" i="15"/>
  <c r="F158" i="15"/>
  <c r="E158" i="15"/>
  <c r="D158" i="15"/>
  <c r="I157" i="15"/>
  <c r="H157" i="15"/>
  <c r="G157" i="15"/>
  <c r="F157" i="15"/>
  <c r="E157" i="15"/>
  <c r="D157" i="15"/>
  <c r="I156" i="15"/>
  <c r="H156" i="15"/>
  <c r="G156" i="15"/>
  <c r="F156" i="15"/>
  <c r="E156" i="15"/>
  <c r="D156" i="15"/>
  <c r="I155" i="15"/>
  <c r="H155" i="15"/>
  <c r="G155" i="15"/>
  <c r="F155" i="15"/>
  <c r="E155" i="15"/>
  <c r="D155" i="15"/>
  <c r="I154" i="15"/>
  <c r="H154" i="15"/>
  <c r="G154" i="15"/>
  <c r="F154" i="15"/>
  <c r="E154" i="15"/>
  <c r="D154" i="15"/>
  <c r="I153" i="15"/>
  <c r="H153" i="15"/>
  <c r="G153" i="15"/>
  <c r="F153" i="15"/>
  <c r="E153" i="15"/>
  <c r="D153" i="15"/>
  <c r="I143" i="15"/>
  <c r="H143" i="15"/>
  <c r="G143" i="15"/>
  <c r="F143" i="15"/>
  <c r="E143" i="15"/>
  <c r="D143" i="15"/>
  <c r="I142" i="15"/>
  <c r="H142" i="15"/>
  <c r="G142" i="15"/>
  <c r="F142" i="15"/>
  <c r="E142" i="15"/>
  <c r="D142" i="15"/>
  <c r="I141" i="15"/>
  <c r="H141" i="15"/>
  <c r="G141" i="15"/>
  <c r="F141" i="15"/>
  <c r="E141" i="15"/>
  <c r="D141" i="15"/>
  <c r="I138" i="15"/>
  <c r="H138" i="15"/>
  <c r="G138" i="15"/>
  <c r="F138" i="15"/>
  <c r="E138" i="15"/>
  <c r="D138" i="15"/>
  <c r="I137" i="15"/>
  <c r="H137" i="15"/>
  <c r="G137" i="15"/>
  <c r="F137" i="15"/>
  <c r="E137" i="15"/>
  <c r="D137" i="15"/>
  <c r="I136" i="15"/>
  <c r="H136" i="15"/>
  <c r="G136" i="15"/>
  <c r="F136" i="15"/>
  <c r="E136" i="15"/>
  <c r="D136" i="15"/>
  <c r="I133" i="15"/>
  <c r="H133" i="15"/>
  <c r="G133" i="15"/>
  <c r="F133" i="15"/>
  <c r="E133" i="15"/>
  <c r="D133" i="15"/>
  <c r="I132" i="15"/>
  <c r="H132" i="15"/>
  <c r="G132" i="15"/>
  <c r="F132" i="15"/>
  <c r="E132" i="15"/>
  <c r="D132" i="15"/>
  <c r="I131" i="15"/>
  <c r="H131" i="15"/>
  <c r="G131" i="15"/>
  <c r="F131" i="15"/>
  <c r="E131" i="15"/>
  <c r="D131" i="15"/>
  <c r="I128" i="15"/>
  <c r="H128" i="15"/>
  <c r="G128" i="15"/>
  <c r="F128" i="15"/>
  <c r="E128" i="15"/>
  <c r="D128" i="15"/>
  <c r="I127" i="15"/>
  <c r="H127" i="15"/>
  <c r="G127" i="15"/>
  <c r="F127" i="15"/>
  <c r="E127" i="15"/>
  <c r="D127" i="15"/>
  <c r="I126" i="15"/>
  <c r="H126" i="15"/>
  <c r="G126" i="15"/>
  <c r="F126" i="15"/>
  <c r="E126" i="15"/>
  <c r="D126" i="15"/>
  <c r="I98" i="15"/>
  <c r="H98" i="15"/>
  <c r="G98" i="15"/>
  <c r="F98" i="15"/>
  <c r="E98" i="15"/>
  <c r="D98" i="15"/>
  <c r="I87" i="15"/>
  <c r="H87" i="15"/>
  <c r="G87" i="15"/>
  <c r="F87" i="15"/>
  <c r="E87" i="15"/>
  <c r="D87" i="15"/>
  <c r="I86" i="15"/>
  <c r="H86" i="15"/>
  <c r="G86" i="15"/>
  <c r="F86" i="15"/>
  <c r="E86" i="15"/>
  <c r="D86" i="15"/>
  <c r="I85" i="15"/>
  <c r="H85" i="15"/>
  <c r="G85" i="15"/>
  <c r="F85" i="15"/>
  <c r="E85" i="15"/>
  <c r="D85" i="15"/>
  <c r="I81" i="15"/>
  <c r="H81" i="15"/>
  <c r="G81" i="15"/>
  <c r="F81" i="15"/>
  <c r="E81" i="15"/>
  <c r="D81" i="15"/>
  <c r="I80" i="15"/>
  <c r="H80" i="15"/>
  <c r="G80" i="15"/>
  <c r="F80" i="15"/>
  <c r="E80" i="15"/>
  <c r="D80" i="15"/>
  <c r="I79" i="15"/>
  <c r="H79" i="15"/>
  <c r="G79" i="15"/>
  <c r="F79" i="15"/>
  <c r="E79" i="15"/>
  <c r="D79" i="15"/>
  <c r="I75" i="15"/>
  <c r="H75" i="15"/>
  <c r="G75" i="15"/>
  <c r="F75" i="15"/>
  <c r="E75" i="15"/>
  <c r="D75" i="15"/>
  <c r="I74" i="15"/>
  <c r="H74" i="15"/>
  <c r="G74" i="15"/>
  <c r="F74" i="15"/>
  <c r="E74" i="15"/>
  <c r="D74" i="15"/>
  <c r="I73" i="15"/>
  <c r="H73" i="15"/>
  <c r="G73" i="15"/>
  <c r="F73" i="15"/>
  <c r="E73" i="15"/>
  <c r="D73" i="15"/>
  <c r="I69" i="15"/>
  <c r="H69" i="15"/>
  <c r="G69" i="15"/>
  <c r="F69" i="15"/>
  <c r="E69" i="15"/>
  <c r="D69" i="15"/>
  <c r="I68" i="15"/>
  <c r="H68" i="15"/>
  <c r="G68" i="15"/>
  <c r="F68" i="15"/>
  <c r="E68" i="15"/>
  <c r="D68" i="15"/>
  <c r="I67" i="15"/>
  <c r="H67" i="15"/>
  <c r="G67" i="15"/>
  <c r="F67" i="15"/>
  <c r="E67" i="15"/>
  <c r="D67" i="15"/>
  <c r="I56" i="15"/>
  <c r="H56" i="15"/>
  <c r="G56" i="15"/>
  <c r="F56" i="15"/>
  <c r="E56" i="15"/>
  <c r="D56" i="15"/>
  <c r="I55" i="15"/>
  <c r="H55" i="15"/>
  <c r="G55" i="15"/>
  <c r="F55" i="15"/>
  <c r="E55" i="15"/>
  <c r="D55" i="15"/>
  <c r="I54" i="15"/>
  <c r="H54" i="15"/>
  <c r="G54" i="15"/>
  <c r="F54" i="15"/>
  <c r="E54" i="15"/>
  <c r="D54" i="15"/>
  <c r="I51" i="15"/>
  <c r="H51" i="15"/>
  <c r="G51" i="15"/>
  <c r="F51" i="15"/>
  <c r="E51" i="15"/>
  <c r="D51" i="15"/>
  <c r="I50" i="15"/>
  <c r="H50" i="15"/>
  <c r="G50" i="15"/>
  <c r="F50" i="15"/>
  <c r="E50" i="15"/>
  <c r="D50" i="15"/>
  <c r="I49" i="15"/>
  <c r="H49" i="15"/>
  <c r="G49" i="15"/>
  <c r="F49" i="15"/>
  <c r="E49" i="15"/>
  <c r="D49" i="15"/>
  <c r="H139" i="15" l="1"/>
  <c r="F263" i="15"/>
  <c r="I247" i="15"/>
  <c r="G139" i="15"/>
  <c r="H145" i="15"/>
  <c r="I263" i="15"/>
  <c r="G148" i="15"/>
  <c r="I139" i="15"/>
  <c r="E247" i="15"/>
  <c r="I90" i="15"/>
  <c r="I93" i="15"/>
  <c r="G111" i="15"/>
  <c r="E134" i="15"/>
  <c r="F247" i="15"/>
  <c r="H111" i="15"/>
  <c r="D247" i="15"/>
  <c r="H263" i="15"/>
  <c r="E90" i="15"/>
  <c r="G247" i="15"/>
  <c r="H90" i="15"/>
  <c r="H247" i="15"/>
  <c r="F92" i="15"/>
  <c r="D111" i="15"/>
  <c r="I91" i="15"/>
  <c r="G92" i="15"/>
  <c r="D117" i="15"/>
  <c r="H91" i="15"/>
  <c r="F90" i="15"/>
  <c r="I92" i="15"/>
  <c r="G93" i="15"/>
  <c r="E148" i="15"/>
  <c r="E139" i="15"/>
  <c r="G91" i="15"/>
  <c r="I111" i="15"/>
  <c r="H117" i="15"/>
  <c r="E263" i="15"/>
  <c r="G117" i="15"/>
  <c r="I134" i="15"/>
  <c r="I105" i="15"/>
  <c r="H146" i="15"/>
  <c r="H134" i="15"/>
  <c r="H93" i="15"/>
  <c r="G263" i="15"/>
  <c r="G129" i="15"/>
  <c r="F139" i="15"/>
  <c r="F147" i="15"/>
  <c r="F134" i="15"/>
  <c r="F129" i="15"/>
  <c r="F93" i="15"/>
  <c r="F91" i="15"/>
  <c r="E147" i="15"/>
  <c r="E91" i="15"/>
  <c r="F111" i="15"/>
  <c r="E111" i="15"/>
  <c r="F148" i="15"/>
  <c r="F146" i="15"/>
  <c r="F117" i="15"/>
  <c r="H148" i="15"/>
  <c r="H147" i="15"/>
  <c r="H144" i="15"/>
  <c r="H129" i="15"/>
  <c r="H92" i="15"/>
  <c r="I144" i="15"/>
  <c r="I147" i="15"/>
  <c r="I146" i="15"/>
  <c r="I148" i="15"/>
  <c r="I117" i="15"/>
  <c r="G147" i="15"/>
  <c r="G146" i="15"/>
  <c r="E129" i="15"/>
  <c r="E146" i="15"/>
  <c r="E117" i="15"/>
  <c r="E93" i="15"/>
  <c r="E92" i="15"/>
  <c r="D263" i="15"/>
  <c r="D129" i="15"/>
  <c r="D148" i="15"/>
  <c r="D147" i="15"/>
  <c r="D134" i="15"/>
  <c r="D146" i="15"/>
  <c r="D93" i="15"/>
  <c r="D91" i="15"/>
  <c r="D92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I29" i="15"/>
  <c r="H29" i="15"/>
  <c r="G29" i="15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H12" i="15"/>
  <c r="H13" i="15"/>
  <c r="H14" i="15"/>
  <c r="H11" i="15"/>
  <c r="H9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H88" i="15"/>
  <c r="H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G118" i="15" l="1"/>
  <c r="H118" i="15"/>
  <c r="E118" i="15"/>
  <c r="D118" i="15"/>
  <c r="I94" i="15"/>
  <c r="I95" i="15" s="1"/>
  <c r="F94" i="15"/>
  <c r="F95" i="15" s="1"/>
  <c r="F118" i="15"/>
  <c r="I118" i="15"/>
  <c r="G94" i="15"/>
  <c r="H94" i="15"/>
  <c r="H95" i="15" s="1"/>
  <c r="E21" i="15"/>
  <c r="H149" i="15"/>
  <c r="E94" i="15"/>
  <c r="E95" i="15" s="1"/>
  <c r="D89" i="15"/>
  <c r="D94" i="15"/>
  <c r="J263" i="6" l="1"/>
  <c r="J134" i="6"/>
  <c r="J144" i="6"/>
  <c r="K140" i="6" s="1"/>
  <c r="K144" i="6" s="1"/>
  <c r="J146" i="6"/>
  <c r="J147" i="6"/>
  <c r="J148" i="6"/>
  <c r="J117" i="6"/>
  <c r="J70" i="6"/>
  <c r="J71" i="6" s="1"/>
  <c r="K66" i="6" s="1"/>
  <c r="J76" i="6"/>
  <c r="J77" i="6" s="1"/>
  <c r="J82" i="6"/>
  <c r="J83" i="6" s="1"/>
  <c r="J90" i="6"/>
  <c r="J91" i="6"/>
  <c r="I256" i="15" s="1"/>
  <c r="J92" i="6"/>
  <c r="J259" i="6" s="1"/>
  <c r="J93" i="6"/>
  <c r="J263" i="5"/>
  <c r="J129" i="5"/>
  <c r="J134" i="5"/>
  <c r="J139" i="5"/>
  <c r="J144" i="5"/>
  <c r="K140" i="5" s="1"/>
  <c r="J145" i="5"/>
  <c r="J146" i="5"/>
  <c r="J147" i="5"/>
  <c r="J148" i="5"/>
  <c r="J117" i="5"/>
  <c r="J70" i="5"/>
  <c r="J71" i="5" s="1"/>
  <c r="K66" i="5" s="1"/>
  <c r="J76" i="5"/>
  <c r="J77" i="5" s="1"/>
  <c r="J82" i="5"/>
  <c r="J83" i="5" s="1"/>
  <c r="J89" i="5"/>
  <c r="J90" i="5"/>
  <c r="J91" i="5"/>
  <c r="H256" i="15" s="1"/>
  <c r="J92" i="5"/>
  <c r="J93" i="5"/>
  <c r="K144" i="5" l="1"/>
  <c r="K145" i="5"/>
  <c r="K149" i="5" s="1"/>
  <c r="K71" i="5"/>
  <c r="K90" i="5"/>
  <c r="K95" i="5" s="1"/>
  <c r="K71" i="6"/>
  <c r="K90" i="6"/>
  <c r="K95" i="6" s="1"/>
  <c r="J94" i="6"/>
  <c r="J95" i="6" s="1"/>
  <c r="I255" i="15" s="1"/>
  <c r="J94" i="5"/>
  <c r="J95" i="5" s="1"/>
  <c r="H255" i="15" s="1"/>
  <c r="J149" i="5"/>
  <c r="J263" i="4" l="1"/>
  <c r="J139" i="4"/>
  <c r="J146" i="4"/>
  <c r="J147" i="4"/>
  <c r="J148" i="4"/>
  <c r="J117" i="4"/>
  <c r="J70" i="4"/>
  <c r="J71" i="4"/>
  <c r="K66" i="4" s="1"/>
  <c r="J76" i="4"/>
  <c r="J77" i="4" s="1"/>
  <c r="J82" i="4"/>
  <c r="J89" i="4"/>
  <c r="J91" i="4"/>
  <c r="G256" i="15" s="1"/>
  <c r="J92" i="4"/>
  <c r="J93" i="4"/>
  <c r="K71" i="4" l="1"/>
  <c r="J94" i="4"/>
  <c r="J263" i="3" l="1"/>
  <c r="J129" i="3"/>
  <c r="J134" i="3"/>
  <c r="J139" i="3"/>
  <c r="J146" i="3"/>
  <c r="J147" i="3"/>
  <c r="J148" i="3"/>
  <c r="J70" i="3"/>
  <c r="J71" i="3" s="1"/>
  <c r="K66" i="3" s="1"/>
  <c r="J76" i="3"/>
  <c r="J77" i="3" s="1"/>
  <c r="J82" i="3"/>
  <c r="J83" i="3" s="1"/>
  <c r="J88" i="3"/>
  <c r="J89" i="3"/>
  <c r="J90" i="3"/>
  <c r="J91" i="3"/>
  <c r="F256" i="15" s="1"/>
  <c r="J92" i="3"/>
  <c r="J259" i="3" s="1"/>
  <c r="J93" i="3"/>
  <c r="K90" i="3" l="1"/>
  <c r="K95" i="3" s="1"/>
  <c r="K71" i="3"/>
  <c r="J94" i="3"/>
  <c r="J95" i="3"/>
  <c r="F255" i="15" s="1"/>
  <c r="J129" i="2"/>
  <c r="J134" i="2"/>
  <c r="J139" i="2"/>
  <c r="J146" i="2"/>
  <c r="J147" i="2"/>
  <c r="J148" i="2"/>
  <c r="J117" i="2"/>
  <c r="J71" i="2"/>
  <c r="K66" i="2" s="1"/>
  <c r="J76" i="2"/>
  <c r="J77" i="2" s="1"/>
  <c r="J82" i="2"/>
  <c r="J83" i="2" s="1"/>
  <c r="E83" i="15" s="1"/>
  <c r="J88" i="2"/>
  <c r="J89" i="2" s="1"/>
  <c r="J90" i="2"/>
  <c r="J91" i="2"/>
  <c r="E256" i="15" s="1"/>
  <c r="J92" i="2"/>
  <c r="J93" i="2"/>
  <c r="K71" i="2" l="1"/>
  <c r="K90" i="2"/>
  <c r="K95" i="2" s="1"/>
  <c r="J94" i="2"/>
  <c r="J95" i="2" s="1"/>
  <c r="E255" i="15" s="1"/>
  <c r="J129" i="1" l="1"/>
  <c r="J134" i="1"/>
  <c r="J146" i="1"/>
  <c r="J147" i="1"/>
  <c r="J148" i="1"/>
  <c r="J91" i="1"/>
  <c r="D256" i="15" s="1"/>
  <c r="J92" i="1"/>
  <c r="J93" i="1"/>
  <c r="J88" i="1"/>
  <c r="J89" i="1" s="1"/>
  <c r="I88" i="1"/>
  <c r="H88" i="1"/>
  <c r="J82" i="1"/>
  <c r="I82" i="1"/>
  <c r="J70" i="1"/>
  <c r="P88" i="1" l="1"/>
  <c r="J94" i="1"/>
  <c r="J236" i="6" l="1"/>
  <c r="K236" i="6"/>
  <c r="L236" i="6"/>
  <c r="M236" i="6"/>
  <c r="N236" i="6"/>
  <c r="J236" i="5"/>
  <c r="K236" i="5"/>
  <c r="L236" i="5"/>
  <c r="M236" i="5"/>
  <c r="N236" i="5"/>
  <c r="J236" i="4"/>
  <c r="K236" i="4"/>
  <c r="L236" i="4"/>
  <c r="M236" i="4"/>
  <c r="N236" i="4"/>
  <c r="J236" i="3"/>
  <c r="K236" i="3"/>
  <c r="L236" i="3"/>
  <c r="M236" i="3"/>
  <c r="N236" i="3"/>
  <c r="J236" i="2"/>
  <c r="K236" i="2"/>
  <c r="L236" i="2"/>
  <c r="M236" i="2"/>
  <c r="N236" i="2"/>
  <c r="J236" i="1"/>
  <c r="K236" i="1"/>
  <c r="L236" i="1"/>
  <c r="M236" i="1"/>
  <c r="N236" i="1"/>
  <c r="I61" i="13" l="1"/>
  <c r="H61" i="13"/>
  <c r="G61" i="13"/>
  <c r="F61" i="13"/>
  <c r="E61" i="13"/>
  <c r="D61" i="13"/>
  <c r="I129" i="1"/>
  <c r="I139" i="1"/>
  <c r="J135" i="1" s="1"/>
  <c r="I146" i="1"/>
  <c r="I147" i="1"/>
  <c r="I148" i="1"/>
  <c r="J135" i="11" l="1"/>
  <c r="D135" i="15"/>
  <c r="J139" i="1"/>
  <c r="K135" i="1" s="1"/>
  <c r="J61" i="13"/>
  <c r="I89" i="1"/>
  <c r="I91" i="1"/>
  <c r="I92" i="1"/>
  <c r="I93" i="1"/>
  <c r="D139" i="15" l="1"/>
  <c r="K135" i="11"/>
  <c r="K139" i="1"/>
  <c r="I94" i="1"/>
  <c r="I263" i="5" l="1"/>
  <c r="I129" i="5"/>
  <c r="I146" i="5"/>
  <c r="I147" i="5"/>
  <c r="I148" i="5"/>
  <c r="I149" i="5" l="1"/>
  <c r="I76" i="5" l="1"/>
  <c r="I77" i="5"/>
  <c r="I82" i="5"/>
  <c r="I83" i="5" s="1"/>
  <c r="I89" i="5"/>
  <c r="I90" i="5"/>
  <c r="I91" i="5"/>
  <c r="I92" i="5"/>
  <c r="I93" i="5"/>
  <c r="I94" i="5" l="1"/>
  <c r="I95" i="5" s="1"/>
  <c r="I263" i="4" l="1"/>
  <c r="I129" i="4"/>
  <c r="I134" i="4"/>
  <c r="J130" i="4" s="1"/>
  <c r="I139" i="4"/>
  <c r="I146" i="4"/>
  <c r="I147" i="4"/>
  <c r="I148" i="4"/>
  <c r="J130" i="11" l="1"/>
  <c r="G130" i="15"/>
  <c r="J134" i="4"/>
  <c r="K130" i="4" s="1"/>
  <c r="K130" i="11" l="1"/>
  <c r="K134" i="4"/>
  <c r="G134" i="15"/>
  <c r="I76" i="4"/>
  <c r="I77" i="4"/>
  <c r="I82" i="4"/>
  <c r="I83" i="4" s="1"/>
  <c r="J78" i="4" s="1"/>
  <c r="I89" i="4"/>
  <c r="I90" i="4"/>
  <c r="I91" i="4"/>
  <c r="I92" i="4"/>
  <c r="I93" i="4"/>
  <c r="G78" i="15" l="1"/>
  <c r="G90" i="15" s="1"/>
  <c r="G95" i="15" s="1"/>
  <c r="J90" i="4"/>
  <c r="J95" i="4" s="1"/>
  <c r="G255" i="15" s="1"/>
  <c r="J83" i="4"/>
  <c r="K78" i="4" s="1"/>
  <c r="I94" i="4"/>
  <c r="I95" i="4" s="1"/>
  <c r="I263" i="2"/>
  <c r="I129" i="2"/>
  <c r="I134" i="2"/>
  <c r="I139" i="2"/>
  <c r="I144" i="2"/>
  <c r="J140" i="2" s="1"/>
  <c r="I145" i="2"/>
  <c r="I146" i="2"/>
  <c r="I147" i="2"/>
  <c r="I148" i="2"/>
  <c r="I117" i="2"/>
  <c r="K83" i="4" l="1"/>
  <c r="K115" i="4" s="1"/>
  <c r="K117" i="4" s="1"/>
  <c r="K90" i="4"/>
  <c r="K95" i="4" s="1"/>
  <c r="E140" i="15"/>
  <c r="J144" i="2"/>
  <c r="K140" i="2" s="1"/>
  <c r="J145" i="2"/>
  <c r="J149" i="2" s="1"/>
  <c r="I149" i="2"/>
  <c r="K144" i="2" l="1"/>
  <c r="K145" i="2"/>
  <c r="K149" i="2" s="1"/>
  <c r="E145" i="15"/>
  <c r="E149" i="15" s="1"/>
  <c r="E144" i="15"/>
  <c r="I76" i="2"/>
  <c r="I77" i="2"/>
  <c r="I82" i="2"/>
  <c r="I83" i="2" s="1"/>
  <c r="I88" i="2"/>
  <c r="I89" i="2" s="1"/>
  <c r="I90" i="2"/>
  <c r="I91" i="2"/>
  <c r="I92" i="2"/>
  <c r="I93" i="2"/>
  <c r="I94" i="2" l="1"/>
  <c r="I95" i="2" s="1"/>
  <c r="I263" i="6" l="1"/>
  <c r="I129" i="6"/>
  <c r="J125" i="6" s="1"/>
  <c r="I146" i="6"/>
  <c r="I147" i="6"/>
  <c r="I148" i="6"/>
  <c r="J125" i="11" l="1"/>
  <c r="I125" i="15"/>
  <c r="J129" i="6"/>
  <c r="K125" i="6" s="1"/>
  <c r="J145" i="6"/>
  <c r="J149" i="6" s="1"/>
  <c r="I149" i="6"/>
  <c r="I76" i="6"/>
  <c r="I77" i="6" s="1"/>
  <c r="I82" i="6"/>
  <c r="I83" i="6" s="1"/>
  <c r="I90" i="6"/>
  <c r="I91" i="6"/>
  <c r="I92" i="6"/>
  <c r="I259" i="6" s="1"/>
  <c r="I93" i="6"/>
  <c r="K125" i="11" l="1"/>
  <c r="K129" i="6"/>
  <c r="K145" i="6"/>
  <c r="K149" i="6" s="1"/>
  <c r="I129" i="15"/>
  <c r="I145" i="15"/>
  <c r="I149" i="15" s="1"/>
  <c r="I94" i="6"/>
  <c r="I95" i="6" s="1"/>
  <c r="I129" i="3" l="1"/>
  <c r="I134" i="3"/>
  <c r="I139" i="3"/>
  <c r="I144" i="3"/>
  <c r="J140" i="3" s="1"/>
  <c r="I145" i="3"/>
  <c r="I146" i="3"/>
  <c r="I147" i="3"/>
  <c r="I148" i="3"/>
  <c r="F140" i="15" l="1"/>
  <c r="J144" i="3"/>
  <c r="K140" i="3" s="1"/>
  <c r="J145" i="3"/>
  <c r="J149" i="3" s="1"/>
  <c r="I149" i="3"/>
  <c r="K144" i="3" l="1"/>
  <c r="K145" i="3"/>
  <c r="K149" i="3" s="1"/>
  <c r="F144" i="15"/>
  <c r="F145" i="15"/>
  <c r="F149" i="15" s="1"/>
  <c r="I263" i="3"/>
  <c r="I88" i="3"/>
  <c r="H88" i="3"/>
  <c r="P88" i="3" l="1"/>
  <c r="I82" i="3"/>
  <c r="I83" i="3" s="1"/>
  <c r="I115" i="3" s="1"/>
  <c r="I76" i="3"/>
  <c r="I91" i="3"/>
  <c r="I92" i="3"/>
  <c r="I93" i="3"/>
  <c r="I89" i="3"/>
  <c r="I116" i="3" s="1"/>
  <c r="I90" i="3"/>
  <c r="J116" i="3" l="1"/>
  <c r="F116" i="18"/>
  <c r="I77" i="3"/>
  <c r="I114" i="3" s="1"/>
  <c r="I113" i="3"/>
  <c r="J115" i="3"/>
  <c r="F115" i="18"/>
  <c r="J115" i="18" s="1"/>
  <c r="I115" i="11"/>
  <c r="I94" i="3"/>
  <c r="I95" i="3" s="1"/>
  <c r="K115" i="3" l="1"/>
  <c r="K115" i="11" s="1"/>
  <c r="J115" i="11"/>
  <c r="J113" i="3"/>
  <c r="F113" i="18"/>
  <c r="I113" i="11"/>
  <c r="I117" i="3"/>
  <c r="J114" i="3"/>
  <c r="F114" i="18"/>
  <c r="K116" i="3"/>
  <c r="K116" i="11" s="1"/>
  <c r="J116" i="11"/>
  <c r="P245" i="11"/>
  <c r="P246" i="11"/>
  <c r="P113" i="11"/>
  <c r="P114" i="11"/>
  <c r="P115" i="11"/>
  <c r="P116" i="11"/>
  <c r="I111" i="2"/>
  <c r="I118" i="2" s="1"/>
  <c r="I236" i="1"/>
  <c r="K114" i="3" l="1"/>
  <c r="K114" i="11" s="1"/>
  <c r="J114" i="11"/>
  <c r="F117" i="18"/>
  <c r="F118" i="18" s="1"/>
  <c r="F119" i="18" s="1"/>
  <c r="J113" i="18"/>
  <c r="K113" i="3"/>
  <c r="J113" i="11"/>
  <c r="J117" i="3"/>
  <c r="N216" i="11"/>
  <c r="L247" i="11"/>
  <c r="N204" i="11"/>
  <c r="K204" i="11"/>
  <c r="J147" i="11"/>
  <c r="J247" i="11"/>
  <c r="K247" i="11"/>
  <c r="N247" i="11"/>
  <c r="O247" i="11"/>
  <c r="O147" i="11"/>
  <c r="O129" i="11"/>
  <c r="L145" i="11"/>
  <c r="I216" i="11"/>
  <c r="I229" i="11"/>
  <c r="O134" i="11"/>
  <c r="L146" i="11"/>
  <c r="O146" i="11"/>
  <c r="L147" i="11"/>
  <c r="K146" i="11"/>
  <c r="I148" i="11"/>
  <c r="L148" i="11"/>
  <c r="K147" i="11"/>
  <c r="J146" i="11"/>
  <c r="K148" i="11"/>
  <c r="I146" i="11"/>
  <c r="O204" i="11"/>
  <c r="M247" i="11"/>
  <c r="J148" i="11"/>
  <c r="I147" i="11"/>
  <c r="I236" i="11"/>
  <c r="N229" i="11"/>
  <c r="M204" i="11"/>
  <c r="I204" i="11"/>
  <c r="K216" i="11"/>
  <c r="O71" i="11"/>
  <c r="O263" i="11"/>
  <c r="O148" i="11"/>
  <c r="O145" i="11"/>
  <c r="O139" i="11"/>
  <c r="O88" i="11"/>
  <c r="O89" i="11" s="1"/>
  <c r="O90" i="11"/>
  <c r="O216" i="11"/>
  <c r="O236" i="11"/>
  <c r="O229" i="11"/>
  <c r="N88" i="11"/>
  <c r="N89" i="11" s="1"/>
  <c r="N263" i="11"/>
  <c r="N147" i="11"/>
  <c r="N139" i="11"/>
  <c r="N148" i="11"/>
  <c r="N146" i="11"/>
  <c r="N145" i="11"/>
  <c r="N134" i="11"/>
  <c r="N129" i="11"/>
  <c r="O117" i="11"/>
  <c r="N76" i="11"/>
  <c r="N77" i="11" s="1"/>
  <c r="O76" i="11"/>
  <c r="O77" i="11" s="1"/>
  <c r="O93" i="11"/>
  <c r="N93" i="11"/>
  <c r="N71" i="11"/>
  <c r="N92" i="11"/>
  <c r="N91" i="11"/>
  <c r="N256" i="11" s="1"/>
  <c r="N258" i="11" s="1"/>
  <c r="N236" i="11"/>
  <c r="M263" i="11"/>
  <c r="M139" i="11"/>
  <c r="M148" i="11"/>
  <c r="M146" i="11"/>
  <c r="M145" i="11"/>
  <c r="M147" i="11"/>
  <c r="M134" i="11"/>
  <c r="M129" i="11"/>
  <c r="N117" i="11"/>
  <c r="M117" i="11"/>
  <c r="M76" i="11"/>
  <c r="M77" i="11" s="1"/>
  <c r="M71" i="11"/>
  <c r="M93" i="11"/>
  <c r="M92" i="11"/>
  <c r="M236" i="11"/>
  <c r="M229" i="11"/>
  <c r="M216" i="11"/>
  <c r="L263" i="11"/>
  <c r="L129" i="11"/>
  <c r="L134" i="11"/>
  <c r="L229" i="11"/>
  <c r="L236" i="11"/>
  <c r="L216" i="11"/>
  <c r="L204" i="11"/>
  <c r="L82" i="11"/>
  <c r="L83" i="11" s="1"/>
  <c r="K229" i="11"/>
  <c r="L117" i="11"/>
  <c r="L91" i="11"/>
  <c r="L256" i="11" s="1"/>
  <c r="L258" i="11" s="1"/>
  <c r="L76" i="11"/>
  <c r="L77" i="11" s="1"/>
  <c r="L71" i="11"/>
  <c r="L92" i="11"/>
  <c r="L93" i="11"/>
  <c r="K76" i="11"/>
  <c r="K77" i="11" s="1"/>
  <c r="K82" i="11"/>
  <c r="K263" i="11"/>
  <c r="L139" i="11"/>
  <c r="K134" i="11"/>
  <c r="K129" i="11"/>
  <c r="K139" i="11"/>
  <c r="K91" i="11"/>
  <c r="K256" i="11" s="1"/>
  <c r="K258" i="11" s="1"/>
  <c r="K92" i="11"/>
  <c r="K93" i="11"/>
  <c r="J263" i="11"/>
  <c r="J204" i="11"/>
  <c r="J134" i="11"/>
  <c r="J129" i="11"/>
  <c r="J88" i="11"/>
  <c r="J89" i="11" s="1"/>
  <c r="J93" i="11"/>
  <c r="J76" i="11"/>
  <c r="J77" i="11" s="1"/>
  <c r="J71" i="11"/>
  <c r="J92" i="11"/>
  <c r="J82" i="11"/>
  <c r="J91" i="11"/>
  <c r="J256" i="11" s="1"/>
  <c r="J258" i="11" s="1"/>
  <c r="J139" i="11"/>
  <c r="K236" i="11"/>
  <c r="J236" i="11"/>
  <c r="J216" i="11"/>
  <c r="J229" i="11"/>
  <c r="I247" i="11"/>
  <c r="J117" i="11"/>
  <c r="I129" i="11"/>
  <c r="I134" i="11"/>
  <c r="I263" i="11"/>
  <c r="I139" i="11"/>
  <c r="I88" i="11"/>
  <c r="I89" i="11" s="1"/>
  <c r="I91" i="11"/>
  <c r="I256" i="11" s="1"/>
  <c r="I258" i="11" s="1"/>
  <c r="I92" i="11"/>
  <c r="I82" i="11"/>
  <c r="I93" i="11"/>
  <c r="I71" i="11"/>
  <c r="O82" i="11"/>
  <c r="O83" i="11" s="1"/>
  <c r="I76" i="11"/>
  <c r="I77" i="11" s="1"/>
  <c r="O91" i="11"/>
  <c r="O256" i="11" s="1"/>
  <c r="O258" i="11" s="1"/>
  <c r="N90" i="11"/>
  <c r="L88" i="11"/>
  <c r="L89" i="11" s="1"/>
  <c r="N82" i="11"/>
  <c r="N83" i="11" s="1"/>
  <c r="O92" i="11"/>
  <c r="M90" i="11"/>
  <c r="K88" i="11"/>
  <c r="K89" i="11" s="1"/>
  <c r="M82" i="11"/>
  <c r="M83" i="11" s="1"/>
  <c r="M91" i="11"/>
  <c r="M256" i="11" s="1"/>
  <c r="M258" i="11" s="1"/>
  <c r="L90" i="11"/>
  <c r="M88" i="11"/>
  <c r="M89" i="11" s="1"/>
  <c r="I262" i="13"/>
  <c r="H262" i="13"/>
  <c r="G262" i="13"/>
  <c r="F262" i="13"/>
  <c r="E262" i="13"/>
  <c r="D262" i="13"/>
  <c r="I261" i="13"/>
  <c r="H261" i="13"/>
  <c r="G261" i="13"/>
  <c r="F261" i="13"/>
  <c r="E261" i="13"/>
  <c r="D261" i="13"/>
  <c r="I257" i="13"/>
  <c r="H257" i="13"/>
  <c r="G257" i="13"/>
  <c r="F257" i="13"/>
  <c r="E257" i="13"/>
  <c r="D257" i="13"/>
  <c r="I254" i="13"/>
  <c r="H254" i="13"/>
  <c r="G254" i="13"/>
  <c r="F254" i="13"/>
  <c r="E254" i="13"/>
  <c r="D254" i="13"/>
  <c r="I253" i="13"/>
  <c r="H253" i="13"/>
  <c r="G253" i="13"/>
  <c r="F253" i="13"/>
  <c r="E253" i="13"/>
  <c r="D253" i="13"/>
  <c r="I246" i="13"/>
  <c r="H246" i="13"/>
  <c r="G246" i="13"/>
  <c r="F246" i="13"/>
  <c r="E246" i="13"/>
  <c r="D246" i="13"/>
  <c r="I245" i="13"/>
  <c r="H245" i="13"/>
  <c r="G245" i="13"/>
  <c r="F245" i="13"/>
  <c r="E245" i="13"/>
  <c r="D245" i="13"/>
  <c r="I241" i="13"/>
  <c r="H241" i="13"/>
  <c r="G241" i="13"/>
  <c r="F241" i="13"/>
  <c r="E241" i="13"/>
  <c r="D241" i="13"/>
  <c r="I240" i="13"/>
  <c r="H240" i="13"/>
  <c r="G240" i="13"/>
  <c r="F240" i="13"/>
  <c r="E240" i="13"/>
  <c r="D240" i="13"/>
  <c r="I239" i="13"/>
  <c r="H239" i="13"/>
  <c r="G239" i="13"/>
  <c r="F239" i="13"/>
  <c r="E239" i="13"/>
  <c r="D239" i="13"/>
  <c r="I238" i="13"/>
  <c r="H238" i="13"/>
  <c r="G238" i="13"/>
  <c r="F238" i="13"/>
  <c r="E238" i="13"/>
  <c r="D238" i="13"/>
  <c r="I235" i="13"/>
  <c r="H235" i="13"/>
  <c r="G235" i="13"/>
  <c r="F235" i="13"/>
  <c r="E235" i="13"/>
  <c r="D235" i="13"/>
  <c r="I234" i="13"/>
  <c r="H234" i="13"/>
  <c r="G234" i="13"/>
  <c r="F234" i="13"/>
  <c r="E234" i="13"/>
  <c r="D234" i="13"/>
  <c r="I233" i="13"/>
  <c r="H233" i="13"/>
  <c r="G233" i="13"/>
  <c r="F233" i="13"/>
  <c r="E233" i="13"/>
  <c r="D233" i="13"/>
  <c r="I232" i="13"/>
  <c r="H232" i="13"/>
  <c r="G232" i="13"/>
  <c r="F232" i="13"/>
  <c r="E232" i="13"/>
  <c r="D232" i="13"/>
  <c r="I228" i="13"/>
  <c r="H228" i="13"/>
  <c r="G228" i="13"/>
  <c r="F228" i="13"/>
  <c r="E228" i="13"/>
  <c r="D228" i="13"/>
  <c r="I227" i="13"/>
  <c r="H227" i="13"/>
  <c r="G227" i="13"/>
  <c r="F227" i="13"/>
  <c r="E227" i="13"/>
  <c r="D227" i="13"/>
  <c r="I226" i="13"/>
  <c r="H226" i="13"/>
  <c r="G226" i="13"/>
  <c r="F226" i="13"/>
  <c r="E226" i="13"/>
  <c r="D226" i="13"/>
  <c r="I225" i="13"/>
  <c r="H225" i="13"/>
  <c r="G225" i="13"/>
  <c r="F225" i="13"/>
  <c r="E225" i="13"/>
  <c r="D225" i="13"/>
  <c r="I222" i="13"/>
  <c r="H222" i="13"/>
  <c r="G222" i="13"/>
  <c r="F222" i="13"/>
  <c r="E222" i="13"/>
  <c r="D222" i="13"/>
  <c r="I221" i="13"/>
  <c r="H221" i="13"/>
  <c r="G221" i="13"/>
  <c r="F221" i="13"/>
  <c r="E221" i="13"/>
  <c r="D221" i="13"/>
  <c r="I220" i="13"/>
  <c r="H220" i="13"/>
  <c r="G220" i="13"/>
  <c r="F220" i="13"/>
  <c r="E220" i="13"/>
  <c r="D220" i="13"/>
  <c r="I219" i="13"/>
  <c r="H219" i="13"/>
  <c r="G219" i="13"/>
  <c r="F219" i="13"/>
  <c r="E219" i="13"/>
  <c r="D219" i="13"/>
  <c r="I215" i="13"/>
  <c r="H215" i="13"/>
  <c r="G215" i="13"/>
  <c r="F215" i="13"/>
  <c r="E215" i="13"/>
  <c r="D215" i="13"/>
  <c r="I214" i="13"/>
  <c r="H214" i="13"/>
  <c r="G214" i="13"/>
  <c r="F214" i="13"/>
  <c r="E214" i="13"/>
  <c r="D214" i="13"/>
  <c r="I213" i="13"/>
  <c r="H213" i="13"/>
  <c r="G213" i="13"/>
  <c r="F213" i="13"/>
  <c r="E213" i="13"/>
  <c r="D213" i="13"/>
  <c r="I212" i="13"/>
  <c r="H212" i="13"/>
  <c r="G212" i="13"/>
  <c r="F212" i="13"/>
  <c r="E212" i="13"/>
  <c r="D212" i="13"/>
  <c r="I209" i="13"/>
  <c r="H209" i="13"/>
  <c r="G209" i="13"/>
  <c r="F209" i="13"/>
  <c r="E209" i="13"/>
  <c r="D209" i="13"/>
  <c r="I208" i="13"/>
  <c r="H208" i="13"/>
  <c r="G208" i="13"/>
  <c r="F208" i="13"/>
  <c r="E208" i="13"/>
  <c r="D208" i="13"/>
  <c r="I207" i="13"/>
  <c r="H207" i="13"/>
  <c r="G207" i="13"/>
  <c r="F207" i="13"/>
  <c r="E207" i="13"/>
  <c r="D207" i="13"/>
  <c r="I206" i="13"/>
  <c r="H206" i="13"/>
  <c r="G206" i="13"/>
  <c r="F206" i="13"/>
  <c r="E206" i="13"/>
  <c r="D206" i="13"/>
  <c r="I203" i="13"/>
  <c r="H203" i="13"/>
  <c r="G203" i="13"/>
  <c r="F203" i="13"/>
  <c r="E203" i="13"/>
  <c r="D203" i="13"/>
  <c r="I202" i="13"/>
  <c r="H202" i="13"/>
  <c r="G202" i="13"/>
  <c r="F202" i="13"/>
  <c r="E202" i="13"/>
  <c r="D202" i="13"/>
  <c r="I201" i="13"/>
  <c r="H201" i="13"/>
  <c r="G201" i="13"/>
  <c r="F201" i="13"/>
  <c r="E201" i="13"/>
  <c r="D201" i="13"/>
  <c r="I200" i="13"/>
  <c r="H200" i="13"/>
  <c r="G200" i="13"/>
  <c r="F200" i="13"/>
  <c r="E200" i="13"/>
  <c r="D200" i="13"/>
  <c r="I199" i="13"/>
  <c r="H199" i="13"/>
  <c r="G199" i="13"/>
  <c r="F199" i="13"/>
  <c r="E199" i="13"/>
  <c r="D199" i="13"/>
  <c r="I197" i="13"/>
  <c r="H197" i="13"/>
  <c r="G197" i="13"/>
  <c r="F197" i="13"/>
  <c r="E197" i="13"/>
  <c r="D197" i="13"/>
  <c r="I196" i="13"/>
  <c r="H196" i="13"/>
  <c r="G196" i="13"/>
  <c r="F196" i="13"/>
  <c r="E196" i="13"/>
  <c r="D196" i="13"/>
  <c r="I195" i="13"/>
  <c r="H195" i="13"/>
  <c r="G195" i="13"/>
  <c r="F195" i="13"/>
  <c r="E195" i="13"/>
  <c r="D195" i="13"/>
  <c r="I194" i="13"/>
  <c r="H194" i="13"/>
  <c r="G194" i="13"/>
  <c r="F194" i="13"/>
  <c r="E194" i="13"/>
  <c r="D194" i="13"/>
  <c r="I192" i="13"/>
  <c r="H192" i="13"/>
  <c r="G192" i="13"/>
  <c r="F192" i="13"/>
  <c r="E192" i="13"/>
  <c r="D192" i="13"/>
  <c r="I191" i="13"/>
  <c r="H191" i="13"/>
  <c r="G191" i="13"/>
  <c r="F191" i="13"/>
  <c r="E191" i="13"/>
  <c r="D191" i="13"/>
  <c r="I190" i="13"/>
  <c r="H190" i="13"/>
  <c r="G190" i="13"/>
  <c r="F190" i="13"/>
  <c r="E190" i="13"/>
  <c r="D190" i="13"/>
  <c r="I189" i="13"/>
  <c r="H189" i="13"/>
  <c r="G189" i="13"/>
  <c r="F189" i="13"/>
  <c r="E189" i="13"/>
  <c r="D189" i="13"/>
  <c r="I187" i="13"/>
  <c r="H187" i="13"/>
  <c r="G187" i="13"/>
  <c r="F187" i="13"/>
  <c r="E187" i="13"/>
  <c r="D187" i="13"/>
  <c r="I186" i="13"/>
  <c r="H186" i="13"/>
  <c r="G186" i="13"/>
  <c r="F186" i="13"/>
  <c r="E186" i="13"/>
  <c r="D186" i="13"/>
  <c r="I185" i="13"/>
  <c r="H185" i="13"/>
  <c r="G185" i="13"/>
  <c r="F185" i="13"/>
  <c r="E185" i="13"/>
  <c r="D185" i="13"/>
  <c r="I184" i="13"/>
  <c r="H184" i="13"/>
  <c r="G184" i="13"/>
  <c r="F184" i="13"/>
  <c r="E184" i="13"/>
  <c r="D184" i="13"/>
  <c r="I182" i="13"/>
  <c r="H182" i="13"/>
  <c r="G182" i="13"/>
  <c r="F182" i="13"/>
  <c r="E182" i="13"/>
  <c r="D182" i="13"/>
  <c r="I181" i="13"/>
  <c r="H181" i="13"/>
  <c r="G181" i="13"/>
  <c r="F181" i="13"/>
  <c r="E181" i="13"/>
  <c r="D181" i="13"/>
  <c r="I180" i="13"/>
  <c r="H180" i="13"/>
  <c r="G180" i="13"/>
  <c r="F180" i="13"/>
  <c r="E180" i="13"/>
  <c r="D180" i="13"/>
  <c r="I179" i="13"/>
  <c r="H179" i="13"/>
  <c r="G179" i="13"/>
  <c r="F179" i="13"/>
  <c r="E179" i="13"/>
  <c r="D179" i="13"/>
  <c r="I178" i="13"/>
  <c r="H178" i="13"/>
  <c r="G178" i="13"/>
  <c r="F178" i="13"/>
  <c r="E178" i="13"/>
  <c r="D178" i="13"/>
  <c r="I177" i="13"/>
  <c r="H177" i="13"/>
  <c r="G177" i="13"/>
  <c r="F177" i="13"/>
  <c r="E177" i="13"/>
  <c r="D177" i="13"/>
  <c r="I175" i="13"/>
  <c r="H175" i="13"/>
  <c r="G175" i="13"/>
  <c r="F175" i="13"/>
  <c r="E175" i="13"/>
  <c r="D175" i="13"/>
  <c r="I174" i="13"/>
  <c r="H174" i="13"/>
  <c r="G174" i="13"/>
  <c r="F174" i="13"/>
  <c r="E174" i="13"/>
  <c r="D174" i="13"/>
  <c r="I173" i="13"/>
  <c r="H173" i="13"/>
  <c r="G173" i="13"/>
  <c r="F173" i="13"/>
  <c r="E173" i="13"/>
  <c r="D173" i="13"/>
  <c r="I172" i="13"/>
  <c r="H172" i="13"/>
  <c r="G172" i="13"/>
  <c r="F172" i="13"/>
  <c r="E172" i="13"/>
  <c r="D172" i="13"/>
  <c r="I171" i="13"/>
  <c r="H171" i="13"/>
  <c r="G171" i="13"/>
  <c r="F171" i="13"/>
  <c r="E171" i="13"/>
  <c r="D171" i="13"/>
  <c r="I170" i="13"/>
  <c r="H170" i="13"/>
  <c r="G170" i="13"/>
  <c r="F170" i="13"/>
  <c r="E170" i="13"/>
  <c r="D170" i="13"/>
  <c r="I169" i="13"/>
  <c r="H169" i="13"/>
  <c r="G169" i="13"/>
  <c r="F169" i="13"/>
  <c r="E169" i="13"/>
  <c r="D169" i="13"/>
  <c r="I168" i="13"/>
  <c r="H168" i="13"/>
  <c r="G168" i="13"/>
  <c r="F168" i="13"/>
  <c r="E168" i="13"/>
  <c r="D168" i="13"/>
  <c r="I167" i="13"/>
  <c r="H167" i="13"/>
  <c r="G167" i="13"/>
  <c r="F167" i="13"/>
  <c r="E167" i="13"/>
  <c r="D167" i="13"/>
  <c r="I165" i="13"/>
  <c r="H165" i="13"/>
  <c r="G165" i="13"/>
  <c r="F165" i="13"/>
  <c r="E165" i="13"/>
  <c r="D165" i="13"/>
  <c r="I164" i="13"/>
  <c r="H164" i="13"/>
  <c r="G164" i="13"/>
  <c r="F164" i="13"/>
  <c r="E164" i="13"/>
  <c r="D164" i="13"/>
  <c r="I163" i="13"/>
  <c r="H163" i="13"/>
  <c r="G163" i="13"/>
  <c r="F163" i="13"/>
  <c r="E163" i="13"/>
  <c r="D163" i="13"/>
  <c r="I162" i="13"/>
  <c r="H162" i="13"/>
  <c r="G162" i="13"/>
  <c r="F162" i="13"/>
  <c r="E162" i="13"/>
  <c r="D162" i="13"/>
  <c r="I161" i="13"/>
  <c r="H161" i="13"/>
  <c r="G161" i="13"/>
  <c r="F161" i="13"/>
  <c r="E161" i="13"/>
  <c r="D161" i="13"/>
  <c r="I160" i="13"/>
  <c r="H160" i="13"/>
  <c r="G160" i="13"/>
  <c r="F160" i="13"/>
  <c r="E160" i="13"/>
  <c r="D160" i="13"/>
  <c r="I159" i="13"/>
  <c r="H159" i="13"/>
  <c r="G159" i="13"/>
  <c r="F159" i="13"/>
  <c r="E159" i="13"/>
  <c r="D159" i="13"/>
  <c r="I158" i="13"/>
  <c r="H158" i="13"/>
  <c r="G158" i="13"/>
  <c r="F158" i="13"/>
  <c r="E158" i="13"/>
  <c r="D158" i="13"/>
  <c r="I157" i="13"/>
  <c r="H157" i="13"/>
  <c r="G157" i="13"/>
  <c r="F157" i="13"/>
  <c r="E157" i="13"/>
  <c r="D157" i="13"/>
  <c r="I156" i="13"/>
  <c r="H156" i="13"/>
  <c r="G156" i="13"/>
  <c r="F156" i="13"/>
  <c r="E156" i="13"/>
  <c r="D156" i="13"/>
  <c r="I155" i="13"/>
  <c r="H155" i="13"/>
  <c r="G155" i="13"/>
  <c r="F155" i="13"/>
  <c r="E155" i="13"/>
  <c r="D155" i="13"/>
  <c r="I154" i="13"/>
  <c r="H154" i="13"/>
  <c r="G154" i="13"/>
  <c r="F154" i="13"/>
  <c r="E154" i="13"/>
  <c r="D154" i="13"/>
  <c r="I153" i="13"/>
  <c r="H153" i="13"/>
  <c r="G153" i="13"/>
  <c r="F153" i="13"/>
  <c r="E153" i="13"/>
  <c r="D153" i="13"/>
  <c r="I143" i="13"/>
  <c r="H143" i="13"/>
  <c r="G143" i="13"/>
  <c r="F143" i="13"/>
  <c r="E143" i="13"/>
  <c r="D143" i="13"/>
  <c r="I142" i="13"/>
  <c r="H142" i="13"/>
  <c r="G142" i="13"/>
  <c r="F142" i="13"/>
  <c r="E142" i="13"/>
  <c r="I141" i="13"/>
  <c r="H141" i="13"/>
  <c r="G141" i="13"/>
  <c r="F141" i="13"/>
  <c r="E141" i="13"/>
  <c r="D141" i="13"/>
  <c r="I138" i="13"/>
  <c r="H138" i="13"/>
  <c r="G138" i="13"/>
  <c r="F138" i="13"/>
  <c r="E138" i="13"/>
  <c r="D138" i="13"/>
  <c r="I137" i="13"/>
  <c r="H137" i="13"/>
  <c r="G137" i="13"/>
  <c r="F137" i="13"/>
  <c r="E137" i="13"/>
  <c r="D137" i="13"/>
  <c r="I136" i="13"/>
  <c r="H136" i="13"/>
  <c r="G136" i="13"/>
  <c r="F136" i="13"/>
  <c r="E136" i="13"/>
  <c r="D136" i="13"/>
  <c r="I133" i="13"/>
  <c r="H133" i="13"/>
  <c r="G133" i="13"/>
  <c r="F133" i="13"/>
  <c r="E133" i="13"/>
  <c r="D133" i="13"/>
  <c r="I132" i="13"/>
  <c r="H132" i="13"/>
  <c r="G132" i="13"/>
  <c r="F132" i="13"/>
  <c r="E132" i="13"/>
  <c r="D132" i="13"/>
  <c r="I131" i="13"/>
  <c r="H131" i="13"/>
  <c r="G131" i="13"/>
  <c r="F131" i="13"/>
  <c r="E131" i="13"/>
  <c r="D131" i="13"/>
  <c r="I128" i="13"/>
  <c r="H128" i="13"/>
  <c r="G128" i="13"/>
  <c r="F128" i="13"/>
  <c r="E128" i="13"/>
  <c r="D128" i="13"/>
  <c r="I127" i="13"/>
  <c r="H127" i="13"/>
  <c r="G127" i="13"/>
  <c r="F127" i="13"/>
  <c r="E127" i="13"/>
  <c r="D127" i="13"/>
  <c r="I126" i="13"/>
  <c r="H126" i="13"/>
  <c r="G126" i="13"/>
  <c r="F126" i="13"/>
  <c r="E126" i="13"/>
  <c r="D126" i="13"/>
  <c r="I140" i="13"/>
  <c r="H140" i="13"/>
  <c r="G140" i="13"/>
  <c r="F140" i="13"/>
  <c r="E140" i="13"/>
  <c r="I135" i="13"/>
  <c r="H135" i="13"/>
  <c r="G135" i="13"/>
  <c r="F135" i="13"/>
  <c r="E135" i="13"/>
  <c r="I130" i="13"/>
  <c r="H130" i="13"/>
  <c r="G130" i="13"/>
  <c r="F130" i="13"/>
  <c r="E130" i="13"/>
  <c r="I125" i="13"/>
  <c r="H125" i="13"/>
  <c r="G125" i="13"/>
  <c r="F125" i="13"/>
  <c r="E125" i="13"/>
  <c r="I122" i="13"/>
  <c r="H122" i="13"/>
  <c r="G122" i="13"/>
  <c r="F122" i="13"/>
  <c r="E122" i="13"/>
  <c r="D122" i="13"/>
  <c r="I121" i="13"/>
  <c r="H121" i="13"/>
  <c r="G121" i="13"/>
  <c r="F121" i="13"/>
  <c r="E121" i="13"/>
  <c r="D121" i="13"/>
  <c r="I116" i="13"/>
  <c r="H116" i="13"/>
  <c r="F116" i="13"/>
  <c r="E116" i="13"/>
  <c r="D116" i="13"/>
  <c r="I115" i="13"/>
  <c r="H115" i="13"/>
  <c r="G115" i="13"/>
  <c r="F115" i="13"/>
  <c r="E115" i="13"/>
  <c r="D115" i="13"/>
  <c r="I114" i="13"/>
  <c r="H114" i="13"/>
  <c r="F114" i="13"/>
  <c r="E114" i="13"/>
  <c r="D114" i="13"/>
  <c r="I113" i="13"/>
  <c r="H113" i="13"/>
  <c r="G113" i="13"/>
  <c r="F113" i="13"/>
  <c r="E113" i="13"/>
  <c r="D113" i="13"/>
  <c r="I110" i="13"/>
  <c r="H110" i="13"/>
  <c r="G110" i="13"/>
  <c r="F110" i="13"/>
  <c r="E110" i="13"/>
  <c r="D110" i="13"/>
  <c r="I109" i="13"/>
  <c r="H109" i="13"/>
  <c r="G109" i="13"/>
  <c r="F109" i="13"/>
  <c r="E109" i="13"/>
  <c r="D109" i="13"/>
  <c r="I108" i="13"/>
  <c r="H108" i="13"/>
  <c r="G108" i="13"/>
  <c r="F108" i="13"/>
  <c r="E108" i="13"/>
  <c r="D108" i="13"/>
  <c r="I107" i="13"/>
  <c r="H107" i="13"/>
  <c r="G107" i="13"/>
  <c r="F107" i="13"/>
  <c r="E107" i="13"/>
  <c r="D107" i="13"/>
  <c r="I104" i="13"/>
  <c r="H104" i="13"/>
  <c r="G104" i="13"/>
  <c r="F104" i="13"/>
  <c r="E104" i="13"/>
  <c r="D104" i="13"/>
  <c r="I103" i="13"/>
  <c r="H103" i="13"/>
  <c r="G103" i="13"/>
  <c r="F103" i="13"/>
  <c r="E103" i="13"/>
  <c r="D103" i="13"/>
  <c r="I102" i="13"/>
  <c r="H102" i="13"/>
  <c r="G102" i="13"/>
  <c r="F102" i="13"/>
  <c r="E102" i="13"/>
  <c r="D102" i="13"/>
  <c r="I101" i="13"/>
  <c r="H101" i="13"/>
  <c r="G101" i="13"/>
  <c r="F101" i="13"/>
  <c r="E101" i="13"/>
  <c r="D101" i="13"/>
  <c r="I98" i="13"/>
  <c r="H98" i="13"/>
  <c r="G98" i="13"/>
  <c r="F98" i="13"/>
  <c r="E98" i="13"/>
  <c r="D98" i="13"/>
  <c r="I87" i="13"/>
  <c r="H87" i="13"/>
  <c r="G87" i="13"/>
  <c r="F87" i="13"/>
  <c r="E87" i="13"/>
  <c r="D87" i="13"/>
  <c r="I86" i="13"/>
  <c r="H86" i="13"/>
  <c r="G86" i="13"/>
  <c r="F86" i="13"/>
  <c r="E86" i="13"/>
  <c r="D86" i="13"/>
  <c r="I85" i="13"/>
  <c r="H85" i="13"/>
  <c r="G85" i="13"/>
  <c r="F85" i="13"/>
  <c r="E85" i="13"/>
  <c r="D85" i="13"/>
  <c r="I84" i="13"/>
  <c r="H84" i="13"/>
  <c r="G84" i="13"/>
  <c r="F84" i="13"/>
  <c r="E84" i="13"/>
  <c r="D84" i="13"/>
  <c r="I81" i="13"/>
  <c r="H81" i="13"/>
  <c r="G81" i="13"/>
  <c r="F81" i="13"/>
  <c r="E81" i="13"/>
  <c r="D81" i="13"/>
  <c r="I80" i="13"/>
  <c r="H80" i="13"/>
  <c r="G80" i="13"/>
  <c r="F80" i="13"/>
  <c r="E80" i="13"/>
  <c r="D80" i="13"/>
  <c r="I79" i="13"/>
  <c r="H79" i="13"/>
  <c r="G79" i="13"/>
  <c r="F79" i="13"/>
  <c r="E79" i="13"/>
  <c r="D79" i="13"/>
  <c r="I78" i="13"/>
  <c r="H78" i="13"/>
  <c r="G78" i="13"/>
  <c r="F78" i="13"/>
  <c r="E78" i="13"/>
  <c r="I75" i="13"/>
  <c r="H75" i="13"/>
  <c r="G75" i="13"/>
  <c r="F75" i="13"/>
  <c r="E75" i="13"/>
  <c r="D75" i="13"/>
  <c r="I74" i="13"/>
  <c r="H74" i="13"/>
  <c r="G74" i="13"/>
  <c r="F74" i="13"/>
  <c r="E74" i="13"/>
  <c r="D74" i="13"/>
  <c r="I73" i="13"/>
  <c r="H73" i="13"/>
  <c r="G73" i="13"/>
  <c r="F73" i="13"/>
  <c r="E73" i="13"/>
  <c r="D73" i="13"/>
  <c r="I72" i="13"/>
  <c r="H72" i="13"/>
  <c r="G72" i="13"/>
  <c r="F72" i="13"/>
  <c r="E72" i="13"/>
  <c r="D72" i="13"/>
  <c r="K113" i="11" l="1"/>
  <c r="K117" i="11" s="1"/>
  <c r="K117" i="3"/>
  <c r="I263" i="13"/>
  <c r="I148" i="13"/>
  <c r="D236" i="13"/>
  <c r="G263" i="13"/>
  <c r="E144" i="13"/>
  <c r="H88" i="13"/>
  <c r="H89" i="13" s="1"/>
  <c r="E88" i="13"/>
  <c r="E89" i="13" s="1"/>
  <c r="E263" i="13"/>
  <c r="D88" i="13"/>
  <c r="D89" i="13" s="1"/>
  <c r="F111" i="13"/>
  <c r="H139" i="13"/>
  <c r="H148" i="13"/>
  <c r="J84" i="13"/>
  <c r="J195" i="13"/>
  <c r="I146" i="13"/>
  <c r="I111" i="13"/>
  <c r="I88" i="13"/>
  <c r="I89" i="13" s="1"/>
  <c r="J109" i="13"/>
  <c r="H111" i="13"/>
  <c r="G88" i="13"/>
  <c r="G89" i="13" s="1"/>
  <c r="F263" i="13"/>
  <c r="F88" i="13"/>
  <c r="F89" i="13" s="1"/>
  <c r="J86" i="13"/>
  <c r="E236" i="13"/>
  <c r="J72" i="13"/>
  <c r="O149" i="11"/>
  <c r="L149" i="11"/>
  <c r="O94" i="11"/>
  <c r="O95" i="11" s="1"/>
  <c r="O255" i="11" s="1"/>
  <c r="O259" i="11" s="1"/>
  <c r="N94" i="11"/>
  <c r="N95" i="11" s="1"/>
  <c r="N255" i="11" s="1"/>
  <c r="N259" i="11" s="1"/>
  <c r="N149" i="11"/>
  <c r="M149" i="11"/>
  <c r="M94" i="11"/>
  <c r="M95" i="11" s="1"/>
  <c r="M255" i="11" s="1"/>
  <c r="M259" i="11" s="1"/>
  <c r="L94" i="11"/>
  <c r="L95" i="11" s="1"/>
  <c r="L255" i="11" s="1"/>
  <c r="L259" i="11" s="1"/>
  <c r="K94" i="11"/>
  <c r="J94" i="11"/>
  <c r="D263" i="13"/>
  <c r="D117" i="13"/>
  <c r="H263" i="13"/>
  <c r="J262" i="13"/>
  <c r="J126" i="13"/>
  <c r="H146" i="13"/>
  <c r="G147" i="13"/>
  <c r="G144" i="13"/>
  <c r="I117" i="13"/>
  <c r="F146" i="13"/>
  <c r="F134" i="13"/>
  <c r="J261" i="13"/>
  <c r="J196" i="13"/>
  <c r="J101" i="13"/>
  <c r="I94" i="11"/>
  <c r="J80" i="13"/>
  <c r="J79" i="13"/>
  <c r="J75" i="13"/>
  <c r="I236" i="13"/>
  <c r="H236" i="13"/>
  <c r="J113" i="13"/>
  <c r="G236" i="13"/>
  <c r="J110" i="13"/>
  <c r="G111" i="13"/>
  <c r="F236" i="13"/>
  <c r="E117" i="13"/>
  <c r="E118" i="13" s="1"/>
  <c r="E129" i="13"/>
  <c r="J103" i="13"/>
  <c r="J104" i="13"/>
  <c r="I145" i="13"/>
  <c r="I139" i="13"/>
  <c r="J115" i="13"/>
  <c r="J133" i="13"/>
  <c r="D148" i="13"/>
  <c r="J127" i="13"/>
  <c r="J138" i="13"/>
  <c r="J121" i="13"/>
  <c r="J128" i="13"/>
  <c r="G134" i="13"/>
  <c r="H117" i="13"/>
  <c r="J132" i="13"/>
  <c r="J102" i="13"/>
  <c r="J107" i="13"/>
  <c r="J108" i="13"/>
  <c r="J137" i="13"/>
  <c r="H145" i="13"/>
  <c r="E111" i="13"/>
  <c r="J122" i="13"/>
  <c r="J131" i="13"/>
  <c r="G139" i="13"/>
  <c r="J143" i="13"/>
  <c r="D146" i="13"/>
  <c r="J141" i="13"/>
  <c r="E147" i="13"/>
  <c r="I147" i="13"/>
  <c r="F139" i="13"/>
  <c r="F148" i="13"/>
  <c r="J136" i="13"/>
  <c r="G146" i="13"/>
  <c r="F129" i="13"/>
  <c r="G148" i="13"/>
  <c r="E146" i="13"/>
  <c r="I144" i="13"/>
  <c r="H144" i="13"/>
  <c r="E139" i="13"/>
  <c r="E134" i="13"/>
  <c r="I134" i="13"/>
  <c r="E145" i="13"/>
  <c r="G145" i="13"/>
  <c r="H129" i="13"/>
  <c r="F144" i="13"/>
  <c r="F147" i="13"/>
  <c r="F145" i="13"/>
  <c r="H147" i="13"/>
  <c r="E148" i="13"/>
  <c r="G129" i="13"/>
  <c r="H134" i="13"/>
  <c r="I129" i="13"/>
  <c r="F117" i="13"/>
  <c r="D111" i="13"/>
  <c r="D118" i="13" l="1"/>
  <c r="F118" i="13"/>
  <c r="I118" i="13"/>
  <c r="H118" i="13"/>
  <c r="I149" i="13"/>
  <c r="J263" i="13"/>
  <c r="J146" i="13"/>
  <c r="H149" i="13"/>
  <c r="J111" i="13"/>
  <c r="J148" i="13"/>
  <c r="G149" i="13"/>
  <c r="E149" i="13"/>
  <c r="F149" i="13"/>
  <c r="I66" i="13" l="1"/>
  <c r="I90" i="13" s="1"/>
  <c r="H66" i="13"/>
  <c r="H90" i="13" s="1"/>
  <c r="G66" i="13"/>
  <c r="G90" i="13" s="1"/>
  <c r="F66" i="13"/>
  <c r="F90" i="13" s="1"/>
  <c r="E66" i="13"/>
  <c r="E90" i="13" s="1"/>
  <c r="D66" i="13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I63" i="13"/>
  <c r="H63" i="13"/>
  <c r="G63" i="13"/>
  <c r="F63" i="13"/>
  <c r="E63" i="13"/>
  <c r="D63" i="13"/>
  <c r="I56" i="13"/>
  <c r="H56" i="13"/>
  <c r="G56" i="13"/>
  <c r="F56" i="13"/>
  <c r="E56" i="13"/>
  <c r="D56" i="13"/>
  <c r="I55" i="13"/>
  <c r="H55" i="13"/>
  <c r="G55" i="13"/>
  <c r="F55" i="13"/>
  <c r="E55" i="13"/>
  <c r="D55" i="13"/>
  <c r="I54" i="13"/>
  <c r="H54" i="13"/>
  <c r="G54" i="13"/>
  <c r="F54" i="13"/>
  <c r="E54" i="13"/>
  <c r="D54" i="13"/>
  <c r="I51" i="13"/>
  <c r="H51" i="13"/>
  <c r="G51" i="13"/>
  <c r="F51" i="13"/>
  <c r="E51" i="13"/>
  <c r="D51" i="13"/>
  <c r="I50" i="13"/>
  <c r="H50" i="13"/>
  <c r="G50" i="13"/>
  <c r="F50" i="13"/>
  <c r="E50" i="13"/>
  <c r="D50" i="13"/>
  <c r="I49" i="13"/>
  <c r="H49" i="13"/>
  <c r="G49" i="13"/>
  <c r="F49" i="13"/>
  <c r="E49" i="13"/>
  <c r="D49" i="13"/>
  <c r="I46" i="13"/>
  <c r="H46" i="13"/>
  <c r="G46" i="13"/>
  <c r="F46" i="13"/>
  <c r="E46" i="13"/>
  <c r="D46" i="13"/>
  <c r="I44" i="13"/>
  <c r="H44" i="13"/>
  <c r="G44" i="13"/>
  <c r="F44" i="13"/>
  <c r="E44" i="13"/>
  <c r="D44" i="13"/>
  <c r="I39" i="13"/>
  <c r="H39" i="13"/>
  <c r="G39" i="13"/>
  <c r="F39" i="13"/>
  <c r="E39" i="13"/>
  <c r="D39" i="13"/>
  <c r="I37" i="13"/>
  <c r="H37" i="13"/>
  <c r="G37" i="13"/>
  <c r="F37" i="13"/>
  <c r="E37" i="13"/>
  <c r="D37" i="13"/>
  <c r="I35" i="13"/>
  <c r="H35" i="13"/>
  <c r="G35" i="13"/>
  <c r="F35" i="13"/>
  <c r="E35" i="13"/>
  <c r="D35" i="13"/>
  <c r="I33" i="13"/>
  <c r="H33" i="13"/>
  <c r="G33" i="13"/>
  <c r="F33" i="13"/>
  <c r="E33" i="13"/>
  <c r="D33" i="13"/>
  <c r="I31" i="13"/>
  <c r="H31" i="13"/>
  <c r="G31" i="13"/>
  <c r="F31" i="13"/>
  <c r="E31" i="13"/>
  <c r="D31" i="13"/>
  <c r="I29" i="13"/>
  <c r="H29" i="13"/>
  <c r="G29" i="13"/>
  <c r="F29" i="13"/>
  <c r="E29" i="13"/>
  <c r="D29" i="13"/>
  <c r="I20" i="13"/>
  <c r="I19" i="13"/>
  <c r="I18" i="13"/>
  <c r="I17" i="13"/>
  <c r="I12" i="13"/>
  <c r="I13" i="13"/>
  <c r="I14" i="13"/>
  <c r="I11" i="13"/>
  <c r="I9" i="13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9" i="13"/>
  <c r="H76" i="5"/>
  <c r="H77" i="5" s="1"/>
  <c r="H88" i="11" l="1"/>
  <c r="H89" i="11" s="1"/>
  <c r="H71" i="11"/>
  <c r="H134" i="11"/>
  <c r="H82" i="11"/>
  <c r="H236" i="11"/>
  <c r="H148" i="11"/>
  <c r="H76" i="11"/>
  <c r="H77" i="11" s="1"/>
  <c r="H147" i="11"/>
  <c r="H229" i="11"/>
  <c r="H242" i="11"/>
  <c r="H92" i="11"/>
  <c r="H146" i="11"/>
  <c r="H91" i="11"/>
  <c r="H256" i="11" s="1"/>
  <c r="H258" i="11" s="1"/>
  <c r="H129" i="11"/>
  <c r="H263" i="11"/>
  <c r="H93" i="11"/>
  <c r="D94" i="13"/>
  <c r="J93" i="13"/>
  <c r="E94" i="13"/>
  <c r="E95" i="13" s="1"/>
  <c r="F94" i="13"/>
  <c r="F95" i="13" s="1"/>
  <c r="J66" i="13"/>
  <c r="I15" i="13"/>
  <c r="G94" i="13"/>
  <c r="G95" i="13" s="1"/>
  <c r="H94" i="13"/>
  <c r="H95" i="13" s="1"/>
  <c r="I94" i="13"/>
  <c r="I95" i="13" s="1"/>
  <c r="H94" i="11" l="1"/>
  <c r="H263" i="6" l="1"/>
  <c r="H134" i="6"/>
  <c r="H145" i="6"/>
  <c r="H146" i="6"/>
  <c r="H147" i="6"/>
  <c r="H148" i="6"/>
  <c r="H149" i="6" l="1"/>
  <c r="H117" i="6"/>
  <c r="H76" i="6"/>
  <c r="H77" i="6" s="1"/>
  <c r="H82" i="6"/>
  <c r="H83" i="6" s="1"/>
  <c r="H90" i="6"/>
  <c r="H91" i="6"/>
  <c r="H92" i="6"/>
  <c r="H93" i="6"/>
  <c r="H94" i="6" l="1"/>
  <c r="H95" i="6" s="1"/>
  <c r="H263" i="5"/>
  <c r="H146" i="5"/>
  <c r="H129" i="5"/>
  <c r="H134" i="5"/>
  <c r="H139" i="5"/>
  <c r="H145" i="5"/>
  <c r="H147" i="5"/>
  <c r="H148" i="5"/>
  <c r="H117" i="5"/>
  <c r="H149" i="5" l="1"/>
  <c r="H82" i="5"/>
  <c r="H83" i="5" s="1"/>
  <c r="H89" i="5"/>
  <c r="H90" i="5"/>
  <c r="H91" i="5"/>
  <c r="H92" i="5"/>
  <c r="H93" i="5"/>
  <c r="H94" i="5" l="1"/>
  <c r="H95" i="5" s="1"/>
  <c r="H263" i="4"/>
  <c r="H129" i="4"/>
  <c r="H139" i="4"/>
  <c r="H144" i="4"/>
  <c r="I140" i="4" s="1"/>
  <c r="H145" i="4"/>
  <c r="H146" i="4"/>
  <c r="H147" i="4"/>
  <c r="H148" i="4"/>
  <c r="I144" i="4" l="1"/>
  <c r="J140" i="4" s="1"/>
  <c r="I145" i="4"/>
  <c r="I149" i="4" s="1"/>
  <c r="H149" i="4"/>
  <c r="H76" i="4"/>
  <c r="H77" i="4" s="1"/>
  <c r="H114" i="4" s="1"/>
  <c r="H89" i="4"/>
  <c r="H90" i="4"/>
  <c r="H91" i="4"/>
  <c r="H92" i="4"/>
  <c r="H93" i="4"/>
  <c r="I114" i="4" l="1"/>
  <c r="H114" i="11"/>
  <c r="G140" i="15"/>
  <c r="J144" i="4"/>
  <c r="K140" i="4" s="1"/>
  <c r="J145" i="4"/>
  <c r="J149" i="4" s="1"/>
  <c r="H94" i="4"/>
  <c r="H95" i="4" s="1"/>
  <c r="K144" i="4" l="1"/>
  <c r="K145" i="4"/>
  <c r="K149" i="4" s="1"/>
  <c r="G144" i="15"/>
  <c r="G145" i="15"/>
  <c r="G149" i="15" s="1"/>
  <c r="G114" i="18"/>
  <c r="I114" i="11"/>
  <c r="G114" i="13"/>
  <c r="H263" i="3"/>
  <c r="H129" i="3"/>
  <c r="H134" i="3"/>
  <c r="H139" i="3"/>
  <c r="H145" i="3"/>
  <c r="H146" i="3"/>
  <c r="H147" i="3"/>
  <c r="H148" i="3"/>
  <c r="H117" i="3"/>
  <c r="J114" i="18" l="1"/>
  <c r="J114" i="13"/>
  <c r="H149" i="3"/>
  <c r="H76" i="3" l="1"/>
  <c r="H77" i="3" s="1"/>
  <c r="H82" i="3"/>
  <c r="H83" i="3"/>
  <c r="H89" i="3"/>
  <c r="H90" i="3"/>
  <c r="H91" i="3"/>
  <c r="H92" i="3"/>
  <c r="H93" i="3"/>
  <c r="H263" i="2"/>
  <c r="H129" i="2"/>
  <c r="H134" i="2"/>
  <c r="H139" i="2"/>
  <c r="H145" i="2"/>
  <c r="H146" i="2"/>
  <c r="H147" i="2"/>
  <c r="H148" i="2"/>
  <c r="H94" i="3" l="1"/>
  <c r="H95" i="3" s="1"/>
  <c r="H149" i="2"/>
  <c r="H117" i="2" l="1"/>
  <c r="H76" i="2" l="1"/>
  <c r="H77" i="2"/>
  <c r="H82" i="2"/>
  <c r="H83" i="2" s="1"/>
  <c r="H88" i="2"/>
  <c r="H89" i="2"/>
  <c r="H90" i="2"/>
  <c r="H91" i="2"/>
  <c r="H92" i="2"/>
  <c r="H93" i="2"/>
  <c r="H94" i="2" l="1"/>
  <c r="H95" i="2" s="1"/>
  <c r="H242" i="1" l="1"/>
  <c r="H236" i="1"/>
  <c r="H146" i="1"/>
  <c r="H147" i="1"/>
  <c r="H148" i="1"/>
  <c r="H134" i="1"/>
  <c r="H129" i="1"/>
  <c r="H117" i="1" l="1"/>
  <c r="H91" i="1" l="1"/>
  <c r="H92" i="1"/>
  <c r="H93" i="1"/>
  <c r="H89" i="1"/>
  <c r="F78" i="1"/>
  <c r="F78" i="11" s="1"/>
  <c r="F83" i="1" l="1"/>
  <c r="G78" i="1" s="1"/>
  <c r="G78" i="11" s="1"/>
  <c r="G83" i="1" l="1"/>
  <c r="H78" i="1" s="1"/>
  <c r="D78" i="13"/>
  <c r="G90" i="11"/>
  <c r="J78" i="13"/>
  <c r="D90" i="13"/>
  <c r="G88" i="11"/>
  <c r="G89" i="11" s="1"/>
  <c r="G111" i="11"/>
  <c r="G247" i="11"/>
  <c r="G105" i="11"/>
  <c r="G82" i="11"/>
  <c r="G71" i="11"/>
  <c r="G146" i="11"/>
  <c r="G236" i="11"/>
  <c r="G91" i="11"/>
  <c r="G256" i="11" s="1"/>
  <c r="G258" i="11" s="1"/>
  <c r="G148" i="11"/>
  <c r="G216" i="11"/>
  <c r="G229" i="11"/>
  <c r="G242" i="11"/>
  <c r="G76" i="11"/>
  <c r="G77" i="11" s="1"/>
  <c r="G263" i="11"/>
  <c r="G93" i="11"/>
  <c r="G92" i="11"/>
  <c r="H83" i="1" l="1"/>
  <c r="I78" i="1" s="1"/>
  <c r="H78" i="11"/>
  <c r="H90" i="1"/>
  <c r="G83" i="11"/>
  <c r="J90" i="13"/>
  <c r="D95" i="13"/>
  <c r="G94" i="11"/>
  <c r="G95" i="11" s="1"/>
  <c r="H90" i="11" l="1"/>
  <c r="H95" i="11" s="1"/>
  <c r="H255" i="11" s="1"/>
  <c r="H259" i="11" s="1"/>
  <c r="H83" i="11"/>
  <c r="I78" i="11"/>
  <c r="I90" i="1"/>
  <c r="I95" i="1" s="1"/>
  <c r="I83" i="1"/>
  <c r="J78" i="1" s="1"/>
  <c r="G255" i="11"/>
  <c r="G259" i="11" s="1"/>
  <c r="J78" i="11" l="1"/>
  <c r="D78" i="15"/>
  <c r="J90" i="1"/>
  <c r="J95" i="1" s="1"/>
  <c r="D255" i="15" s="1"/>
  <c r="I90" i="11"/>
  <c r="I95" i="11" s="1"/>
  <c r="I255" i="11" s="1"/>
  <c r="I259" i="11" s="1"/>
  <c r="I83" i="11"/>
  <c r="G145" i="6"/>
  <c r="G146" i="6"/>
  <c r="G147" i="6"/>
  <c r="G148" i="6"/>
  <c r="I256" i="13"/>
  <c r="D90" i="15" l="1"/>
  <c r="J90" i="11"/>
  <c r="J95" i="11" s="1"/>
  <c r="J255" i="11" s="1"/>
  <c r="J259" i="11" s="1"/>
  <c r="J83" i="11"/>
  <c r="G149" i="6"/>
  <c r="I255" i="13"/>
  <c r="G145" i="3"/>
  <c r="G146" i="3"/>
  <c r="G147" i="3"/>
  <c r="G148" i="3"/>
  <c r="D95" i="15" l="1"/>
  <c r="G149" i="3"/>
  <c r="F256" i="13" l="1"/>
  <c r="G145" i="5"/>
  <c r="G146" i="5"/>
  <c r="G147" i="5"/>
  <c r="G148" i="5"/>
  <c r="H256" i="13"/>
  <c r="H255" i="13" l="1"/>
  <c r="F255" i="13"/>
  <c r="G149" i="5"/>
  <c r="G145" i="4" l="1"/>
  <c r="G146" i="4"/>
  <c r="G147" i="4"/>
  <c r="G148" i="4"/>
  <c r="G149" i="4" l="1"/>
  <c r="G256" i="13"/>
  <c r="G89" i="4"/>
  <c r="G95" i="4" s="1"/>
  <c r="E256" i="13" l="1"/>
  <c r="P88" i="2" l="1"/>
  <c r="E255" i="13"/>
  <c r="G90" i="1" l="1"/>
  <c r="D256" i="13"/>
  <c r="G236" i="1" l="1"/>
  <c r="D246" i="12" l="1"/>
  <c r="E246" i="12"/>
  <c r="F246" i="12"/>
  <c r="G246" i="12"/>
  <c r="H246" i="12"/>
  <c r="G245" i="12"/>
  <c r="H245" i="12"/>
  <c r="F245" i="12"/>
  <c r="E245" i="12"/>
  <c r="D245" i="12"/>
  <c r="J245" i="12" l="1"/>
  <c r="J246" i="12"/>
  <c r="F71" i="11"/>
  <c r="F147" i="11"/>
  <c r="F146" i="11"/>
  <c r="F76" i="11"/>
  <c r="F77" i="11" s="1"/>
  <c r="F148" i="11"/>
  <c r="F236" i="11"/>
  <c r="F263" i="11"/>
  <c r="F92" i="11"/>
  <c r="F82" i="11"/>
  <c r="F83" i="11" s="1"/>
  <c r="F91" i="11"/>
  <c r="F256" i="11" s="1"/>
  <c r="F258" i="11" s="1"/>
  <c r="F90" i="11"/>
  <c r="F88" i="11"/>
  <c r="F89" i="11" s="1"/>
  <c r="F93" i="11"/>
  <c r="F145" i="6" l="1"/>
  <c r="F146" i="6"/>
  <c r="F147" i="6"/>
  <c r="F148" i="6"/>
  <c r="F145" i="5"/>
  <c r="F146" i="5"/>
  <c r="F147" i="5"/>
  <c r="F148" i="5"/>
  <c r="F149" i="6" l="1"/>
  <c r="F149" i="5"/>
  <c r="F145" i="4" l="1"/>
  <c r="F146" i="4"/>
  <c r="F147" i="4"/>
  <c r="F148" i="4"/>
  <c r="F89" i="4"/>
  <c r="F95" i="4" s="1"/>
  <c r="F149" i="4" l="1"/>
  <c r="F145" i="3" l="1"/>
  <c r="F146" i="3"/>
  <c r="F147" i="3"/>
  <c r="F148" i="3"/>
  <c r="F149" i="3" l="1"/>
  <c r="D142" i="13" l="1"/>
  <c r="G147" i="11"/>
  <c r="F90" i="1"/>
  <c r="D147" i="13" l="1"/>
  <c r="J142" i="13"/>
  <c r="F236" i="1"/>
  <c r="J147" i="13" l="1"/>
  <c r="E88" i="11" l="1"/>
  <c r="E89" i="11" s="1"/>
  <c r="E145" i="6"/>
  <c r="E146" i="6"/>
  <c r="E147" i="6"/>
  <c r="E148" i="6"/>
  <c r="E145" i="5"/>
  <c r="E146" i="5"/>
  <c r="E147" i="5"/>
  <c r="E148" i="5"/>
  <c r="E149" i="6" l="1"/>
  <c r="E149" i="5"/>
  <c r="E145" i="4"/>
  <c r="E146" i="4"/>
  <c r="E147" i="4"/>
  <c r="E148" i="4"/>
  <c r="E89" i="4"/>
  <c r="E116" i="4" l="1"/>
  <c r="E95" i="4"/>
  <c r="E149" i="4"/>
  <c r="F116" i="4" l="1"/>
  <c r="E116" i="11"/>
  <c r="E145" i="3"/>
  <c r="E146" i="3"/>
  <c r="E147" i="3"/>
  <c r="E148" i="3"/>
  <c r="G116" i="4" l="1"/>
  <c r="H116" i="4" s="1"/>
  <c r="F116" i="11"/>
  <c r="F117" i="11" s="1"/>
  <c r="E149" i="3"/>
  <c r="I116" i="4" l="1"/>
  <c r="H116" i="11"/>
  <c r="H117" i="11" s="1"/>
  <c r="H117" i="4"/>
  <c r="G116" i="11"/>
  <c r="G117" i="11" s="1"/>
  <c r="G118" i="11" s="1"/>
  <c r="G119" i="11" s="1"/>
  <c r="G117" i="4"/>
  <c r="E247" i="5"/>
  <c r="E247" i="4"/>
  <c r="F247" i="4"/>
  <c r="G247" i="4"/>
  <c r="E247" i="3"/>
  <c r="E247" i="2"/>
  <c r="F247" i="2"/>
  <c r="G247" i="2"/>
  <c r="G116" i="18" l="1"/>
  <c r="I116" i="11"/>
  <c r="I117" i="11" s="1"/>
  <c r="G116" i="13"/>
  <c r="I117" i="4"/>
  <c r="E247" i="11"/>
  <c r="J116" i="13" l="1"/>
  <c r="G117" i="13"/>
  <c r="J116" i="18"/>
  <c r="J117" i="18" s="1"/>
  <c r="J118" i="18" s="1"/>
  <c r="J119" i="18" s="1"/>
  <c r="G117" i="18"/>
  <c r="G118" i="18" s="1"/>
  <c r="G119" i="18" s="1"/>
  <c r="E90" i="1"/>
  <c r="G118" i="13" l="1"/>
  <c r="J117" i="13"/>
  <c r="J118" i="13" s="1"/>
  <c r="E236" i="6"/>
  <c r="F236" i="6"/>
  <c r="G236" i="6"/>
  <c r="H236" i="6"/>
  <c r="I236" i="6"/>
  <c r="E236" i="5"/>
  <c r="F236" i="5"/>
  <c r="G236" i="5"/>
  <c r="H236" i="5"/>
  <c r="I236" i="5"/>
  <c r="E236" i="4"/>
  <c r="F236" i="4"/>
  <c r="G236" i="4"/>
  <c r="H236" i="4"/>
  <c r="I236" i="4"/>
  <c r="E236" i="3"/>
  <c r="F236" i="3"/>
  <c r="G236" i="3"/>
  <c r="H236" i="3"/>
  <c r="I236" i="3"/>
  <c r="D135" i="13" l="1"/>
  <c r="H135" i="11"/>
  <c r="F139" i="11"/>
  <c r="E76" i="11"/>
  <c r="E77" i="11" s="1"/>
  <c r="E146" i="11"/>
  <c r="E148" i="11"/>
  <c r="E242" i="11"/>
  <c r="E117" i="11"/>
  <c r="E91" i="11"/>
  <c r="E256" i="11" s="1"/>
  <c r="E258" i="11" s="1"/>
  <c r="E236" i="11"/>
  <c r="E93" i="11"/>
  <c r="E92" i="11"/>
  <c r="E90" i="11"/>
  <c r="E263" i="11"/>
  <c r="E139" i="11"/>
  <c r="G139" i="11" l="1"/>
  <c r="J135" i="13"/>
  <c r="D139" i="13"/>
  <c r="E236" i="2"/>
  <c r="F236" i="2"/>
  <c r="G236" i="2"/>
  <c r="H236" i="2"/>
  <c r="I236" i="2"/>
  <c r="E236" i="1"/>
  <c r="J139" i="13" l="1"/>
  <c r="H139" i="11"/>
  <c r="I262" i="17" l="1"/>
  <c r="H262" i="17"/>
  <c r="G262" i="17"/>
  <c r="F262" i="17"/>
  <c r="E262" i="17"/>
  <c r="D262" i="17"/>
  <c r="I261" i="17"/>
  <c r="H261" i="17"/>
  <c r="G261" i="17"/>
  <c r="F261" i="17"/>
  <c r="E261" i="17"/>
  <c r="D261" i="17"/>
  <c r="I246" i="17"/>
  <c r="H246" i="17"/>
  <c r="G246" i="17"/>
  <c r="F246" i="17"/>
  <c r="E246" i="17"/>
  <c r="D246" i="17"/>
  <c r="I245" i="17"/>
  <c r="H245" i="17"/>
  <c r="G245" i="17"/>
  <c r="F245" i="17"/>
  <c r="E245" i="17"/>
  <c r="D245" i="17"/>
  <c r="I196" i="17"/>
  <c r="H196" i="17"/>
  <c r="G196" i="17"/>
  <c r="F196" i="17"/>
  <c r="E196" i="17"/>
  <c r="D196" i="17"/>
  <c r="I116" i="17"/>
  <c r="H116" i="17"/>
  <c r="G116" i="17"/>
  <c r="F116" i="17"/>
  <c r="E116" i="17"/>
  <c r="D116" i="17"/>
  <c r="I115" i="17"/>
  <c r="H115" i="17"/>
  <c r="G115" i="17"/>
  <c r="F115" i="17"/>
  <c r="E115" i="17"/>
  <c r="D115" i="17"/>
  <c r="I114" i="17"/>
  <c r="H114" i="17"/>
  <c r="G114" i="17"/>
  <c r="F114" i="17"/>
  <c r="E114" i="17"/>
  <c r="D114" i="17"/>
  <c r="I113" i="17"/>
  <c r="H113" i="17"/>
  <c r="G113" i="17"/>
  <c r="F113" i="17"/>
  <c r="E113" i="17"/>
  <c r="D113" i="17"/>
  <c r="D90" i="17"/>
  <c r="I86" i="17"/>
  <c r="H86" i="17"/>
  <c r="G86" i="17"/>
  <c r="F86" i="17"/>
  <c r="E86" i="17"/>
  <c r="D86" i="17"/>
  <c r="I80" i="17"/>
  <c r="H80" i="17"/>
  <c r="G80" i="17"/>
  <c r="F80" i="17"/>
  <c r="E80" i="17"/>
  <c r="D80" i="17"/>
  <c r="I75" i="17"/>
  <c r="H75" i="17"/>
  <c r="G75" i="17"/>
  <c r="F75" i="17"/>
  <c r="E75" i="17"/>
  <c r="D75" i="17"/>
  <c r="I35" i="17"/>
  <c r="H35" i="17"/>
  <c r="G35" i="17"/>
  <c r="F35" i="17"/>
  <c r="E35" i="17"/>
  <c r="D35" i="17"/>
  <c r="H262" i="12"/>
  <c r="G262" i="12"/>
  <c r="F262" i="12"/>
  <c r="E262" i="12"/>
  <c r="D262" i="12"/>
  <c r="H261" i="12"/>
  <c r="G261" i="12"/>
  <c r="F261" i="12"/>
  <c r="E261" i="12"/>
  <c r="D261" i="12"/>
  <c r="H257" i="12"/>
  <c r="G257" i="12"/>
  <c r="F257" i="12"/>
  <c r="E257" i="12"/>
  <c r="D257" i="12"/>
  <c r="J257" i="12" s="1"/>
  <c r="H254" i="12"/>
  <c r="G254" i="12"/>
  <c r="F254" i="12"/>
  <c r="E254" i="12"/>
  <c r="D254" i="12"/>
  <c r="H253" i="12"/>
  <c r="G253" i="12"/>
  <c r="F253" i="12"/>
  <c r="E253" i="12"/>
  <c r="D253" i="12"/>
  <c r="J253" i="12" s="1"/>
  <c r="H241" i="12"/>
  <c r="G241" i="12"/>
  <c r="F241" i="12"/>
  <c r="E241" i="12"/>
  <c r="D241" i="12"/>
  <c r="J241" i="12" s="1"/>
  <c r="H240" i="12"/>
  <c r="G240" i="12"/>
  <c r="F240" i="12"/>
  <c r="E240" i="12"/>
  <c r="D240" i="12"/>
  <c r="H239" i="12"/>
  <c r="G239" i="12"/>
  <c r="F239" i="12"/>
  <c r="E239" i="12"/>
  <c r="D239" i="12"/>
  <c r="J239" i="12" s="1"/>
  <c r="H238" i="12"/>
  <c r="G238" i="12"/>
  <c r="F238" i="12"/>
  <c r="E238" i="12"/>
  <c r="D238" i="12"/>
  <c r="H235" i="12"/>
  <c r="G235" i="12"/>
  <c r="F235" i="12"/>
  <c r="E235" i="12"/>
  <c r="D235" i="12"/>
  <c r="H234" i="12"/>
  <c r="G234" i="12"/>
  <c r="F234" i="12"/>
  <c r="E234" i="12"/>
  <c r="D234" i="12"/>
  <c r="J234" i="12" s="1"/>
  <c r="H233" i="12"/>
  <c r="G233" i="12"/>
  <c r="F233" i="12"/>
  <c r="E233" i="12"/>
  <c r="D233" i="12"/>
  <c r="H232" i="12"/>
  <c r="G232" i="12"/>
  <c r="F232" i="12"/>
  <c r="E232" i="12"/>
  <c r="D232" i="12"/>
  <c r="J232" i="12" s="1"/>
  <c r="H228" i="12"/>
  <c r="G228" i="12"/>
  <c r="F228" i="12"/>
  <c r="E228" i="12"/>
  <c r="D228" i="12"/>
  <c r="J228" i="12" s="1"/>
  <c r="H227" i="12"/>
  <c r="G227" i="12"/>
  <c r="F227" i="12"/>
  <c r="E227" i="12"/>
  <c r="D227" i="12"/>
  <c r="H226" i="12"/>
  <c r="G226" i="12"/>
  <c r="F226" i="12"/>
  <c r="E226" i="12"/>
  <c r="D226" i="12"/>
  <c r="H225" i="12"/>
  <c r="H229" i="12" s="1"/>
  <c r="G225" i="12"/>
  <c r="F225" i="12"/>
  <c r="E225" i="12"/>
  <c r="D225" i="12"/>
  <c r="H222" i="12"/>
  <c r="G222" i="12"/>
  <c r="F222" i="12"/>
  <c r="E222" i="12"/>
  <c r="D222" i="12"/>
  <c r="H221" i="12"/>
  <c r="G221" i="12"/>
  <c r="F221" i="12"/>
  <c r="E221" i="12"/>
  <c r="D221" i="12"/>
  <c r="H220" i="12"/>
  <c r="G220" i="12"/>
  <c r="F220" i="12"/>
  <c r="E220" i="12"/>
  <c r="D220" i="12"/>
  <c r="H219" i="12"/>
  <c r="G219" i="12"/>
  <c r="F219" i="12"/>
  <c r="E219" i="12"/>
  <c r="D219" i="12"/>
  <c r="J219" i="12" s="1"/>
  <c r="H215" i="12"/>
  <c r="G215" i="12"/>
  <c r="F215" i="12"/>
  <c r="E215" i="12"/>
  <c r="D215" i="12"/>
  <c r="J215" i="12" s="1"/>
  <c r="H214" i="12"/>
  <c r="G214" i="12"/>
  <c r="F214" i="12"/>
  <c r="E214" i="12"/>
  <c r="D214" i="12"/>
  <c r="H213" i="12"/>
  <c r="G213" i="12"/>
  <c r="F213" i="12"/>
  <c r="E213" i="12"/>
  <c r="D213" i="12"/>
  <c r="H212" i="12"/>
  <c r="H216" i="12" s="1"/>
  <c r="G212" i="12"/>
  <c r="F212" i="12"/>
  <c r="E212" i="12"/>
  <c r="D212" i="12"/>
  <c r="H209" i="12"/>
  <c r="G209" i="12"/>
  <c r="F209" i="12"/>
  <c r="E209" i="12"/>
  <c r="D209" i="12"/>
  <c r="H208" i="12"/>
  <c r="G208" i="12"/>
  <c r="F208" i="12"/>
  <c r="E208" i="12"/>
  <c r="D208" i="12"/>
  <c r="H207" i="12"/>
  <c r="G207" i="12"/>
  <c r="F207" i="12"/>
  <c r="E207" i="12"/>
  <c r="D207" i="12"/>
  <c r="G206" i="12"/>
  <c r="F206" i="12"/>
  <c r="E206" i="12"/>
  <c r="D206" i="12"/>
  <c r="H203" i="12"/>
  <c r="G203" i="12"/>
  <c r="F203" i="12"/>
  <c r="E203" i="12"/>
  <c r="D203" i="12"/>
  <c r="H202" i="12"/>
  <c r="G202" i="12"/>
  <c r="F202" i="12"/>
  <c r="E202" i="12"/>
  <c r="D202" i="12"/>
  <c r="H201" i="12"/>
  <c r="G201" i="12"/>
  <c r="F201" i="12"/>
  <c r="E201" i="12"/>
  <c r="D201" i="12"/>
  <c r="H200" i="12"/>
  <c r="G200" i="12"/>
  <c r="F200" i="12"/>
  <c r="E200" i="12"/>
  <c r="D200" i="12"/>
  <c r="H199" i="12"/>
  <c r="G199" i="12"/>
  <c r="F199" i="12"/>
  <c r="E199" i="12"/>
  <c r="D199" i="12"/>
  <c r="J199" i="12" s="1"/>
  <c r="H196" i="12"/>
  <c r="G196" i="12"/>
  <c r="F196" i="12"/>
  <c r="E196" i="12"/>
  <c r="D196" i="12"/>
  <c r="J196" i="12" s="1"/>
  <c r="H197" i="12"/>
  <c r="G197" i="12"/>
  <c r="F197" i="12"/>
  <c r="E197" i="12"/>
  <c r="D197" i="12"/>
  <c r="H195" i="12"/>
  <c r="G195" i="12"/>
  <c r="F195" i="12"/>
  <c r="E195" i="12"/>
  <c r="D195" i="12"/>
  <c r="H194" i="12"/>
  <c r="G194" i="12"/>
  <c r="F194" i="12"/>
  <c r="E194" i="12"/>
  <c r="D194" i="12"/>
  <c r="H192" i="12"/>
  <c r="G192" i="12"/>
  <c r="F192" i="12"/>
  <c r="E192" i="12"/>
  <c r="D192" i="12"/>
  <c r="H191" i="12"/>
  <c r="G191" i="12"/>
  <c r="F191" i="12"/>
  <c r="E191" i="12"/>
  <c r="D191" i="12"/>
  <c r="H190" i="12"/>
  <c r="G190" i="12"/>
  <c r="F190" i="12"/>
  <c r="E190" i="12"/>
  <c r="D190" i="12"/>
  <c r="H189" i="12"/>
  <c r="G189" i="12"/>
  <c r="F189" i="12"/>
  <c r="E189" i="12"/>
  <c r="D189" i="12"/>
  <c r="J189" i="12" s="1"/>
  <c r="H187" i="12"/>
  <c r="G187" i="12"/>
  <c r="F187" i="12"/>
  <c r="E187" i="12"/>
  <c r="D187" i="12"/>
  <c r="J187" i="12" s="1"/>
  <c r="H186" i="12"/>
  <c r="G186" i="12"/>
  <c r="F186" i="12"/>
  <c r="E186" i="12"/>
  <c r="D186" i="12"/>
  <c r="H185" i="12"/>
  <c r="G185" i="12"/>
  <c r="F185" i="12"/>
  <c r="E185" i="12"/>
  <c r="D185" i="12"/>
  <c r="H184" i="12"/>
  <c r="G184" i="12"/>
  <c r="F184" i="12"/>
  <c r="E184" i="12"/>
  <c r="D184" i="12"/>
  <c r="H182" i="12"/>
  <c r="G182" i="12"/>
  <c r="F182" i="12"/>
  <c r="E182" i="12"/>
  <c r="D182" i="12"/>
  <c r="H181" i="12"/>
  <c r="G181" i="12"/>
  <c r="F181" i="12"/>
  <c r="E181" i="12"/>
  <c r="D181" i="12"/>
  <c r="H180" i="12"/>
  <c r="G180" i="12"/>
  <c r="F180" i="12"/>
  <c r="E180" i="12"/>
  <c r="D180" i="12"/>
  <c r="H179" i="12"/>
  <c r="G179" i="12"/>
  <c r="F179" i="12"/>
  <c r="E179" i="12"/>
  <c r="D179" i="12"/>
  <c r="J179" i="12" s="1"/>
  <c r="H178" i="12"/>
  <c r="G178" i="12"/>
  <c r="F178" i="12"/>
  <c r="E178" i="12"/>
  <c r="D178" i="12"/>
  <c r="J178" i="12" s="1"/>
  <c r="H177" i="12"/>
  <c r="G177" i="12"/>
  <c r="F177" i="12"/>
  <c r="E177" i="12"/>
  <c r="D177" i="12"/>
  <c r="H175" i="12"/>
  <c r="G175" i="12"/>
  <c r="F175" i="12"/>
  <c r="E175" i="12"/>
  <c r="D175" i="12"/>
  <c r="H174" i="12"/>
  <c r="G174" i="12"/>
  <c r="F174" i="12"/>
  <c r="E174" i="12"/>
  <c r="D174" i="12"/>
  <c r="H173" i="12"/>
  <c r="G173" i="12"/>
  <c r="F173" i="12"/>
  <c r="E173" i="12"/>
  <c r="D173" i="12"/>
  <c r="H172" i="12"/>
  <c r="G172" i="12"/>
  <c r="F172" i="12"/>
  <c r="E172" i="12"/>
  <c r="D172" i="12"/>
  <c r="H171" i="12"/>
  <c r="G171" i="12"/>
  <c r="F171" i="12"/>
  <c r="E171" i="12"/>
  <c r="D171" i="12"/>
  <c r="H170" i="12"/>
  <c r="G170" i="12"/>
  <c r="F170" i="12"/>
  <c r="E170" i="12"/>
  <c r="D170" i="12"/>
  <c r="J170" i="12" s="1"/>
  <c r="H169" i="12"/>
  <c r="G169" i="12"/>
  <c r="F169" i="12"/>
  <c r="E169" i="12"/>
  <c r="D169" i="12"/>
  <c r="J169" i="12" s="1"/>
  <c r="H168" i="12"/>
  <c r="G168" i="12"/>
  <c r="F168" i="12"/>
  <c r="E168" i="12"/>
  <c r="D168" i="12"/>
  <c r="H167" i="12"/>
  <c r="G167" i="12"/>
  <c r="F167" i="12"/>
  <c r="E167" i="12"/>
  <c r="D167" i="12"/>
  <c r="H165" i="12"/>
  <c r="G165" i="12"/>
  <c r="F165" i="12"/>
  <c r="E165" i="12"/>
  <c r="D165" i="12"/>
  <c r="H164" i="12"/>
  <c r="G164" i="12"/>
  <c r="F164" i="12"/>
  <c r="E164" i="12"/>
  <c r="D164" i="12"/>
  <c r="H163" i="12"/>
  <c r="G163" i="12"/>
  <c r="F163" i="12"/>
  <c r="E163" i="12"/>
  <c r="D163" i="12"/>
  <c r="H162" i="12"/>
  <c r="G162" i="12"/>
  <c r="F162" i="12"/>
  <c r="E162" i="12"/>
  <c r="D162" i="12"/>
  <c r="H161" i="12"/>
  <c r="G161" i="12"/>
  <c r="F161" i="12"/>
  <c r="E161" i="12"/>
  <c r="D161" i="12"/>
  <c r="J161" i="12" s="1"/>
  <c r="H160" i="12"/>
  <c r="G160" i="12"/>
  <c r="F160" i="12"/>
  <c r="E160" i="12"/>
  <c r="D160" i="12"/>
  <c r="J160" i="12" s="1"/>
  <c r="H159" i="12"/>
  <c r="G159" i="12"/>
  <c r="F159" i="12"/>
  <c r="E159" i="12"/>
  <c r="D159" i="12"/>
  <c r="H158" i="12"/>
  <c r="G158" i="12"/>
  <c r="F158" i="12"/>
  <c r="E158" i="12"/>
  <c r="D158" i="12"/>
  <c r="H157" i="12"/>
  <c r="G157" i="12"/>
  <c r="F157" i="12"/>
  <c r="E157" i="12"/>
  <c r="D157" i="12"/>
  <c r="H156" i="12"/>
  <c r="G156" i="12"/>
  <c r="F156" i="12"/>
  <c r="E156" i="12"/>
  <c r="D156" i="12"/>
  <c r="H155" i="12"/>
  <c r="G155" i="12"/>
  <c r="F155" i="12"/>
  <c r="E155" i="12"/>
  <c r="D155" i="12"/>
  <c r="H154" i="12"/>
  <c r="G154" i="12"/>
  <c r="F154" i="12"/>
  <c r="E154" i="12"/>
  <c r="D154" i="12"/>
  <c r="H153" i="12"/>
  <c r="G153" i="12"/>
  <c r="F153" i="12"/>
  <c r="E153" i="12"/>
  <c r="D153" i="12"/>
  <c r="J153" i="12" s="1"/>
  <c r="H143" i="12"/>
  <c r="G143" i="12"/>
  <c r="F143" i="12"/>
  <c r="E143" i="12"/>
  <c r="D143" i="12"/>
  <c r="J143" i="12" s="1"/>
  <c r="H142" i="12"/>
  <c r="G142" i="12"/>
  <c r="F142" i="12"/>
  <c r="E142" i="12"/>
  <c r="H141" i="12"/>
  <c r="G141" i="12"/>
  <c r="F141" i="12"/>
  <c r="E141" i="12"/>
  <c r="D141" i="12"/>
  <c r="H138" i="12"/>
  <c r="G138" i="12"/>
  <c r="F138" i="12"/>
  <c r="E138" i="12"/>
  <c r="D138" i="12"/>
  <c r="H137" i="12"/>
  <c r="G137" i="12"/>
  <c r="F137" i="12"/>
  <c r="E137" i="12"/>
  <c r="D137" i="12"/>
  <c r="J137" i="12" s="1"/>
  <c r="H136" i="12"/>
  <c r="G136" i="12"/>
  <c r="F136" i="12"/>
  <c r="E136" i="12"/>
  <c r="D136" i="12"/>
  <c r="J136" i="12" s="1"/>
  <c r="H133" i="12"/>
  <c r="G133" i="12"/>
  <c r="F133" i="12"/>
  <c r="E133" i="12"/>
  <c r="D133" i="12"/>
  <c r="H132" i="12"/>
  <c r="G132" i="12"/>
  <c r="F132" i="12"/>
  <c r="E132" i="12"/>
  <c r="D132" i="12"/>
  <c r="H131" i="12"/>
  <c r="G131" i="12"/>
  <c r="F131" i="12"/>
  <c r="E131" i="12"/>
  <c r="D131" i="12"/>
  <c r="H128" i="12"/>
  <c r="G128" i="12"/>
  <c r="F128" i="12"/>
  <c r="E128" i="12"/>
  <c r="D128" i="12"/>
  <c r="H127" i="12"/>
  <c r="G127" i="12"/>
  <c r="F127" i="12"/>
  <c r="E127" i="12"/>
  <c r="D127" i="12"/>
  <c r="H126" i="12"/>
  <c r="G126" i="12"/>
  <c r="F126" i="12"/>
  <c r="E126" i="12"/>
  <c r="D126" i="12"/>
  <c r="H140" i="12"/>
  <c r="G140" i="12"/>
  <c r="F140" i="12"/>
  <c r="E140" i="12"/>
  <c r="D140" i="12"/>
  <c r="H135" i="12"/>
  <c r="G135" i="12"/>
  <c r="F135" i="12"/>
  <c r="E135" i="12"/>
  <c r="D135" i="12"/>
  <c r="H130" i="12"/>
  <c r="G130" i="12"/>
  <c r="F130" i="12"/>
  <c r="E130" i="12"/>
  <c r="D130" i="12"/>
  <c r="H125" i="12"/>
  <c r="G125" i="12"/>
  <c r="F125" i="12"/>
  <c r="E125" i="12"/>
  <c r="D125" i="12"/>
  <c r="H122" i="12"/>
  <c r="G122" i="12"/>
  <c r="F122" i="12"/>
  <c r="E122" i="12"/>
  <c r="D122" i="12"/>
  <c r="H121" i="12"/>
  <c r="G121" i="12"/>
  <c r="F121" i="12"/>
  <c r="E121" i="12"/>
  <c r="D121" i="12"/>
  <c r="H116" i="12"/>
  <c r="G116" i="12"/>
  <c r="F116" i="12"/>
  <c r="E116" i="12"/>
  <c r="D116" i="12"/>
  <c r="H115" i="12"/>
  <c r="G115" i="12"/>
  <c r="F115" i="12"/>
  <c r="E115" i="12"/>
  <c r="D115" i="12"/>
  <c r="H114" i="12"/>
  <c r="G114" i="12"/>
  <c r="F114" i="12"/>
  <c r="E114" i="12"/>
  <c r="D114" i="12"/>
  <c r="J114" i="12" s="1"/>
  <c r="H113" i="12"/>
  <c r="G113" i="12"/>
  <c r="F113" i="12"/>
  <c r="E113" i="12"/>
  <c r="D113" i="12"/>
  <c r="J113" i="12" s="1"/>
  <c r="H110" i="12"/>
  <c r="G110" i="12"/>
  <c r="F110" i="12"/>
  <c r="E110" i="12"/>
  <c r="D110" i="12"/>
  <c r="H109" i="12"/>
  <c r="G109" i="12"/>
  <c r="F109" i="12"/>
  <c r="E109" i="12"/>
  <c r="D109" i="12"/>
  <c r="H108" i="12"/>
  <c r="G108" i="12"/>
  <c r="F108" i="12"/>
  <c r="E108" i="12"/>
  <c r="D108" i="12"/>
  <c r="H107" i="12"/>
  <c r="G107" i="12"/>
  <c r="F107" i="12"/>
  <c r="E107" i="12"/>
  <c r="D107" i="12"/>
  <c r="H104" i="12"/>
  <c r="G104" i="12"/>
  <c r="F104" i="12"/>
  <c r="E104" i="12"/>
  <c r="D104" i="12"/>
  <c r="H103" i="12"/>
  <c r="G103" i="12"/>
  <c r="F103" i="12"/>
  <c r="E103" i="12"/>
  <c r="D103" i="12"/>
  <c r="H102" i="12"/>
  <c r="G102" i="12"/>
  <c r="F102" i="12"/>
  <c r="E102" i="12"/>
  <c r="D102" i="12"/>
  <c r="J102" i="12" s="1"/>
  <c r="H101" i="12"/>
  <c r="G101" i="12"/>
  <c r="F101" i="12"/>
  <c r="E101" i="12"/>
  <c r="D101" i="12"/>
  <c r="J101" i="12" s="1"/>
  <c r="G84" i="12"/>
  <c r="F84" i="12"/>
  <c r="E84" i="12"/>
  <c r="D84" i="12"/>
  <c r="H78" i="12"/>
  <c r="G78" i="12"/>
  <c r="F78" i="12"/>
  <c r="E78" i="12"/>
  <c r="D78" i="12"/>
  <c r="H72" i="12"/>
  <c r="G72" i="12"/>
  <c r="F72" i="12"/>
  <c r="E72" i="12"/>
  <c r="D72" i="12"/>
  <c r="H66" i="12"/>
  <c r="G66" i="12"/>
  <c r="F66" i="12"/>
  <c r="E66" i="12"/>
  <c r="D66" i="12"/>
  <c r="J66" i="12" s="1"/>
  <c r="H63" i="12"/>
  <c r="G63" i="12"/>
  <c r="F63" i="12"/>
  <c r="E63" i="12"/>
  <c r="D63" i="12"/>
  <c r="J63" i="12" s="1"/>
  <c r="H61" i="12"/>
  <c r="G61" i="12"/>
  <c r="F61" i="12"/>
  <c r="E61" i="12"/>
  <c r="D61" i="12"/>
  <c r="H98" i="12"/>
  <c r="G98" i="12"/>
  <c r="F98" i="12"/>
  <c r="E98" i="12"/>
  <c r="D98" i="12"/>
  <c r="H87" i="12"/>
  <c r="J87" i="12" s="1"/>
  <c r="G87" i="12"/>
  <c r="F87" i="12"/>
  <c r="E87" i="12"/>
  <c r="D87" i="12"/>
  <c r="H86" i="12"/>
  <c r="G86" i="12"/>
  <c r="F86" i="12"/>
  <c r="E86" i="12"/>
  <c r="D86" i="12"/>
  <c r="H85" i="12"/>
  <c r="G85" i="12"/>
  <c r="F85" i="12"/>
  <c r="E85" i="12"/>
  <c r="D85" i="12"/>
  <c r="H81" i="12"/>
  <c r="G81" i="12"/>
  <c r="F81" i="12"/>
  <c r="E81" i="12"/>
  <c r="D81" i="12"/>
  <c r="H80" i="12"/>
  <c r="G80" i="12"/>
  <c r="F80" i="12"/>
  <c r="E80" i="12"/>
  <c r="D80" i="12"/>
  <c r="J80" i="12" s="1"/>
  <c r="H79" i="12"/>
  <c r="G79" i="12"/>
  <c r="F79" i="12"/>
  <c r="E79" i="12"/>
  <c r="D79" i="12"/>
  <c r="J79" i="12" s="1"/>
  <c r="H75" i="12"/>
  <c r="G75" i="12"/>
  <c r="F75" i="12"/>
  <c r="E75" i="12"/>
  <c r="D75" i="12"/>
  <c r="H74" i="12"/>
  <c r="G74" i="12"/>
  <c r="F74" i="12"/>
  <c r="E74" i="12"/>
  <c r="D74" i="12"/>
  <c r="H73" i="12"/>
  <c r="G73" i="12"/>
  <c r="F73" i="12"/>
  <c r="E73" i="12"/>
  <c r="D73" i="12"/>
  <c r="H69" i="12"/>
  <c r="G69" i="12"/>
  <c r="F69" i="12"/>
  <c r="E69" i="12"/>
  <c r="D69" i="12"/>
  <c r="H68" i="12"/>
  <c r="G68" i="12"/>
  <c r="F68" i="12"/>
  <c r="E68" i="12"/>
  <c r="D68" i="12"/>
  <c r="H67" i="12"/>
  <c r="G67" i="12"/>
  <c r="F67" i="12"/>
  <c r="E67" i="12"/>
  <c r="D67" i="12"/>
  <c r="H56" i="12"/>
  <c r="G56" i="12"/>
  <c r="F56" i="12"/>
  <c r="E56" i="12"/>
  <c r="D56" i="12"/>
  <c r="J56" i="12" s="1"/>
  <c r="H55" i="12"/>
  <c r="G55" i="12"/>
  <c r="F55" i="12"/>
  <c r="E55" i="12"/>
  <c r="D55" i="12"/>
  <c r="J55" i="12" s="1"/>
  <c r="H54" i="12"/>
  <c r="G54" i="12"/>
  <c r="F54" i="12"/>
  <c r="E54" i="12"/>
  <c r="D54" i="12"/>
  <c r="H49" i="12"/>
  <c r="G49" i="12"/>
  <c r="F49" i="12"/>
  <c r="E49" i="12"/>
  <c r="D49" i="12"/>
  <c r="H46" i="12"/>
  <c r="G46" i="12"/>
  <c r="F46" i="12"/>
  <c r="E46" i="12"/>
  <c r="D46" i="12"/>
  <c r="H44" i="12"/>
  <c r="G44" i="12"/>
  <c r="F44" i="12"/>
  <c r="E44" i="12"/>
  <c r="D44" i="12"/>
  <c r="H39" i="12"/>
  <c r="G39" i="12"/>
  <c r="F39" i="12"/>
  <c r="E39" i="12"/>
  <c r="D39" i="12"/>
  <c r="H37" i="12"/>
  <c r="G37" i="12"/>
  <c r="F37" i="12"/>
  <c r="E37" i="12"/>
  <c r="D37" i="12"/>
  <c r="H35" i="12"/>
  <c r="G35" i="12"/>
  <c r="F35" i="12"/>
  <c r="E35" i="12"/>
  <c r="D35" i="12"/>
  <c r="J35" i="12" s="1"/>
  <c r="H33" i="12"/>
  <c r="G33" i="12"/>
  <c r="F33" i="12"/>
  <c r="E33" i="12"/>
  <c r="D33" i="12"/>
  <c r="J33" i="12" s="1"/>
  <c r="H31" i="12"/>
  <c r="G31" i="12"/>
  <c r="F31" i="12"/>
  <c r="E31" i="12"/>
  <c r="D31" i="12"/>
  <c r="H29" i="12"/>
  <c r="G29" i="12"/>
  <c r="F29" i="12"/>
  <c r="E29" i="12"/>
  <c r="D29" i="12"/>
  <c r="P262" i="11"/>
  <c r="P261" i="11"/>
  <c r="J29" i="12" l="1"/>
  <c r="J49" i="12"/>
  <c r="J74" i="12"/>
  <c r="J98" i="12"/>
  <c r="J109" i="12"/>
  <c r="J132" i="12"/>
  <c r="J158" i="12"/>
  <c r="J167" i="12"/>
  <c r="J175" i="12"/>
  <c r="J185" i="12"/>
  <c r="J195" i="12"/>
  <c r="J206" i="12"/>
  <c r="J213" i="12"/>
  <c r="J226" i="12"/>
  <c r="J39" i="12"/>
  <c r="J68" i="12"/>
  <c r="J78" i="12"/>
  <c r="J104" i="12"/>
  <c r="J116" i="12"/>
  <c r="J127" i="12"/>
  <c r="J141" i="12"/>
  <c r="J155" i="12"/>
  <c r="J163" i="12"/>
  <c r="J172" i="12"/>
  <c r="J181" i="12"/>
  <c r="J191" i="12"/>
  <c r="J201" i="12"/>
  <c r="J208" i="12"/>
  <c r="J221" i="12"/>
  <c r="J86" i="12"/>
  <c r="J73" i="12"/>
  <c r="J108" i="12"/>
  <c r="J122" i="12"/>
  <c r="J131" i="12"/>
  <c r="H193" i="12"/>
  <c r="J157" i="12"/>
  <c r="J165" i="12"/>
  <c r="J174" i="12"/>
  <c r="J184" i="12"/>
  <c r="J194" i="12"/>
  <c r="J203" i="12"/>
  <c r="J212" i="12"/>
  <c r="J225" i="12"/>
  <c r="J238" i="12"/>
  <c r="J262" i="12"/>
  <c r="J37" i="12"/>
  <c r="J46" i="12"/>
  <c r="J67" i="12"/>
  <c r="J81" i="12"/>
  <c r="J72" i="12"/>
  <c r="J103" i="12"/>
  <c r="J115" i="12"/>
  <c r="J126" i="12"/>
  <c r="J138" i="12"/>
  <c r="J154" i="12"/>
  <c r="J162" i="12"/>
  <c r="J171" i="12"/>
  <c r="J180" i="12"/>
  <c r="J190" i="12"/>
  <c r="J200" i="12"/>
  <c r="J207" i="12"/>
  <c r="J220" i="12"/>
  <c r="J233" i="12"/>
  <c r="J254" i="12"/>
  <c r="J54" i="12"/>
  <c r="J75" i="12"/>
  <c r="J85" i="12"/>
  <c r="J110" i="12"/>
  <c r="J133" i="12"/>
  <c r="J159" i="12"/>
  <c r="J168" i="12"/>
  <c r="J177" i="12"/>
  <c r="J186" i="12"/>
  <c r="J197" i="12"/>
  <c r="J214" i="12"/>
  <c r="J227" i="12"/>
  <c r="J240" i="12"/>
  <c r="J31" i="12"/>
  <c r="J44" i="12"/>
  <c r="J69" i="12"/>
  <c r="J84" i="12"/>
  <c r="J107" i="12"/>
  <c r="H117" i="12"/>
  <c r="J121" i="12"/>
  <c r="J128" i="12"/>
  <c r="J156" i="12"/>
  <c r="J164" i="12"/>
  <c r="J173" i="12"/>
  <c r="J182" i="12"/>
  <c r="J192" i="12"/>
  <c r="J202" i="12"/>
  <c r="J209" i="12"/>
  <c r="J222" i="12"/>
  <c r="J235" i="12"/>
  <c r="J261" i="12"/>
  <c r="E263" i="17"/>
  <c r="G263" i="12"/>
  <c r="H148" i="12"/>
  <c r="H263" i="12"/>
  <c r="E236" i="12"/>
  <c r="H88" i="12"/>
  <c r="F263" i="17"/>
  <c r="I263" i="17"/>
  <c r="P263" i="11"/>
  <c r="H236" i="12"/>
  <c r="H145" i="12"/>
  <c r="G236" i="12"/>
  <c r="G145" i="12"/>
  <c r="F236" i="12"/>
  <c r="F145" i="12"/>
  <c r="F93" i="12"/>
  <c r="E145" i="12"/>
  <c r="D236" i="12"/>
  <c r="D145" i="12"/>
  <c r="J125" i="12"/>
  <c r="D263" i="17"/>
  <c r="G263" i="17"/>
  <c r="H263" i="17"/>
  <c r="D148" i="11"/>
  <c r="D263" i="11"/>
  <c r="D146" i="11"/>
  <c r="F263" i="12"/>
  <c r="F88" i="12"/>
  <c r="F89" i="12" s="1"/>
  <c r="H90" i="12"/>
  <c r="G134" i="12"/>
  <c r="G139" i="12"/>
  <c r="F134" i="12"/>
  <c r="H139" i="12"/>
  <c r="E263" i="12"/>
  <c r="D129" i="11"/>
  <c r="D147" i="11"/>
  <c r="D134" i="11"/>
  <c r="D144" i="11"/>
  <c r="D236" i="11"/>
  <c r="D145" i="11"/>
  <c r="D139" i="11"/>
  <c r="H146" i="12"/>
  <c r="H92" i="12"/>
  <c r="F92" i="12"/>
  <c r="F91" i="12"/>
  <c r="F256" i="12" s="1"/>
  <c r="E134" i="12"/>
  <c r="D148" i="12"/>
  <c r="D139" i="12"/>
  <c r="D129" i="12"/>
  <c r="D93" i="12"/>
  <c r="H147" i="12"/>
  <c r="H144" i="12"/>
  <c r="H134" i="12"/>
  <c r="H129" i="12"/>
  <c r="H93" i="12"/>
  <c r="H91" i="12"/>
  <c r="G148" i="12"/>
  <c r="G129" i="12"/>
  <c r="G147" i="12"/>
  <c r="G146" i="12"/>
  <c r="G144" i="12"/>
  <c r="G93" i="12"/>
  <c r="G88" i="12"/>
  <c r="G89" i="12" s="1"/>
  <c r="G92" i="12"/>
  <c r="D90" i="11"/>
  <c r="G91" i="12"/>
  <c r="G256" i="12" s="1"/>
  <c r="F139" i="12"/>
  <c r="F148" i="12"/>
  <c r="F129" i="12"/>
  <c r="F147" i="12"/>
  <c r="F146" i="12"/>
  <c r="F144" i="12"/>
  <c r="E129" i="12"/>
  <c r="E148" i="12"/>
  <c r="E144" i="12"/>
  <c r="E139" i="12"/>
  <c r="E146" i="12"/>
  <c r="E147" i="12"/>
  <c r="E93" i="12"/>
  <c r="D93" i="11"/>
  <c r="P93" i="11" s="1"/>
  <c r="D91" i="11"/>
  <c r="D256" i="11" s="1"/>
  <c r="D88" i="11"/>
  <c r="D89" i="11" s="1"/>
  <c r="E88" i="12"/>
  <c r="E89" i="12" s="1"/>
  <c r="D92" i="11"/>
  <c r="P92" i="11" s="1"/>
  <c r="E91" i="12"/>
  <c r="E256" i="12" s="1"/>
  <c r="E92" i="12"/>
  <c r="D263" i="12"/>
  <c r="D134" i="12"/>
  <c r="D146" i="12"/>
  <c r="D88" i="12"/>
  <c r="D89" i="12" s="1"/>
  <c r="D92" i="12"/>
  <c r="D91" i="12"/>
  <c r="D256" i="12" s="1"/>
  <c r="E90" i="12"/>
  <c r="F90" i="12"/>
  <c r="G90" i="12"/>
  <c r="D90" i="12"/>
  <c r="J92" i="12" l="1"/>
  <c r="J90" i="12"/>
  <c r="J93" i="12"/>
  <c r="J123" i="12"/>
  <c r="J94" i="12"/>
  <c r="H89" i="12"/>
  <c r="J88" i="12"/>
  <c r="H256" i="12"/>
  <c r="J256" i="12" s="1"/>
  <c r="J91" i="12"/>
  <c r="F94" i="12"/>
  <c r="D94" i="12"/>
  <c r="D95" i="12" s="1"/>
  <c r="D255" i="12" s="1"/>
  <c r="D94" i="11"/>
  <c r="D149" i="11"/>
  <c r="H149" i="12"/>
  <c r="H94" i="12"/>
  <c r="H95" i="12" s="1"/>
  <c r="H255" i="12" s="1"/>
  <c r="G94" i="12"/>
  <c r="G95" i="12" s="1"/>
  <c r="G255" i="12" s="1"/>
  <c r="F95" i="12"/>
  <c r="F255" i="12" s="1"/>
  <c r="J263" i="12"/>
  <c r="G149" i="12"/>
  <c r="F149" i="12"/>
  <c r="E149" i="12"/>
  <c r="E94" i="12"/>
  <c r="E95" i="12" s="1"/>
  <c r="E255" i="12" s="1"/>
  <c r="D236" i="6"/>
  <c r="D148" i="6"/>
  <c r="D147" i="6"/>
  <c r="D146" i="6"/>
  <c r="D145" i="6"/>
  <c r="J255" i="12" l="1"/>
  <c r="D149" i="6"/>
  <c r="D89" i="4"/>
  <c r="D95" i="4" s="1"/>
  <c r="P93" i="4" l="1"/>
  <c r="D242" i="5"/>
  <c r="D236" i="5"/>
  <c r="D148" i="5"/>
  <c r="D147" i="5"/>
  <c r="D146" i="5"/>
  <c r="D145" i="5"/>
  <c r="D149" i="5" l="1"/>
  <c r="D236" i="4" l="1"/>
  <c r="D148" i="4" l="1"/>
  <c r="D147" i="4"/>
  <c r="D146" i="4"/>
  <c r="D145" i="4"/>
  <c r="D149" i="4" l="1"/>
  <c r="D236" i="3" l="1"/>
  <c r="D148" i="3"/>
  <c r="D147" i="3"/>
  <c r="D146" i="3"/>
  <c r="D145" i="3"/>
  <c r="D236" i="2"/>
  <c r="D149" i="3" l="1"/>
  <c r="H263" i="1" l="1"/>
  <c r="I263" i="1"/>
  <c r="J263" i="1"/>
  <c r="K263" i="1"/>
  <c r="L263" i="1"/>
  <c r="M263" i="1"/>
  <c r="N263" i="1"/>
  <c r="D146" i="1" l="1"/>
  <c r="D147" i="1"/>
  <c r="D148" i="1"/>
  <c r="D145" i="1"/>
  <c r="D144" i="1"/>
  <c r="E140" i="1" s="1"/>
  <c r="D134" i="1"/>
  <c r="E130" i="1" s="1"/>
  <c r="D129" i="1"/>
  <c r="E125" i="1" s="1"/>
  <c r="D93" i="1"/>
  <c r="P93" i="1" s="1"/>
  <c r="D92" i="1"/>
  <c r="D91" i="1"/>
  <c r="P93" i="6"/>
  <c r="P93" i="5"/>
  <c r="P93" i="3"/>
  <c r="P93" i="2"/>
  <c r="E134" i="1" l="1"/>
  <c r="F130" i="1" s="1"/>
  <c r="E130" i="11"/>
  <c r="E134" i="11" s="1"/>
  <c r="E144" i="1"/>
  <c r="F140" i="1" s="1"/>
  <c r="E140" i="11"/>
  <c r="E144" i="11" s="1"/>
  <c r="E129" i="1"/>
  <c r="F125" i="1" s="1"/>
  <c r="E125" i="11"/>
  <c r="E145" i="1"/>
  <c r="E149" i="1" s="1"/>
  <c r="E147" i="11"/>
  <c r="D142" i="12"/>
  <c r="J142" i="12" s="1"/>
  <c r="D149" i="1"/>
  <c r="F129" i="1" l="1"/>
  <c r="G125" i="1" s="1"/>
  <c r="F125" i="11"/>
  <c r="F145" i="1"/>
  <c r="F149" i="1" s="1"/>
  <c r="F144" i="1"/>
  <c r="G140" i="1" s="1"/>
  <c r="F140" i="11"/>
  <c r="F144" i="11" s="1"/>
  <c r="E129" i="11"/>
  <c r="E145" i="11"/>
  <c r="E149" i="11" s="1"/>
  <c r="F134" i="1"/>
  <c r="G130" i="1" s="1"/>
  <c r="F130" i="11"/>
  <c r="F134" i="11" s="1"/>
  <c r="D144" i="12"/>
  <c r="D147" i="12"/>
  <c r="D149" i="12" s="1"/>
  <c r="D236" i="1"/>
  <c r="G144" i="1" l="1"/>
  <c r="H140" i="1" s="1"/>
  <c r="G140" i="11"/>
  <c r="G144" i="11" s="1"/>
  <c r="D140" i="13"/>
  <c r="F129" i="11"/>
  <c r="F145" i="11"/>
  <c r="F149" i="11" s="1"/>
  <c r="G134" i="1"/>
  <c r="G130" i="11"/>
  <c r="G134" i="11" s="1"/>
  <c r="D130" i="13"/>
  <c r="G129" i="1"/>
  <c r="G125" i="11"/>
  <c r="D125" i="13"/>
  <c r="G145" i="1"/>
  <c r="G149" i="1" s="1"/>
  <c r="D20" i="16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H144" i="1" l="1"/>
  <c r="I140" i="1" s="1"/>
  <c r="H140" i="11"/>
  <c r="H145" i="1"/>
  <c r="H149" i="1" s="1"/>
  <c r="J130" i="13"/>
  <c r="J134" i="13" s="1"/>
  <c r="D134" i="13"/>
  <c r="J125" i="13"/>
  <c r="D129" i="13"/>
  <c r="D145" i="13"/>
  <c r="D149" i="13" s="1"/>
  <c r="J140" i="13"/>
  <c r="J144" i="13" s="1"/>
  <c r="D144" i="13"/>
  <c r="G129" i="11"/>
  <c r="G145" i="11"/>
  <c r="G149" i="11" s="1"/>
  <c r="D20" i="13"/>
  <c r="D19" i="13"/>
  <c r="D18" i="13"/>
  <c r="D17" i="13"/>
  <c r="D12" i="13"/>
  <c r="D13" i="13"/>
  <c r="D14" i="13"/>
  <c r="D11" i="13"/>
  <c r="D9" i="13"/>
  <c r="J9" i="13" s="1"/>
  <c r="H20" i="12"/>
  <c r="H19" i="12"/>
  <c r="H18" i="12"/>
  <c r="H17" i="12"/>
  <c r="H12" i="12"/>
  <c r="H13" i="12"/>
  <c r="H38" i="12" s="1"/>
  <c r="H14" i="12"/>
  <c r="H11" i="12"/>
  <c r="H36" i="12" s="1"/>
  <c r="H9" i="12"/>
  <c r="H40" i="12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H144" i="11" l="1"/>
  <c r="H145" i="11"/>
  <c r="H149" i="11" s="1"/>
  <c r="I140" i="11"/>
  <c r="I144" i="1"/>
  <c r="J140" i="1" s="1"/>
  <c r="I145" i="1"/>
  <c r="I149" i="1" s="1"/>
  <c r="J129" i="13"/>
  <c r="J149" i="13" s="1"/>
  <c r="J145" i="13"/>
  <c r="I247" i="17"/>
  <c r="H247" i="17"/>
  <c r="G247" i="17"/>
  <c r="F247" i="17"/>
  <c r="E247" i="17"/>
  <c r="D247" i="17"/>
  <c r="I117" i="17"/>
  <c r="H117" i="17"/>
  <c r="G117" i="17"/>
  <c r="F117" i="17"/>
  <c r="E117" i="17"/>
  <c r="D117" i="17"/>
  <c r="I259" i="16"/>
  <c r="H259" i="16"/>
  <c r="F259" i="16"/>
  <c r="E259" i="16"/>
  <c r="I258" i="16"/>
  <c r="H258" i="16"/>
  <c r="F258" i="16"/>
  <c r="E258" i="16"/>
  <c r="I247" i="16"/>
  <c r="H247" i="16"/>
  <c r="G247" i="16"/>
  <c r="F247" i="16"/>
  <c r="E247" i="16"/>
  <c r="D247" i="16"/>
  <c r="I242" i="16"/>
  <c r="H242" i="16"/>
  <c r="G242" i="16"/>
  <c r="F242" i="16"/>
  <c r="E242" i="16"/>
  <c r="D242" i="16"/>
  <c r="I229" i="16"/>
  <c r="H229" i="16"/>
  <c r="G229" i="16"/>
  <c r="F229" i="16"/>
  <c r="E229" i="16"/>
  <c r="D229" i="16"/>
  <c r="I223" i="16"/>
  <c r="H223" i="16"/>
  <c r="G223" i="16"/>
  <c r="F223" i="16"/>
  <c r="E223" i="16"/>
  <c r="D223" i="16"/>
  <c r="I216" i="16"/>
  <c r="H216" i="16"/>
  <c r="G216" i="16"/>
  <c r="F216" i="16"/>
  <c r="E216" i="16"/>
  <c r="D216" i="16"/>
  <c r="I210" i="16"/>
  <c r="H210" i="16"/>
  <c r="G210" i="16"/>
  <c r="F210" i="16"/>
  <c r="E210" i="16"/>
  <c r="D210" i="16"/>
  <c r="I204" i="16"/>
  <c r="H204" i="16"/>
  <c r="G204" i="16"/>
  <c r="F204" i="16"/>
  <c r="E204" i="16"/>
  <c r="D204" i="16"/>
  <c r="I193" i="16"/>
  <c r="H193" i="16"/>
  <c r="G193" i="16"/>
  <c r="F193" i="16"/>
  <c r="E193" i="16"/>
  <c r="D193" i="16"/>
  <c r="I123" i="16"/>
  <c r="H123" i="16"/>
  <c r="G123" i="16"/>
  <c r="F123" i="16"/>
  <c r="E123" i="16"/>
  <c r="D123" i="16"/>
  <c r="I117" i="16"/>
  <c r="H117" i="16"/>
  <c r="G117" i="16"/>
  <c r="F117" i="16"/>
  <c r="E117" i="16"/>
  <c r="D117" i="16"/>
  <c r="I111" i="16"/>
  <c r="H111" i="16"/>
  <c r="G111" i="16"/>
  <c r="F111" i="16"/>
  <c r="E111" i="16"/>
  <c r="D111" i="16"/>
  <c r="I105" i="16"/>
  <c r="H105" i="16"/>
  <c r="G105" i="16"/>
  <c r="F105" i="16"/>
  <c r="E105" i="16"/>
  <c r="D105" i="16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D71" i="16" s="1"/>
  <c r="I62" i="16"/>
  <c r="H62" i="16"/>
  <c r="G62" i="16"/>
  <c r="F62" i="16"/>
  <c r="E62" i="16"/>
  <c r="I47" i="16"/>
  <c r="H47" i="16"/>
  <c r="G47" i="16"/>
  <c r="F47" i="16"/>
  <c r="E47" i="16"/>
  <c r="I45" i="16"/>
  <c r="H45" i="16"/>
  <c r="G45" i="16"/>
  <c r="F45" i="16"/>
  <c r="E45" i="16"/>
  <c r="I40" i="16"/>
  <c r="H40" i="16"/>
  <c r="G40" i="16"/>
  <c r="F40" i="16"/>
  <c r="E40" i="16"/>
  <c r="I38" i="16"/>
  <c r="H38" i="16"/>
  <c r="G38" i="16"/>
  <c r="F38" i="16"/>
  <c r="E38" i="16"/>
  <c r="I34" i="16"/>
  <c r="H34" i="16"/>
  <c r="G34" i="16"/>
  <c r="F34" i="16"/>
  <c r="E34" i="16"/>
  <c r="I32" i="16"/>
  <c r="H32" i="16"/>
  <c r="G32" i="16"/>
  <c r="F32" i="16"/>
  <c r="E32" i="16"/>
  <c r="I30" i="16"/>
  <c r="H30" i="16"/>
  <c r="G30" i="16"/>
  <c r="F30" i="16"/>
  <c r="E30" i="16"/>
  <c r="I21" i="16"/>
  <c r="H21" i="16"/>
  <c r="G21" i="16"/>
  <c r="F21" i="16"/>
  <c r="E21" i="16"/>
  <c r="I15" i="16"/>
  <c r="H15" i="16"/>
  <c r="G15" i="16"/>
  <c r="F15" i="16"/>
  <c r="E15" i="16"/>
  <c r="D47" i="16"/>
  <c r="I259" i="15"/>
  <c r="H259" i="15"/>
  <c r="G259" i="15"/>
  <c r="F259" i="15"/>
  <c r="E259" i="15"/>
  <c r="D259" i="15"/>
  <c r="I258" i="15"/>
  <c r="H258" i="15"/>
  <c r="G258" i="15"/>
  <c r="F258" i="15"/>
  <c r="E258" i="15"/>
  <c r="D258" i="15"/>
  <c r="I242" i="15"/>
  <c r="H242" i="15"/>
  <c r="G242" i="15"/>
  <c r="F242" i="15"/>
  <c r="E242" i="15"/>
  <c r="D242" i="15"/>
  <c r="I229" i="15"/>
  <c r="H229" i="15"/>
  <c r="G229" i="15"/>
  <c r="F229" i="15"/>
  <c r="E229" i="15"/>
  <c r="D229" i="15"/>
  <c r="I223" i="15"/>
  <c r="H223" i="15"/>
  <c r="G223" i="15"/>
  <c r="F223" i="15"/>
  <c r="E223" i="15"/>
  <c r="D223" i="15"/>
  <c r="I216" i="15"/>
  <c r="H216" i="15"/>
  <c r="G216" i="15"/>
  <c r="F216" i="15"/>
  <c r="E216" i="15"/>
  <c r="D216" i="15"/>
  <c r="I210" i="15"/>
  <c r="H210" i="15"/>
  <c r="G210" i="15"/>
  <c r="F210" i="15"/>
  <c r="E210" i="15"/>
  <c r="D210" i="15"/>
  <c r="I204" i="15"/>
  <c r="H204" i="15"/>
  <c r="G204" i="15"/>
  <c r="F204" i="15"/>
  <c r="E204" i="15"/>
  <c r="D204" i="15"/>
  <c r="I193" i="15"/>
  <c r="H193" i="15"/>
  <c r="G193" i="15"/>
  <c r="F193" i="15"/>
  <c r="E193" i="15"/>
  <c r="D193" i="15"/>
  <c r="I123" i="15"/>
  <c r="H123" i="15"/>
  <c r="G123" i="15"/>
  <c r="F123" i="15"/>
  <c r="E123" i="15"/>
  <c r="D123" i="15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I82" i="15"/>
  <c r="I83" i="15" s="1"/>
  <c r="H82" i="15"/>
  <c r="H83" i="15" s="1"/>
  <c r="G82" i="15"/>
  <c r="G83" i="15" s="1"/>
  <c r="F82" i="15"/>
  <c r="F83" i="15" s="1"/>
  <c r="E82" i="15"/>
  <c r="D82" i="15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I62" i="15"/>
  <c r="H62" i="15"/>
  <c r="G62" i="15"/>
  <c r="F62" i="15"/>
  <c r="E62" i="15"/>
  <c r="I47" i="15"/>
  <c r="H47" i="15"/>
  <c r="G47" i="15"/>
  <c r="F47" i="15"/>
  <c r="E47" i="15"/>
  <c r="I45" i="15"/>
  <c r="H45" i="15"/>
  <c r="G45" i="15"/>
  <c r="F45" i="15"/>
  <c r="E45" i="15"/>
  <c r="I40" i="15"/>
  <c r="H40" i="15"/>
  <c r="G40" i="15"/>
  <c r="F40" i="15"/>
  <c r="E40" i="15"/>
  <c r="I38" i="15"/>
  <c r="H38" i="15"/>
  <c r="G38" i="15"/>
  <c r="F38" i="15"/>
  <c r="E38" i="15"/>
  <c r="I34" i="15"/>
  <c r="H34" i="15"/>
  <c r="G34" i="15"/>
  <c r="F34" i="15"/>
  <c r="E34" i="15"/>
  <c r="I32" i="15"/>
  <c r="H32" i="15"/>
  <c r="G32" i="15"/>
  <c r="F32" i="15"/>
  <c r="E32" i="15"/>
  <c r="I30" i="15"/>
  <c r="H30" i="15"/>
  <c r="G30" i="15"/>
  <c r="F30" i="15"/>
  <c r="E30" i="15"/>
  <c r="I21" i="15"/>
  <c r="H21" i="15"/>
  <c r="G21" i="15"/>
  <c r="F21" i="15"/>
  <c r="I15" i="15"/>
  <c r="H15" i="15"/>
  <c r="G15" i="15"/>
  <c r="F15" i="15"/>
  <c r="E15" i="15"/>
  <c r="D15" i="15"/>
  <c r="D47" i="15"/>
  <c r="I259" i="13"/>
  <c r="H259" i="13"/>
  <c r="F259" i="13"/>
  <c r="E259" i="13"/>
  <c r="I258" i="13"/>
  <c r="H258" i="13"/>
  <c r="G258" i="13"/>
  <c r="F258" i="13"/>
  <c r="E258" i="13"/>
  <c r="D258" i="13"/>
  <c r="J257" i="13"/>
  <c r="J256" i="13"/>
  <c r="J254" i="13"/>
  <c r="J253" i="13"/>
  <c r="I247" i="13"/>
  <c r="H247" i="13"/>
  <c r="G247" i="13"/>
  <c r="F247" i="13"/>
  <c r="E247" i="13"/>
  <c r="D247" i="13"/>
  <c r="I242" i="13"/>
  <c r="H242" i="13"/>
  <c r="G242" i="13"/>
  <c r="F242" i="13"/>
  <c r="E242" i="13"/>
  <c r="D242" i="13"/>
  <c r="J241" i="13"/>
  <c r="J240" i="13"/>
  <c r="J239" i="13"/>
  <c r="J238" i="13"/>
  <c r="J235" i="13"/>
  <c r="J234" i="13"/>
  <c r="J233" i="13"/>
  <c r="J232" i="13"/>
  <c r="I229" i="13"/>
  <c r="H229" i="13"/>
  <c r="G229" i="13"/>
  <c r="F229" i="13"/>
  <c r="E229" i="13"/>
  <c r="D229" i="13"/>
  <c r="J228" i="13"/>
  <c r="J227" i="13"/>
  <c r="J226" i="13"/>
  <c r="J225" i="13"/>
  <c r="I223" i="13"/>
  <c r="H223" i="13"/>
  <c r="G223" i="13"/>
  <c r="F223" i="13"/>
  <c r="E223" i="13"/>
  <c r="D223" i="13"/>
  <c r="J222" i="13"/>
  <c r="J221" i="13"/>
  <c r="J220" i="13"/>
  <c r="J219" i="13"/>
  <c r="I216" i="13"/>
  <c r="H216" i="13"/>
  <c r="G216" i="13"/>
  <c r="F216" i="13"/>
  <c r="E216" i="13"/>
  <c r="D216" i="13"/>
  <c r="J215" i="13"/>
  <c r="J214" i="13"/>
  <c r="J213" i="13"/>
  <c r="J212" i="13"/>
  <c r="I210" i="13"/>
  <c r="H210" i="13"/>
  <c r="G210" i="13"/>
  <c r="F210" i="13"/>
  <c r="E210" i="13"/>
  <c r="D210" i="13"/>
  <c r="J209" i="13"/>
  <c r="J208" i="13"/>
  <c r="J207" i="13"/>
  <c r="J206" i="13"/>
  <c r="I204" i="13"/>
  <c r="H204" i="13"/>
  <c r="G204" i="13"/>
  <c r="F204" i="13"/>
  <c r="E204" i="13"/>
  <c r="D204" i="13"/>
  <c r="J203" i="13"/>
  <c r="J202" i="13"/>
  <c r="J201" i="13"/>
  <c r="J200" i="13"/>
  <c r="J199" i="13"/>
  <c r="J197" i="13"/>
  <c r="J194" i="13"/>
  <c r="I193" i="13"/>
  <c r="H193" i="13"/>
  <c r="G193" i="13"/>
  <c r="F193" i="13"/>
  <c r="E193" i="13"/>
  <c r="D193" i="13"/>
  <c r="J192" i="13"/>
  <c r="J191" i="13"/>
  <c r="J190" i="13"/>
  <c r="J189" i="13"/>
  <c r="J187" i="13"/>
  <c r="J186" i="13"/>
  <c r="J185" i="13"/>
  <c r="J184" i="13"/>
  <c r="J182" i="13"/>
  <c r="J181" i="13"/>
  <c r="J180" i="13"/>
  <c r="J179" i="13"/>
  <c r="J178" i="13"/>
  <c r="J177" i="13"/>
  <c r="J175" i="13"/>
  <c r="J174" i="13"/>
  <c r="J173" i="13"/>
  <c r="J172" i="13"/>
  <c r="J171" i="13"/>
  <c r="J170" i="13"/>
  <c r="J169" i="13"/>
  <c r="J168" i="13"/>
  <c r="J167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I123" i="13"/>
  <c r="H123" i="13"/>
  <c r="G123" i="13"/>
  <c r="F123" i="13"/>
  <c r="E123" i="13"/>
  <c r="D123" i="13"/>
  <c r="I105" i="13"/>
  <c r="I119" i="13" s="1"/>
  <c r="H105" i="13"/>
  <c r="H119" i="13" s="1"/>
  <c r="G105" i="13"/>
  <c r="G119" i="13" s="1"/>
  <c r="F105" i="13"/>
  <c r="F119" i="13" s="1"/>
  <c r="E105" i="13"/>
  <c r="E119" i="13" s="1"/>
  <c r="D105" i="13"/>
  <c r="D119" i="13" s="1"/>
  <c r="J98" i="13"/>
  <c r="J87" i="13"/>
  <c r="J85" i="13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J74" i="13"/>
  <c r="J76" i="13" s="1"/>
  <c r="J73" i="13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J69" i="13"/>
  <c r="J68" i="13"/>
  <c r="J67" i="13"/>
  <c r="J63" i="13"/>
  <c r="I62" i="13"/>
  <c r="H62" i="13"/>
  <c r="G62" i="13"/>
  <c r="F62" i="13"/>
  <c r="E62" i="13"/>
  <c r="J56" i="13"/>
  <c r="J55" i="13"/>
  <c r="J54" i="13"/>
  <c r="J51" i="13"/>
  <c r="J50" i="13"/>
  <c r="J49" i="13"/>
  <c r="I47" i="13"/>
  <c r="H47" i="13"/>
  <c r="G47" i="13"/>
  <c r="F47" i="13"/>
  <c r="E47" i="13"/>
  <c r="J46" i="13"/>
  <c r="I45" i="13"/>
  <c r="H45" i="13"/>
  <c r="G45" i="13"/>
  <c r="F45" i="13"/>
  <c r="E45" i="13"/>
  <c r="J44" i="13"/>
  <c r="I40" i="13"/>
  <c r="H40" i="13"/>
  <c r="G40" i="13"/>
  <c r="F40" i="13"/>
  <c r="E40" i="13"/>
  <c r="I38" i="13"/>
  <c r="H38" i="13"/>
  <c r="G38" i="13"/>
  <c r="F38" i="13"/>
  <c r="E38" i="13"/>
  <c r="I34" i="13"/>
  <c r="H34" i="13"/>
  <c r="G34" i="13"/>
  <c r="F34" i="13"/>
  <c r="E34" i="13"/>
  <c r="J33" i="13"/>
  <c r="I32" i="13"/>
  <c r="H32" i="13"/>
  <c r="G32" i="13"/>
  <c r="F32" i="13"/>
  <c r="E32" i="13"/>
  <c r="J31" i="13"/>
  <c r="I30" i="13"/>
  <c r="H30" i="13"/>
  <c r="G30" i="13"/>
  <c r="F30" i="13"/>
  <c r="E30" i="13"/>
  <c r="J29" i="13"/>
  <c r="I21" i="13"/>
  <c r="H21" i="13"/>
  <c r="G21" i="13"/>
  <c r="F21" i="13"/>
  <c r="E21" i="13"/>
  <c r="J20" i="13"/>
  <c r="J19" i="13"/>
  <c r="J18" i="13"/>
  <c r="J17" i="13"/>
  <c r="H15" i="13"/>
  <c r="G15" i="13"/>
  <c r="F15" i="13"/>
  <c r="E15" i="13"/>
  <c r="J14" i="13"/>
  <c r="J13" i="13"/>
  <c r="J12" i="13"/>
  <c r="D47" i="13"/>
  <c r="D20" i="12"/>
  <c r="J20" i="12" s="1"/>
  <c r="D19" i="12"/>
  <c r="J19" i="12" s="1"/>
  <c r="D18" i="12"/>
  <c r="J18" i="12" s="1"/>
  <c r="D17" i="12"/>
  <c r="J17" i="12" s="1"/>
  <c r="J21" i="12" s="1"/>
  <c r="D14" i="12"/>
  <c r="J14" i="12" s="1"/>
  <c r="D13" i="12"/>
  <c r="D12" i="12"/>
  <c r="J12" i="12" s="1"/>
  <c r="D11" i="12"/>
  <c r="D9" i="12"/>
  <c r="J9" i="12" s="1"/>
  <c r="H259" i="12"/>
  <c r="G259" i="12"/>
  <c r="F259" i="12"/>
  <c r="E259" i="12"/>
  <c r="D259" i="12"/>
  <c r="H258" i="12"/>
  <c r="G258" i="12"/>
  <c r="F258" i="12"/>
  <c r="E258" i="12"/>
  <c r="D258" i="12"/>
  <c r="J247" i="12"/>
  <c r="H247" i="12"/>
  <c r="G247" i="12"/>
  <c r="F247" i="12"/>
  <c r="E247" i="12"/>
  <c r="D247" i="12"/>
  <c r="H242" i="12"/>
  <c r="G242" i="12"/>
  <c r="F242" i="12"/>
  <c r="E242" i="12"/>
  <c r="D242" i="12"/>
  <c r="G229" i="12"/>
  <c r="F229" i="12"/>
  <c r="E229" i="12"/>
  <c r="D229" i="12"/>
  <c r="H223" i="12"/>
  <c r="G223" i="12"/>
  <c r="F223" i="12"/>
  <c r="E223" i="12"/>
  <c r="D223" i="12"/>
  <c r="G216" i="12"/>
  <c r="F216" i="12"/>
  <c r="E216" i="12"/>
  <c r="D216" i="12"/>
  <c r="H210" i="12"/>
  <c r="G210" i="12"/>
  <c r="F210" i="12"/>
  <c r="E210" i="12"/>
  <c r="D210" i="12"/>
  <c r="H204" i="12"/>
  <c r="G204" i="12"/>
  <c r="F204" i="12"/>
  <c r="E204" i="12"/>
  <c r="D204" i="12"/>
  <c r="G193" i="12"/>
  <c r="F193" i="12"/>
  <c r="E193" i="12"/>
  <c r="D193" i="12"/>
  <c r="J140" i="12"/>
  <c r="J144" i="12" s="1"/>
  <c r="J135" i="12"/>
  <c r="J130" i="12"/>
  <c r="H123" i="12"/>
  <c r="G123" i="12"/>
  <c r="F123" i="12"/>
  <c r="E123" i="12"/>
  <c r="D123" i="12"/>
  <c r="G117" i="12"/>
  <c r="F117" i="12"/>
  <c r="E117" i="12"/>
  <c r="D117" i="12"/>
  <c r="J117" i="12" s="1"/>
  <c r="H111" i="12"/>
  <c r="G111" i="12"/>
  <c r="F111" i="12"/>
  <c r="E111" i="12"/>
  <c r="D111" i="12"/>
  <c r="H105" i="12"/>
  <c r="G105" i="12"/>
  <c r="F105" i="12"/>
  <c r="E105" i="12"/>
  <c r="D105" i="12"/>
  <c r="H82" i="12"/>
  <c r="H83" i="12" s="1"/>
  <c r="G82" i="12"/>
  <c r="G83" i="12" s="1"/>
  <c r="F82" i="12"/>
  <c r="F83" i="12" s="1"/>
  <c r="E82" i="12"/>
  <c r="E83" i="12" s="1"/>
  <c r="D82" i="12"/>
  <c r="D83" i="12" s="1"/>
  <c r="H76" i="12"/>
  <c r="H77" i="12" s="1"/>
  <c r="G76" i="12"/>
  <c r="G77" i="12" s="1"/>
  <c r="F76" i="12"/>
  <c r="F77" i="12" s="1"/>
  <c r="E76" i="12"/>
  <c r="E77" i="12" s="1"/>
  <c r="D76" i="12"/>
  <c r="D77" i="12" s="1"/>
  <c r="H70" i="12"/>
  <c r="H71" i="12" s="1"/>
  <c r="G70" i="12"/>
  <c r="G71" i="12" s="1"/>
  <c r="F70" i="12"/>
  <c r="F71" i="12" s="1"/>
  <c r="E70" i="12"/>
  <c r="E71" i="12" s="1"/>
  <c r="D70" i="12"/>
  <c r="D71" i="12" s="1"/>
  <c r="H62" i="12"/>
  <c r="G62" i="12"/>
  <c r="F62" i="12"/>
  <c r="E62" i="12"/>
  <c r="H47" i="12"/>
  <c r="G47" i="12"/>
  <c r="F47" i="12"/>
  <c r="E47" i="12"/>
  <c r="H45" i="12"/>
  <c r="G45" i="12"/>
  <c r="F45" i="12"/>
  <c r="E45" i="12"/>
  <c r="H34" i="12"/>
  <c r="G34" i="12"/>
  <c r="F34" i="12"/>
  <c r="E34" i="12"/>
  <c r="H32" i="12"/>
  <c r="G32" i="12"/>
  <c r="F32" i="12"/>
  <c r="E32" i="12"/>
  <c r="H30" i="12"/>
  <c r="G30" i="12"/>
  <c r="F30" i="12"/>
  <c r="E30" i="12"/>
  <c r="H21" i="12"/>
  <c r="H22" i="12" s="1"/>
  <c r="G21" i="12"/>
  <c r="F21" i="12"/>
  <c r="E21" i="12"/>
  <c r="H15" i="12"/>
  <c r="G15" i="12"/>
  <c r="F15" i="12"/>
  <c r="E15" i="12"/>
  <c r="D258" i="11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M230" i="11" s="1"/>
  <c r="M243" i="11" s="1"/>
  <c r="L223" i="11"/>
  <c r="L230" i="11" s="1"/>
  <c r="L243" i="11" s="1"/>
  <c r="K223" i="11"/>
  <c r="K230" i="11" s="1"/>
  <c r="J223" i="11"/>
  <c r="J230" i="11" s="1"/>
  <c r="J243" i="11" s="1"/>
  <c r="I223" i="11"/>
  <c r="I230" i="11" s="1"/>
  <c r="I243" i="11" s="1"/>
  <c r="H223" i="11"/>
  <c r="G223" i="11"/>
  <c r="F223" i="11"/>
  <c r="E223" i="11"/>
  <c r="E230" i="11" s="1"/>
  <c r="E243" i="11" s="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O217" i="11" s="1"/>
  <c r="N210" i="11"/>
  <c r="N217" i="11" s="1"/>
  <c r="M210" i="11"/>
  <c r="M217" i="11" s="1"/>
  <c r="L210" i="11"/>
  <c r="L217" i="11" s="1"/>
  <c r="K210" i="11"/>
  <c r="K217" i="11" s="1"/>
  <c r="J210" i="11"/>
  <c r="J217" i="11" s="1"/>
  <c r="I210" i="11"/>
  <c r="I217" i="11" s="1"/>
  <c r="H210" i="11"/>
  <c r="G210" i="11"/>
  <c r="F210" i="11"/>
  <c r="E210" i="11"/>
  <c r="D210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P192" i="11"/>
  <c r="P191" i="11"/>
  <c r="P190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D123" i="11"/>
  <c r="P122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D255" i="11" s="1"/>
  <c r="F94" i="11"/>
  <c r="E94" i="11"/>
  <c r="P90" i="11"/>
  <c r="P84" i="11"/>
  <c r="E82" i="11"/>
  <c r="E83" i="11" s="1"/>
  <c r="D82" i="11"/>
  <c r="D83" i="11" s="1"/>
  <c r="P81" i="11"/>
  <c r="P82" i="11" s="1"/>
  <c r="P78" i="11"/>
  <c r="D76" i="11"/>
  <c r="D77" i="11" s="1"/>
  <c r="P73" i="11"/>
  <c r="P72" i="11"/>
  <c r="E71" i="11"/>
  <c r="D70" i="11"/>
  <c r="D71" i="11" s="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P46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D22" i="11" s="1"/>
  <c r="D24" i="11" s="1"/>
  <c r="D25" i="11" s="1"/>
  <c r="P14" i="11"/>
  <c r="P13" i="11"/>
  <c r="P12" i="11"/>
  <c r="P11" i="11"/>
  <c r="P9" i="11"/>
  <c r="M259" i="6"/>
  <c r="L259" i="6"/>
  <c r="H259" i="6"/>
  <c r="N258" i="6"/>
  <c r="L258" i="6"/>
  <c r="K258" i="6"/>
  <c r="J258" i="6"/>
  <c r="I258" i="6"/>
  <c r="H258" i="6"/>
  <c r="P257" i="6"/>
  <c r="I257" i="17" s="1"/>
  <c r="P256" i="6"/>
  <c r="P254" i="6"/>
  <c r="I254" i="17" s="1"/>
  <c r="P253" i="6"/>
  <c r="I253" i="17" s="1"/>
  <c r="P247" i="6"/>
  <c r="N247" i="6"/>
  <c r="M247" i="6"/>
  <c r="L247" i="6"/>
  <c r="K247" i="6"/>
  <c r="J247" i="6"/>
  <c r="I247" i="6"/>
  <c r="H247" i="6"/>
  <c r="G247" i="6"/>
  <c r="F247" i="6"/>
  <c r="E247" i="6"/>
  <c r="D247" i="6"/>
  <c r="N242" i="6"/>
  <c r="M242" i="6"/>
  <c r="L242" i="6"/>
  <c r="K242" i="6"/>
  <c r="J242" i="6"/>
  <c r="I242" i="6"/>
  <c r="H242" i="6"/>
  <c r="G242" i="6"/>
  <c r="F242" i="6"/>
  <c r="E242" i="6"/>
  <c r="D242" i="6"/>
  <c r="P241" i="6"/>
  <c r="I241" i="17" s="1"/>
  <c r="P240" i="6"/>
  <c r="I240" i="17" s="1"/>
  <c r="P239" i="6"/>
  <c r="I239" i="17" s="1"/>
  <c r="P238" i="6"/>
  <c r="I238" i="17" s="1"/>
  <c r="P235" i="6"/>
  <c r="I235" i="17" s="1"/>
  <c r="P234" i="6"/>
  <c r="I234" i="17" s="1"/>
  <c r="P233" i="6"/>
  <c r="I233" i="17" s="1"/>
  <c r="P232" i="6"/>
  <c r="I232" i="17" s="1"/>
  <c r="N229" i="6"/>
  <c r="M229" i="6"/>
  <c r="L229" i="6"/>
  <c r="K229" i="6"/>
  <c r="J229" i="6"/>
  <c r="I229" i="6"/>
  <c r="H229" i="6"/>
  <c r="G229" i="6"/>
  <c r="F229" i="6"/>
  <c r="E229" i="6"/>
  <c r="D229" i="6"/>
  <c r="P228" i="6"/>
  <c r="I228" i="17" s="1"/>
  <c r="P227" i="6"/>
  <c r="I227" i="17" s="1"/>
  <c r="P226" i="6"/>
  <c r="I226" i="17" s="1"/>
  <c r="P225" i="6"/>
  <c r="I225" i="17" s="1"/>
  <c r="N223" i="6"/>
  <c r="N230" i="6" s="1"/>
  <c r="M223" i="6"/>
  <c r="L223" i="6"/>
  <c r="K223" i="6"/>
  <c r="J223" i="6"/>
  <c r="J230" i="6" s="1"/>
  <c r="I223" i="6"/>
  <c r="I230" i="6" s="1"/>
  <c r="H223" i="6"/>
  <c r="H230" i="6" s="1"/>
  <c r="G223" i="6"/>
  <c r="F223" i="6"/>
  <c r="F230" i="6" s="1"/>
  <c r="E223" i="6"/>
  <c r="D223" i="6"/>
  <c r="P222" i="6"/>
  <c r="I222" i="17" s="1"/>
  <c r="P221" i="6"/>
  <c r="I221" i="17" s="1"/>
  <c r="P220" i="6"/>
  <c r="I220" i="17" s="1"/>
  <c r="P219" i="6"/>
  <c r="I219" i="17" s="1"/>
  <c r="N216" i="6"/>
  <c r="M216" i="6"/>
  <c r="L216" i="6"/>
  <c r="K216" i="6"/>
  <c r="J216" i="6"/>
  <c r="I216" i="6"/>
  <c r="H216" i="6"/>
  <c r="G216" i="6"/>
  <c r="F216" i="6"/>
  <c r="E216" i="6"/>
  <c r="D216" i="6"/>
  <c r="P215" i="6"/>
  <c r="I215" i="17" s="1"/>
  <c r="P214" i="6"/>
  <c r="I214" i="17" s="1"/>
  <c r="P213" i="6"/>
  <c r="I213" i="17" s="1"/>
  <c r="P212" i="6"/>
  <c r="I212" i="17" s="1"/>
  <c r="N210" i="6"/>
  <c r="M210" i="6"/>
  <c r="L210" i="6"/>
  <c r="K210" i="6"/>
  <c r="J210" i="6"/>
  <c r="I210" i="6"/>
  <c r="H210" i="6"/>
  <c r="G210" i="6"/>
  <c r="F210" i="6"/>
  <c r="E210" i="6"/>
  <c r="D210" i="6"/>
  <c r="P209" i="6"/>
  <c r="I209" i="17" s="1"/>
  <c r="P208" i="6"/>
  <c r="I208" i="17" s="1"/>
  <c r="P207" i="6"/>
  <c r="I207" i="17" s="1"/>
  <c r="P206" i="6"/>
  <c r="I206" i="17" s="1"/>
  <c r="N204" i="6"/>
  <c r="M204" i="6"/>
  <c r="L204" i="6"/>
  <c r="K204" i="6"/>
  <c r="J204" i="6"/>
  <c r="I204" i="6"/>
  <c r="H204" i="6"/>
  <c r="G204" i="6"/>
  <c r="F204" i="6"/>
  <c r="E204" i="6"/>
  <c r="D204" i="6"/>
  <c r="P203" i="6"/>
  <c r="I203" i="17" s="1"/>
  <c r="P202" i="6"/>
  <c r="I202" i="17" s="1"/>
  <c r="P201" i="6"/>
  <c r="I201" i="17" s="1"/>
  <c r="P200" i="6"/>
  <c r="I200" i="17" s="1"/>
  <c r="P199" i="6"/>
  <c r="I199" i="17" s="1"/>
  <c r="P197" i="6"/>
  <c r="I197" i="17" s="1"/>
  <c r="P195" i="6"/>
  <c r="I195" i="17" s="1"/>
  <c r="P194" i="6"/>
  <c r="I194" i="17" s="1"/>
  <c r="N193" i="6"/>
  <c r="M193" i="6"/>
  <c r="L193" i="6"/>
  <c r="K193" i="6"/>
  <c r="J193" i="6"/>
  <c r="I193" i="6"/>
  <c r="H193" i="6"/>
  <c r="G193" i="6"/>
  <c r="F193" i="6"/>
  <c r="E193" i="6"/>
  <c r="D193" i="6"/>
  <c r="P192" i="6"/>
  <c r="I192" i="17" s="1"/>
  <c r="P191" i="6"/>
  <c r="I191" i="17" s="1"/>
  <c r="P190" i="6"/>
  <c r="I190" i="17" s="1"/>
  <c r="P189" i="6"/>
  <c r="I189" i="17" s="1"/>
  <c r="P187" i="6"/>
  <c r="I187" i="17" s="1"/>
  <c r="P186" i="6"/>
  <c r="I186" i="17" s="1"/>
  <c r="P185" i="6"/>
  <c r="I185" i="17" s="1"/>
  <c r="P184" i="6"/>
  <c r="I184" i="17" s="1"/>
  <c r="P182" i="6"/>
  <c r="I182" i="17" s="1"/>
  <c r="P181" i="6"/>
  <c r="I181" i="17" s="1"/>
  <c r="P180" i="6"/>
  <c r="I180" i="17" s="1"/>
  <c r="P179" i="6"/>
  <c r="I179" i="17" s="1"/>
  <c r="P178" i="6"/>
  <c r="I178" i="17" s="1"/>
  <c r="P177" i="6"/>
  <c r="I177" i="17" s="1"/>
  <c r="P175" i="6"/>
  <c r="I175" i="17" s="1"/>
  <c r="P174" i="6"/>
  <c r="I174" i="17" s="1"/>
  <c r="P173" i="6"/>
  <c r="I173" i="17" s="1"/>
  <c r="P172" i="6"/>
  <c r="I172" i="17" s="1"/>
  <c r="P171" i="6"/>
  <c r="I171" i="17" s="1"/>
  <c r="P170" i="6"/>
  <c r="I170" i="17" s="1"/>
  <c r="P169" i="6"/>
  <c r="I169" i="17" s="1"/>
  <c r="P168" i="6"/>
  <c r="I168" i="17" s="1"/>
  <c r="P167" i="6"/>
  <c r="I167" i="17" s="1"/>
  <c r="P165" i="6"/>
  <c r="I165" i="17" s="1"/>
  <c r="P164" i="6"/>
  <c r="I164" i="17" s="1"/>
  <c r="P163" i="6"/>
  <c r="I163" i="17" s="1"/>
  <c r="P162" i="6"/>
  <c r="I162" i="17" s="1"/>
  <c r="P161" i="6"/>
  <c r="I161" i="17" s="1"/>
  <c r="P160" i="6"/>
  <c r="I160" i="17" s="1"/>
  <c r="P159" i="6"/>
  <c r="I159" i="17" s="1"/>
  <c r="P158" i="6"/>
  <c r="I158" i="17" s="1"/>
  <c r="P157" i="6"/>
  <c r="I157" i="17" s="1"/>
  <c r="P156" i="6"/>
  <c r="I156" i="17" s="1"/>
  <c r="P155" i="6"/>
  <c r="I155" i="17" s="1"/>
  <c r="P154" i="6"/>
  <c r="I154" i="17" s="1"/>
  <c r="P153" i="6"/>
  <c r="I153" i="17" s="1"/>
  <c r="P143" i="6"/>
  <c r="I143" i="17" s="1"/>
  <c r="P142" i="6"/>
  <c r="I142" i="17" s="1"/>
  <c r="P141" i="6"/>
  <c r="I141" i="17" s="1"/>
  <c r="P140" i="6"/>
  <c r="I140" i="17" s="1"/>
  <c r="P138" i="6"/>
  <c r="I138" i="17" s="1"/>
  <c r="P137" i="6"/>
  <c r="I137" i="17" s="1"/>
  <c r="P136" i="6"/>
  <c r="I136" i="17" s="1"/>
  <c r="P135" i="6"/>
  <c r="I135" i="17" s="1"/>
  <c r="P133" i="6"/>
  <c r="I133" i="17" s="1"/>
  <c r="P132" i="6"/>
  <c r="I132" i="17" s="1"/>
  <c r="P131" i="6"/>
  <c r="I131" i="17" s="1"/>
  <c r="P130" i="6"/>
  <c r="I130" i="17" s="1"/>
  <c r="P128" i="6"/>
  <c r="I128" i="17" s="1"/>
  <c r="P127" i="6"/>
  <c r="I127" i="17" s="1"/>
  <c r="P126" i="6"/>
  <c r="I126" i="17" s="1"/>
  <c r="P125" i="6"/>
  <c r="I125" i="17" s="1"/>
  <c r="M123" i="6"/>
  <c r="L123" i="6"/>
  <c r="K123" i="6"/>
  <c r="J123" i="6"/>
  <c r="I123" i="6"/>
  <c r="H123" i="6"/>
  <c r="P122" i="6"/>
  <c r="N123" i="6"/>
  <c r="P121" i="6"/>
  <c r="I121" i="17" s="1"/>
  <c r="P117" i="6"/>
  <c r="L117" i="6"/>
  <c r="I117" i="6"/>
  <c r="G117" i="6"/>
  <c r="F117" i="6"/>
  <c r="E117" i="6"/>
  <c r="D117" i="6"/>
  <c r="N111" i="6"/>
  <c r="N118" i="6" s="1"/>
  <c r="M111" i="6"/>
  <c r="M118" i="6" s="1"/>
  <c r="L111" i="6"/>
  <c r="K111" i="6"/>
  <c r="K118" i="6" s="1"/>
  <c r="J111" i="6"/>
  <c r="J118" i="6" s="1"/>
  <c r="I111" i="6"/>
  <c r="H111" i="6"/>
  <c r="H118" i="6" s="1"/>
  <c r="G111" i="6"/>
  <c r="F111" i="6"/>
  <c r="E111" i="6"/>
  <c r="D111" i="6"/>
  <c r="P110" i="6"/>
  <c r="I110" i="17" s="1"/>
  <c r="P109" i="6"/>
  <c r="I109" i="17" s="1"/>
  <c r="P108" i="6"/>
  <c r="I108" i="17" s="1"/>
  <c r="P107" i="6"/>
  <c r="I107" i="17" s="1"/>
  <c r="N105" i="6"/>
  <c r="N119" i="6" s="1"/>
  <c r="M105" i="6"/>
  <c r="M119" i="6" s="1"/>
  <c r="L105" i="6"/>
  <c r="K105" i="6"/>
  <c r="J105" i="6"/>
  <c r="I105" i="6"/>
  <c r="H105" i="6"/>
  <c r="G105" i="6"/>
  <c r="F105" i="6"/>
  <c r="E105" i="6"/>
  <c r="D105" i="6"/>
  <c r="P104" i="6"/>
  <c r="I104" i="17" s="1"/>
  <c r="P103" i="6"/>
  <c r="I103" i="17" s="1"/>
  <c r="P102" i="6"/>
  <c r="I102" i="17" s="1"/>
  <c r="P101" i="6"/>
  <c r="I101" i="17" s="1"/>
  <c r="P98" i="6"/>
  <c r="I98" i="17" s="1"/>
  <c r="P90" i="6"/>
  <c r="P87" i="6"/>
  <c r="I87" i="17" s="1"/>
  <c r="I88" i="17" s="1"/>
  <c r="P84" i="6"/>
  <c r="P81" i="6"/>
  <c r="P78" i="6"/>
  <c r="I78" i="17" s="1"/>
  <c r="P72" i="6"/>
  <c r="P69" i="6"/>
  <c r="I69" i="17" s="1"/>
  <c r="P68" i="6"/>
  <c r="P67" i="6"/>
  <c r="I67" i="17" s="1"/>
  <c r="P66" i="6"/>
  <c r="I66" i="17" s="1"/>
  <c r="P63" i="6"/>
  <c r="I63" i="17" s="1"/>
  <c r="N62" i="6"/>
  <c r="M62" i="6"/>
  <c r="L62" i="6"/>
  <c r="K62" i="6"/>
  <c r="J62" i="6"/>
  <c r="P61" i="6"/>
  <c r="I61" i="17" s="1"/>
  <c r="P56" i="6"/>
  <c r="I56" i="17" s="1"/>
  <c r="P55" i="6"/>
  <c r="I55" i="17" s="1"/>
  <c r="P54" i="6"/>
  <c r="I54" i="17" s="1"/>
  <c r="I52" i="13"/>
  <c r="P51" i="6"/>
  <c r="I51" i="17" s="1"/>
  <c r="P50" i="6"/>
  <c r="I50" i="17" s="1"/>
  <c r="P49" i="6"/>
  <c r="I49" i="17" s="1"/>
  <c r="N47" i="6"/>
  <c r="M47" i="6"/>
  <c r="L47" i="6"/>
  <c r="K47" i="6"/>
  <c r="J47" i="6"/>
  <c r="I47" i="6"/>
  <c r="H47" i="6"/>
  <c r="P46" i="6"/>
  <c r="I46" i="17" s="1"/>
  <c r="N45" i="6"/>
  <c r="P44" i="6"/>
  <c r="I44" i="17" s="1"/>
  <c r="N40" i="6"/>
  <c r="M40" i="6"/>
  <c r="L40" i="6"/>
  <c r="K40" i="6"/>
  <c r="J40" i="6"/>
  <c r="I40" i="6"/>
  <c r="H40" i="6"/>
  <c r="N38" i="6"/>
  <c r="M38" i="6"/>
  <c r="L38" i="6"/>
  <c r="K38" i="6"/>
  <c r="J38" i="6"/>
  <c r="I38" i="6"/>
  <c r="H38" i="6"/>
  <c r="N34" i="6"/>
  <c r="M34" i="6"/>
  <c r="L34" i="6"/>
  <c r="K34" i="6"/>
  <c r="J34" i="6"/>
  <c r="I34" i="6"/>
  <c r="H34" i="6"/>
  <c r="P33" i="6"/>
  <c r="I33" i="17" s="1"/>
  <c r="N32" i="6"/>
  <c r="M32" i="6"/>
  <c r="L32" i="6"/>
  <c r="K32" i="6"/>
  <c r="J32" i="6"/>
  <c r="I32" i="6"/>
  <c r="H32" i="6"/>
  <c r="P31" i="6"/>
  <c r="I31" i="17" s="1"/>
  <c r="N30" i="6"/>
  <c r="M30" i="6"/>
  <c r="P29" i="6"/>
  <c r="I29" i="17" s="1"/>
  <c r="N21" i="6"/>
  <c r="M21" i="6"/>
  <c r="L21" i="6"/>
  <c r="K21" i="6"/>
  <c r="J21" i="6"/>
  <c r="I21" i="6"/>
  <c r="H21" i="6"/>
  <c r="G21" i="6"/>
  <c r="F21" i="6"/>
  <c r="E21" i="6"/>
  <c r="D21" i="6"/>
  <c r="P20" i="6"/>
  <c r="P19" i="6"/>
  <c r="P18" i="6"/>
  <c r="P17" i="6"/>
  <c r="N15" i="6"/>
  <c r="N22" i="6" s="1"/>
  <c r="N24" i="6" s="1"/>
  <c r="M15" i="6"/>
  <c r="L15" i="6"/>
  <c r="L22" i="6" s="1"/>
  <c r="L24" i="6" s="1"/>
  <c r="K15" i="6"/>
  <c r="J15" i="6"/>
  <c r="J22" i="6" s="1"/>
  <c r="J24" i="6" s="1"/>
  <c r="I15" i="6"/>
  <c r="H15" i="6"/>
  <c r="G15" i="6"/>
  <c r="F15" i="6"/>
  <c r="E15" i="6"/>
  <c r="D15" i="6"/>
  <c r="P14" i="6"/>
  <c r="I14" i="17" s="1"/>
  <c r="P13" i="6"/>
  <c r="I13" i="17" s="1"/>
  <c r="P12" i="6"/>
  <c r="I12" i="17" s="1"/>
  <c r="P11" i="6"/>
  <c r="I11" i="17" s="1"/>
  <c r="P9" i="6"/>
  <c r="I9" i="17" s="1"/>
  <c r="M259" i="5"/>
  <c r="L259" i="5"/>
  <c r="K259" i="5"/>
  <c r="J259" i="5"/>
  <c r="N258" i="5"/>
  <c r="M258" i="5"/>
  <c r="L258" i="5"/>
  <c r="K258" i="5"/>
  <c r="J258" i="5"/>
  <c r="I258" i="5"/>
  <c r="H258" i="5"/>
  <c r="P257" i="5"/>
  <c r="H257" i="17" s="1"/>
  <c r="P256" i="5"/>
  <c r="P254" i="5"/>
  <c r="H254" i="17" s="1"/>
  <c r="P253" i="5"/>
  <c r="H253" i="17" s="1"/>
  <c r="P247" i="5"/>
  <c r="N247" i="5"/>
  <c r="M247" i="5"/>
  <c r="L247" i="5"/>
  <c r="K247" i="5"/>
  <c r="J247" i="5"/>
  <c r="I247" i="5"/>
  <c r="H247" i="5"/>
  <c r="G247" i="5"/>
  <c r="F247" i="5"/>
  <c r="D247" i="5"/>
  <c r="N242" i="5"/>
  <c r="M242" i="5"/>
  <c r="L242" i="5"/>
  <c r="K242" i="5"/>
  <c r="J242" i="5"/>
  <c r="I242" i="5"/>
  <c r="H242" i="5"/>
  <c r="G242" i="5"/>
  <c r="F242" i="5"/>
  <c r="E242" i="5"/>
  <c r="P241" i="5"/>
  <c r="H241" i="17" s="1"/>
  <c r="P240" i="5"/>
  <c r="H240" i="17" s="1"/>
  <c r="P239" i="5"/>
  <c r="H239" i="17" s="1"/>
  <c r="P238" i="5"/>
  <c r="H238" i="17" s="1"/>
  <c r="P235" i="5"/>
  <c r="H235" i="17" s="1"/>
  <c r="P234" i="5"/>
  <c r="H234" i="17" s="1"/>
  <c r="P233" i="5"/>
  <c r="H233" i="17" s="1"/>
  <c r="P232" i="5"/>
  <c r="H232" i="17" s="1"/>
  <c r="N229" i="5"/>
  <c r="M229" i="5"/>
  <c r="L229" i="5"/>
  <c r="K229" i="5"/>
  <c r="J229" i="5"/>
  <c r="I229" i="5"/>
  <c r="H229" i="5"/>
  <c r="G229" i="5"/>
  <c r="F229" i="5"/>
  <c r="E229" i="5"/>
  <c r="D229" i="5"/>
  <c r="P228" i="5"/>
  <c r="H228" i="17" s="1"/>
  <c r="P227" i="5"/>
  <c r="H227" i="17" s="1"/>
  <c r="P226" i="5"/>
  <c r="H226" i="17" s="1"/>
  <c r="P225" i="5"/>
  <c r="H225" i="17" s="1"/>
  <c r="N223" i="5"/>
  <c r="M223" i="5"/>
  <c r="L223" i="5"/>
  <c r="L230" i="5" s="1"/>
  <c r="K223" i="5"/>
  <c r="K230" i="5" s="1"/>
  <c r="J223" i="5"/>
  <c r="I223" i="5"/>
  <c r="I230" i="5" s="1"/>
  <c r="H223" i="5"/>
  <c r="G223" i="5"/>
  <c r="F223" i="5"/>
  <c r="E223" i="5"/>
  <c r="D223" i="5"/>
  <c r="P222" i="5"/>
  <c r="H222" i="17" s="1"/>
  <c r="P221" i="5"/>
  <c r="H221" i="17" s="1"/>
  <c r="P220" i="5"/>
  <c r="H220" i="17" s="1"/>
  <c r="P219" i="5"/>
  <c r="H219" i="17" s="1"/>
  <c r="N216" i="5"/>
  <c r="M216" i="5"/>
  <c r="L216" i="5"/>
  <c r="K216" i="5"/>
  <c r="J216" i="5"/>
  <c r="I216" i="5"/>
  <c r="H216" i="5"/>
  <c r="G216" i="5"/>
  <c r="F216" i="5"/>
  <c r="E216" i="5"/>
  <c r="D216" i="5"/>
  <c r="P215" i="5"/>
  <c r="H215" i="17" s="1"/>
  <c r="P214" i="5"/>
  <c r="H214" i="17" s="1"/>
  <c r="P213" i="5"/>
  <c r="H213" i="17" s="1"/>
  <c r="P212" i="5"/>
  <c r="H212" i="17" s="1"/>
  <c r="N210" i="5"/>
  <c r="M210" i="5"/>
  <c r="M217" i="5" s="1"/>
  <c r="L210" i="5"/>
  <c r="K210" i="5"/>
  <c r="J210" i="5"/>
  <c r="J217" i="5" s="1"/>
  <c r="I210" i="5"/>
  <c r="I251" i="5" s="1"/>
  <c r="H210" i="5"/>
  <c r="G210" i="5"/>
  <c r="F210" i="5"/>
  <c r="E210" i="5"/>
  <c r="D210" i="5"/>
  <c r="P209" i="5"/>
  <c r="H209" i="17" s="1"/>
  <c r="P208" i="5"/>
  <c r="H208" i="17" s="1"/>
  <c r="P207" i="5"/>
  <c r="H207" i="17" s="1"/>
  <c r="P206" i="5"/>
  <c r="H206" i="17" s="1"/>
  <c r="N204" i="5"/>
  <c r="M204" i="5"/>
  <c r="L204" i="5"/>
  <c r="K204" i="5"/>
  <c r="J204" i="5"/>
  <c r="I204" i="5"/>
  <c r="H204" i="5"/>
  <c r="G204" i="5"/>
  <c r="F204" i="5"/>
  <c r="E204" i="5"/>
  <c r="D204" i="5"/>
  <c r="P203" i="5"/>
  <c r="H203" i="17" s="1"/>
  <c r="P202" i="5"/>
  <c r="H202" i="17" s="1"/>
  <c r="P201" i="5"/>
  <c r="H201" i="17" s="1"/>
  <c r="P200" i="5"/>
  <c r="H200" i="17" s="1"/>
  <c r="P199" i="5"/>
  <c r="H199" i="17" s="1"/>
  <c r="P197" i="5"/>
  <c r="H197" i="17" s="1"/>
  <c r="P195" i="5"/>
  <c r="H195" i="17" s="1"/>
  <c r="P194" i="5"/>
  <c r="H194" i="17" s="1"/>
  <c r="N193" i="5"/>
  <c r="M193" i="5"/>
  <c r="L193" i="5"/>
  <c r="K193" i="5"/>
  <c r="J193" i="5"/>
  <c r="I193" i="5"/>
  <c r="H193" i="5"/>
  <c r="G193" i="5"/>
  <c r="F193" i="5"/>
  <c r="E193" i="5"/>
  <c r="D193" i="5"/>
  <c r="P192" i="5"/>
  <c r="H192" i="17" s="1"/>
  <c r="P191" i="5"/>
  <c r="H191" i="17" s="1"/>
  <c r="P190" i="5"/>
  <c r="H190" i="17" s="1"/>
  <c r="P189" i="5"/>
  <c r="H189" i="17" s="1"/>
  <c r="P187" i="5"/>
  <c r="H187" i="17" s="1"/>
  <c r="P186" i="5"/>
  <c r="H186" i="17" s="1"/>
  <c r="P185" i="5"/>
  <c r="H185" i="17" s="1"/>
  <c r="P184" i="5"/>
  <c r="H184" i="17" s="1"/>
  <c r="P182" i="5"/>
  <c r="H182" i="17" s="1"/>
  <c r="P181" i="5"/>
  <c r="H181" i="17" s="1"/>
  <c r="P180" i="5"/>
  <c r="H180" i="17" s="1"/>
  <c r="P179" i="5"/>
  <c r="H179" i="17" s="1"/>
  <c r="P178" i="5"/>
  <c r="H178" i="17" s="1"/>
  <c r="P177" i="5"/>
  <c r="H177" i="17" s="1"/>
  <c r="P175" i="5"/>
  <c r="H175" i="17" s="1"/>
  <c r="P174" i="5"/>
  <c r="H174" i="17" s="1"/>
  <c r="P173" i="5"/>
  <c r="H173" i="17" s="1"/>
  <c r="P172" i="5"/>
  <c r="H172" i="17" s="1"/>
  <c r="P171" i="5"/>
  <c r="H171" i="17" s="1"/>
  <c r="P170" i="5"/>
  <c r="H170" i="17" s="1"/>
  <c r="P169" i="5"/>
  <c r="H169" i="17" s="1"/>
  <c r="P168" i="5"/>
  <c r="H168" i="17" s="1"/>
  <c r="P167" i="5"/>
  <c r="H167" i="17" s="1"/>
  <c r="P165" i="5"/>
  <c r="H165" i="17" s="1"/>
  <c r="P164" i="5"/>
  <c r="H164" i="17" s="1"/>
  <c r="P163" i="5"/>
  <c r="H163" i="17" s="1"/>
  <c r="P162" i="5"/>
  <c r="H162" i="17" s="1"/>
  <c r="P161" i="5"/>
  <c r="H161" i="17" s="1"/>
  <c r="P160" i="5"/>
  <c r="H160" i="17" s="1"/>
  <c r="P159" i="5"/>
  <c r="H159" i="17" s="1"/>
  <c r="P158" i="5"/>
  <c r="H158" i="17" s="1"/>
  <c r="P157" i="5"/>
  <c r="H157" i="17" s="1"/>
  <c r="P156" i="5"/>
  <c r="H156" i="17" s="1"/>
  <c r="P155" i="5"/>
  <c r="H155" i="17" s="1"/>
  <c r="P154" i="5"/>
  <c r="H154" i="17" s="1"/>
  <c r="P153" i="5"/>
  <c r="H153" i="17" s="1"/>
  <c r="P143" i="5"/>
  <c r="H143" i="17" s="1"/>
  <c r="P142" i="5"/>
  <c r="H142" i="17" s="1"/>
  <c r="P141" i="5"/>
  <c r="H141" i="17" s="1"/>
  <c r="P140" i="5"/>
  <c r="H140" i="17" s="1"/>
  <c r="P138" i="5"/>
  <c r="H138" i="17" s="1"/>
  <c r="P137" i="5"/>
  <c r="H137" i="17" s="1"/>
  <c r="P136" i="5"/>
  <c r="H136" i="17" s="1"/>
  <c r="P135" i="5"/>
  <c r="H135" i="17" s="1"/>
  <c r="P133" i="5"/>
  <c r="H133" i="17" s="1"/>
  <c r="P132" i="5"/>
  <c r="H132" i="17" s="1"/>
  <c r="P131" i="5"/>
  <c r="H131" i="17" s="1"/>
  <c r="P130" i="5"/>
  <c r="H130" i="17" s="1"/>
  <c r="P128" i="5"/>
  <c r="H128" i="17" s="1"/>
  <c r="P127" i="5"/>
  <c r="H127" i="17" s="1"/>
  <c r="P126" i="5"/>
  <c r="H126" i="17" s="1"/>
  <c r="P125" i="5"/>
  <c r="H125" i="17" s="1"/>
  <c r="M123" i="5"/>
  <c r="L123" i="5"/>
  <c r="K123" i="5"/>
  <c r="J123" i="5"/>
  <c r="I123" i="5"/>
  <c r="H123" i="5"/>
  <c r="P122" i="5"/>
  <c r="N123" i="5"/>
  <c r="P121" i="5"/>
  <c r="H121" i="17" s="1"/>
  <c r="P117" i="5"/>
  <c r="L117" i="5"/>
  <c r="I117" i="5"/>
  <c r="N111" i="5"/>
  <c r="N118" i="5" s="1"/>
  <c r="M111" i="5"/>
  <c r="M118" i="5" s="1"/>
  <c r="L111" i="5"/>
  <c r="K111" i="5"/>
  <c r="K118" i="5" s="1"/>
  <c r="J111" i="5"/>
  <c r="J118" i="5" s="1"/>
  <c r="J119" i="5" s="1"/>
  <c r="I111" i="5"/>
  <c r="H111" i="5"/>
  <c r="H118" i="5" s="1"/>
  <c r="G111" i="5"/>
  <c r="G118" i="5" s="1"/>
  <c r="F111" i="5"/>
  <c r="E111" i="5"/>
  <c r="D111" i="5"/>
  <c r="P110" i="5"/>
  <c r="H110" i="17" s="1"/>
  <c r="P109" i="5"/>
  <c r="H109" i="17" s="1"/>
  <c r="P108" i="5"/>
  <c r="H108" i="17" s="1"/>
  <c r="P107" i="5"/>
  <c r="H107" i="17" s="1"/>
  <c r="G119" i="5"/>
  <c r="H104" i="17"/>
  <c r="H103" i="17"/>
  <c r="H102" i="17"/>
  <c r="H101" i="17"/>
  <c r="P98" i="5"/>
  <c r="H98" i="17" s="1"/>
  <c r="P90" i="5"/>
  <c r="P84" i="5"/>
  <c r="P78" i="5"/>
  <c r="P72" i="5"/>
  <c r="P69" i="5"/>
  <c r="H69" i="17" s="1"/>
  <c r="P68" i="5"/>
  <c r="H68" i="17" s="1"/>
  <c r="P67" i="5"/>
  <c r="H67" i="17" s="1"/>
  <c r="P66" i="5"/>
  <c r="H66" i="17" s="1"/>
  <c r="P63" i="5"/>
  <c r="H63" i="17" s="1"/>
  <c r="N62" i="5"/>
  <c r="M62" i="5"/>
  <c r="L62" i="5"/>
  <c r="J62" i="5"/>
  <c r="P61" i="5"/>
  <c r="H61" i="17" s="1"/>
  <c r="P56" i="5"/>
  <c r="H56" i="17" s="1"/>
  <c r="P55" i="5"/>
  <c r="H55" i="17" s="1"/>
  <c r="P54" i="5"/>
  <c r="H54" i="17" s="1"/>
  <c r="H52" i="13"/>
  <c r="H52" i="12"/>
  <c r="P51" i="5"/>
  <c r="H51" i="17" s="1"/>
  <c r="P50" i="5"/>
  <c r="H50" i="17" s="1"/>
  <c r="P49" i="5"/>
  <c r="H49" i="17" s="1"/>
  <c r="N47" i="5"/>
  <c r="M47" i="5"/>
  <c r="L47" i="5"/>
  <c r="K47" i="5"/>
  <c r="J47" i="5"/>
  <c r="I47" i="5"/>
  <c r="H47" i="5"/>
  <c r="P46" i="5"/>
  <c r="H46" i="17" s="1"/>
  <c r="N45" i="5"/>
  <c r="M45" i="5"/>
  <c r="L45" i="5"/>
  <c r="P44" i="5"/>
  <c r="H44" i="17" s="1"/>
  <c r="H40" i="5"/>
  <c r="N40" i="5"/>
  <c r="M40" i="5"/>
  <c r="L40" i="5"/>
  <c r="K40" i="5"/>
  <c r="J40" i="5"/>
  <c r="I40" i="5"/>
  <c r="N38" i="5"/>
  <c r="M38" i="5"/>
  <c r="L38" i="5"/>
  <c r="J38" i="5"/>
  <c r="I38" i="5"/>
  <c r="H38" i="5"/>
  <c r="L41" i="5"/>
  <c r="N34" i="5"/>
  <c r="M34" i="5"/>
  <c r="L34" i="5"/>
  <c r="K34" i="5"/>
  <c r="J34" i="5"/>
  <c r="I34" i="5"/>
  <c r="H34" i="5"/>
  <c r="P33" i="5"/>
  <c r="H33" i="17" s="1"/>
  <c r="N32" i="5"/>
  <c r="M32" i="5"/>
  <c r="L32" i="5"/>
  <c r="K32" i="5"/>
  <c r="J32" i="5"/>
  <c r="I32" i="5"/>
  <c r="H32" i="5"/>
  <c r="P31" i="5"/>
  <c r="H31" i="17" s="1"/>
  <c r="N30" i="5"/>
  <c r="M30" i="5"/>
  <c r="L30" i="5"/>
  <c r="P29" i="5"/>
  <c r="H29" i="17" s="1"/>
  <c r="N21" i="5"/>
  <c r="M21" i="5"/>
  <c r="L21" i="5"/>
  <c r="K21" i="5"/>
  <c r="J21" i="5"/>
  <c r="I21" i="5"/>
  <c r="H21" i="5"/>
  <c r="G21" i="5"/>
  <c r="F21" i="5"/>
  <c r="E21" i="5"/>
  <c r="D21" i="5"/>
  <c r="P20" i="5"/>
  <c r="P19" i="5"/>
  <c r="P18" i="5"/>
  <c r="P17" i="5"/>
  <c r="N15" i="5"/>
  <c r="N22" i="5" s="1"/>
  <c r="N24" i="5" s="1"/>
  <c r="N25" i="5" s="1"/>
  <c r="M15" i="5"/>
  <c r="M22" i="5" s="1"/>
  <c r="M24" i="5" s="1"/>
  <c r="M25" i="5" s="1"/>
  <c r="L15" i="5"/>
  <c r="K15" i="5"/>
  <c r="J15" i="5"/>
  <c r="I15" i="5"/>
  <c r="H15" i="5"/>
  <c r="H22" i="5" s="1"/>
  <c r="H24" i="5" s="1"/>
  <c r="H25" i="5" s="1"/>
  <c r="G15" i="5"/>
  <c r="F15" i="5"/>
  <c r="E15" i="5"/>
  <c r="D15" i="5"/>
  <c r="P14" i="5"/>
  <c r="H14" i="17" s="1"/>
  <c r="P13" i="5"/>
  <c r="H13" i="17" s="1"/>
  <c r="P12" i="5"/>
  <c r="H12" i="17" s="1"/>
  <c r="P11" i="5"/>
  <c r="H11" i="17" s="1"/>
  <c r="P9" i="5"/>
  <c r="M259" i="4"/>
  <c r="L259" i="4"/>
  <c r="K259" i="4"/>
  <c r="L258" i="4"/>
  <c r="K258" i="4"/>
  <c r="J258" i="4"/>
  <c r="I258" i="4"/>
  <c r="P257" i="4"/>
  <c r="G257" i="17" s="1"/>
  <c r="P254" i="4"/>
  <c r="G254" i="17" s="1"/>
  <c r="P253" i="4"/>
  <c r="G253" i="17" s="1"/>
  <c r="P247" i="4"/>
  <c r="N247" i="4"/>
  <c r="M247" i="4"/>
  <c r="L247" i="4"/>
  <c r="K247" i="4"/>
  <c r="J247" i="4"/>
  <c r="I247" i="4"/>
  <c r="H247" i="4"/>
  <c r="D247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G241" i="17" s="1"/>
  <c r="P240" i="4"/>
  <c r="G240" i="17" s="1"/>
  <c r="P239" i="4"/>
  <c r="G239" i="17" s="1"/>
  <c r="P238" i="4"/>
  <c r="G238" i="17" s="1"/>
  <c r="P235" i="4"/>
  <c r="G235" i="17" s="1"/>
  <c r="P234" i="4"/>
  <c r="G234" i="17" s="1"/>
  <c r="P233" i="4"/>
  <c r="G233" i="17" s="1"/>
  <c r="P232" i="4"/>
  <c r="G232" i="17" s="1"/>
  <c r="N229" i="4"/>
  <c r="M229" i="4"/>
  <c r="L229" i="4"/>
  <c r="K229" i="4"/>
  <c r="J229" i="4"/>
  <c r="I229" i="4"/>
  <c r="H229" i="4"/>
  <c r="G229" i="4"/>
  <c r="F229" i="4"/>
  <c r="E229" i="4"/>
  <c r="D229" i="4"/>
  <c r="P228" i="4"/>
  <c r="G228" i="17" s="1"/>
  <c r="P227" i="4"/>
  <c r="G227" i="17" s="1"/>
  <c r="P226" i="4"/>
  <c r="G226" i="17" s="1"/>
  <c r="P225" i="4"/>
  <c r="G225" i="17" s="1"/>
  <c r="N223" i="4"/>
  <c r="N230" i="4" s="1"/>
  <c r="M223" i="4"/>
  <c r="L223" i="4"/>
  <c r="K223" i="4"/>
  <c r="K230" i="4" s="1"/>
  <c r="J223" i="4"/>
  <c r="I223" i="4"/>
  <c r="H223" i="4"/>
  <c r="G223" i="4"/>
  <c r="F223" i="4"/>
  <c r="F230" i="4" s="1"/>
  <c r="E223" i="4"/>
  <c r="D223" i="4"/>
  <c r="P222" i="4"/>
  <c r="G222" i="17" s="1"/>
  <c r="P221" i="4"/>
  <c r="G221" i="17" s="1"/>
  <c r="P220" i="4"/>
  <c r="G220" i="17" s="1"/>
  <c r="P219" i="4"/>
  <c r="G219" i="17" s="1"/>
  <c r="N216" i="4"/>
  <c r="M216" i="4"/>
  <c r="L216" i="4"/>
  <c r="K216" i="4"/>
  <c r="J216" i="4"/>
  <c r="I216" i="4"/>
  <c r="G216" i="4"/>
  <c r="F216" i="4"/>
  <c r="E216" i="4"/>
  <c r="D216" i="4"/>
  <c r="P215" i="4"/>
  <c r="G215" i="17" s="1"/>
  <c r="P214" i="4"/>
  <c r="G214" i="17" s="1"/>
  <c r="P213" i="4"/>
  <c r="G213" i="17" s="1"/>
  <c r="P212" i="4"/>
  <c r="G212" i="17" s="1"/>
  <c r="N210" i="4"/>
  <c r="M210" i="4"/>
  <c r="L210" i="4"/>
  <c r="K210" i="4"/>
  <c r="J210" i="4"/>
  <c r="I210" i="4"/>
  <c r="H210" i="4"/>
  <c r="G210" i="4"/>
  <c r="F210" i="4"/>
  <c r="E210" i="4"/>
  <c r="D210" i="4"/>
  <c r="P209" i="4"/>
  <c r="G209" i="17" s="1"/>
  <c r="P208" i="4"/>
  <c r="G208" i="17" s="1"/>
  <c r="P207" i="4"/>
  <c r="G207" i="17" s="1"/>
  <c r="P206" i="4"/>
  <c r="G206" i="17" s="1"/>
  <c r="N204" i="4"/>
  <c r="M204" i="4"/>
  <c r="L204" i="4"/>
  <c r="K204" i="4"/>
  <c r="J204" i="4"/>
  <c r="I204" i="4"/>
  <c r="H204" i="4"/>
  <c r="G204" i="4"/>
  <c r="F204" i="4"/>
  <c r="E204" i="4"/>
  <c r="D204" i="4"/>
  <c r="P203" i="4"/>
  <c r="G203" i="17" s="1"/>
  <c r="P202" i="4"/>
  <c r="G202" i="17" s="1"/>
  <c r="P201" i="4"/>
  <c r="G201" i="17" s="1"/>
  <c r="P200" i="4"/>
  <c r="G200" i="17" s="1"/>
  <c r="P199" i="4"/>
  <c r="G199" i="17" s="1"/>
  <c r="P197" i="4"/>
  <c r="G197" i="17" s="1"/>
  <c r="P195" i="4"/>
  <c r="G195" i="17" s="1"/>
  <c r="P194" i="4"/>
  <c r="G194" i="17" s="1"/>
  <c r="N193" i="4"/>
  <c r="M193" i="4"/>
  <c r="L193" i="4"/>
  <c r="K193" i="4"/>
  <c r="J193" i="4"/>
  <c r="I193" i="4"/>
  <c r="H193" i="4"/>
  <c r="G193" i="4"/>
  <c r="F193" i="4"/>
  <c r="E193" i="4"/>
  <c r="P192" i="4"/>
  <c r="G192" i="17" s="1"/>
  <c r="P191" i="4"/>
  <c r="G191" i="17" s="1"/>
  <c r="P190" i="4"/>
  <c r="G190" i="17" s="1"/>
  <c r="P189" i="4"/>
  <c r="G189" i="17" s="1"/>
  <c r="P187" i="4"/>
  <c r="G187" i="17" s="1"/>
  <c r="P186" i="4"/>
  <c r="G186" i="17" s="1"/>
  <c r="P185" i="4"/>
  <c r="G185" i="17" s="1"/>
  <c r="P184" i="4"/>
  <c r="G184" i="17" s="1"/>
  <c r="P182" i="4"/>
  <c r="G182" i="17" s="1"/>
  <c r="P181" i="4"/>
  <c r="G181" i="17" s="1"/>
  <c r="P180" i="4"/>
  <c r="G180" i="17" s="1"/>
  <c r="P179" i="4"/>
  <c r="G179" i="17" s="1"/>
  <c r="P178" i="4"/>
  <c r="G178" i="17" s="1"/>
  <c r="P177" i="4"/>
  <c r="G177" i="17" s="1"/>
  <c r="P175" i="4"/>
  <c r="G175" i="17" s="1"/>
  <c r="P174" i="4"/>
  <c r="G174" i="17" s="1"/>
  <c r="P173" i="4"/>
  <c r="G173" i="17" s="1"/>
  <c r="P172" i="4"/>
  <c r="G172" i="17" s="1"/>
  <c r="P171" i="4"/>
  <c r="G171" i="17" s="1"/>
  <c r="P170" i="4"/>
  <c r="G170" i="17" s="1"/>
  <c r="P169" i="4"/>
  <c r="G169" i="17" s="1"/>
  <c r="P168" i="4"/>
  <c r="G168" i="17" s="1"/>
  <c r="P167" i="4"/>
  <c r="G167" i="17" s="1"/>
  <c r="P165" i="4"/>
  <c r="G165" i="17" s="1"/>
  <c r="P164" i="4"/>
  <c r="G164" i="17" s="1"/>
  <c r="P163" i="4"/>
  <c r="G163" i="17" s="1"/>
  <c r="P162" i="4"/>
  <c r="G162" i="17" s="1"/>
  <c r="P161" i="4"/>
  <c r="G161" i="17" s="1"/>
  <c r="P160" i="4"/>
  <c r="G160" i="17" s="1"/>
  <c r="P159" i="4"/>
  <c r="G159" i="17" s="1"/>
  <c r="P158" i="4"/>
  <c r="G158" i="17" s="1"/>
  <c r="P157" i="4"/>
  <c r="G157" i="17" s="1"/>
  <c r="P156" i="4"/>
  <c r="G156" i="17" s="1"/>
  <c r="P155" i="4"/>
  <c r="G155" i="17" s="1"/>
  <c r="P154" i="4"/>
  <c r="G154" i="17" s="1"/>
  <c r="P153" i="4"/>
  <c r="G153" i="17" s="1"/>
  <c r="P143" i="4"/>
  <c r="G143" i="17" s="1"/>
  <c r="P142" i="4"/>
  <c r="G142" i="17" s="1"/>
  <c r="P141" i="4"/>
  <c r="G141" i="17" s="1"/>
  <c r="P140" i="4"/>
  <c r="G140" i="17" s="1"/>
  <c r="P138" i="4"/>
  <c r="G138" i="17" s="1"/>
  <c r="P137" i="4"/>
  <c r="G137" i="17" s="1"/>
  <c r="P136" i="4"/>
  <c r="G136" i="17" s="1"/>
  <c r="P135" i="4"/>
  <c r="G135" i="17" s="1"/>
  <c r="P133" i="4"/>
  <c r="G133" i="17" s="1"/>
  <c r="P132" i="4"/>
  <c r="G132" i="17" s="1"/>
  <c r="P131" i="4"/>
  <c r="G131" i="17" s="1"/>
  <c r="P130" i="4"/>
  <c r="G130" i="17" s="1"/>
  <c r="P128" i="4"/>
  <c r="G128" i="17" s="1"/>
  <c r="P127" i="4"/>
  <c r="G127" i="17" s="1"/>
  <c r="P126" i="4"/>
  <c r="G126" i="17" s="1"/>
  <c r="P125" i="4"/>
  <c r="G125" i="17" s="1"/>
  <c r="M123" i="4"/>
  <c r="L123" i="4"/>
  <c r="K123" i="4"/>
  <c r="J123" i="4"/>
  <c r="I123" i="4"/>
  <c r="H123" i="4"/>
  <c r="N123" i="4"/>
  <c r="P121" i="4"/>
  <c r="G121" i="17" s="1"/>
  <c r="P117" i="4"/>
  <c r="N117" i="4"/>
  <c r="L117" i="4"/>
  <c r="F117" i="4"/>
  <c r="E117" i="4"/>
  <c r="D117" i="4"/>
  <c r="N111" i="4"/>
  <c r="M111" i="4"/>
  <c r="M118" i="4" s="1"/>
  <c r="L111" i="4"/>
  <c r="L118" i="4" s="1"/>
  <c r="K111" i="4"/>
  <c r="K118" i="4" s="1"/>
  <c r="J111" i="4"/>
  <c r="J118" i="4" s="1"/>
  <c r="I111" i="4"/>
  <c r="I118" i="4" s="1"/>
  <c r="H111" i="4"/>
  <c r="H118" i="4" s="1"/>
  <c r="G111" i="4"/>
  <c r="G118" i="4" s="1"/>
  <c r="F111" i="4"/>
  <c r="E111" i="4"/>
  <c r="D111" i="4"/>
  <c r="P110" i="4"/>
  <c r="G110" i="17" s="1"/>
  <c r="P109" i="4"/>
  <c r="G109" i="17" s="1"/>
  <c r="P108" i="4"/>
  <c r="G108" i="17" s="1"/>
  <c r="P107" i="4"/>
  <c r="G107" i="17" s="1"/>
  <c r="N105" i="4"/>
  <c r="M105" i="4"/>
  <c r="L105" i="4"/>
  <c r="K105" i="4"/>
  <c r="J105" i="4"/>
  <c r="I105" i="4"/>
  <c r="H105" i="4"/>
  <c r="H119" i="4" s="1"/>
  <c r="G105" i="4"/>
  <c r="F105" i="4"/>
  <c r="E105" i="4"/>
  <c r="D105" i="4"/>
  <c r="P104" i="4"/>
  <c r="G104" i="17" s="1"/>
  <c r="P103" i="4"/>
  <c r="G103" i="17" s="1"/>
  <c r="P102" i="4"/>
  <c r="G102" i="17" s="1"/>
  <c r="P101" i="4"/>
  <c r="G101" i="17" s="1"/>
  <c r="P98" i="4"/>
  <c r="G98" i="17" s="1"/>
  <c r="G255" i="13"/>
  <c r="G259" i="13" s="1"/>
  <c r="P90" i="4"/>
  <c r="P87" i="4"/>
  <c r="G87" i="17" s="1"/>
  <c r="G88" i="17" s="1"/>
  <c r="P85" i="4"/>
  <c r="G85" i="17" s="1"/>
  <c r="P84" i="4"/>
  <c r="P78" i="4"/>
  <c r="G90" i="17" s="1"/>
  <c r="N76" i="4"/>
  <c r="N91" i="4"/>
  <c r="N256" i="4" s="1"/>
  <c r="P72" i="4"/>
  <c r="P69" i="4"/>
  <c r="G69" i="17" s="1"/>
  <c r="P68" i="4"/>
  <c r="G68" i="17" s="1"/>
  <c r="P67" i="4"/>
  <c r="G67" i="17" s="1"/>
  <c r="P66" i="4"/>
  <c r="P63" i="4"/>
  <c r="G63" i="17" s="1"/>
  <c r="N62" i="4"/>
  <c r="M62" i="4"/>
  <c r="L62" i="4"/>
  <c r="J62" i="4"/>
  <c r="I62" i="4"/>
  <c r="P61" i="4"/>
  <c r="G61" i="17" s="1"/>
  <c r="P56" i="4"/>
  <c r="G56" i="17" s="1"/>
  <c r="P55" i="4"/>
  <c r="G55" i="17" s="1"/>
  <c r="P54" i="4"/>
  <c r="G54" i="17" s="1"/>
  <c r="G52" i="15"/>
  <c r="G52" i="13"/>
  <c r="P51" i="4"/>
  <c r="G51" i="17" s="1"/>
  <c r="P50" i="4"/>
  <c r="G50" i="17" s="1"/>
  <c r="P49" i="4"/>
  <c r="G49" i="17" s="1"/>
  <c r="N47" i="4"/>
  <c r="M47" i="4"/>
  <c r="L47" i="4"/>
  <c r="K47" i="4"/>
  <c r="J47" i="4"/>
  <c r="I47" i="4"/>
  <c r="H47" i="4"/>
  <c r="P46" i="4"/>
  <c r="G46" i="17" s="1"/>
  <c r="N45" i="4"/>
  <c r="K45" i="4"/>
  <c r="P44" i="4"/>
  <c r="G44" i="17" s="1"/>
  <c r="N40" i="4"/>
  <c r="M40" i="4"/>
  <c r="L40" i="4"/>
  <c r="K40" i="4"/>
  <c r="J40" i="4"/>
  <c r="I40" i="4"/>
  <c r="H40" i="4"/>
  <c r="N38" i="4"/>
  <c r="M38" i="4"/>
  <c r="L38" i="4"/>
  <c r="K38" i="4"/>
  <c r="J38" i="4"/>
  <c r="I38" i="4"/>
  <c r="H38" i="4"/>
  <c r="N34" i="4"/>
  <c r="M34" i="4"/>
  <c r="L34" i="4"/>
  <c r="K34" i="4"/>
  <c r="J34" i="4"/>
  <c r="I34" i="4"/>
  <c r="H34" i="4"/>
  <c r="P33" i="4"/>
  <c r="G33" i="17" s="1"/>
  <c r="N32" i="4"/>
  <c r="M32" i="4"/>
  <c r="L32" i="4"/>
  <c r="K32" i="4"/>
  <c r="J32" i="4"/>
  <c r="I32" i="4"/>
  <c r="H32" i="4"/>
  <c r="P31" i="4"/>
  <c r="G31" i="17" s="1"/>
  <c r="N30" i="4"/>
  <c r="M30" i="4"/>
  <c r="P29" i="4"/>
  <c r="G29" i="17" s="1"/>
  <c r="G41" i="4"/>
  <c r="G58" i="4" s="1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N15" i="4"/>
  <c r="M15" i="4"/>
  <c r="L15" i="4"/>
  <c r="K15" i="4"/>
  <c r="J15" i="4"/>
  <c r="I15" i="4"/>
  <c r="H15" i="4"/>
  <c r="H22" i="4" s="1"/>
  <c r="H24" i="4" s="1"/>
  <c r="H25" i="4" s="1"/>
  <c r="G15" i="4"/>
  <c r="G40" i="4" s="1"/>
  <c r="F15" i="4"/>
  <c r="F40" i="4" s="1"/>
  <c r="E15" i="4"/>
  <c r="E40" i="4" s="1"/>
  <c r="D15" i="4"/>
  <c r="D40" i="4" s="1"/>
  <c r="P14" i="4"/>
  <c r="G14" i="17" s="1"/>
  <c r="P13" i="4"/>
  <c r="G13" i="17" s="1"/>
  <c r="P12" i="4"/>
  <c r="G12" i="17" s="1"/>
  <c r="P11" i="4"/>
  <c r="G11" i="17" s="1"/>
  <c r="P9" i="4"/>
  <c r="M259" i="3"/>
  <c r="L259" i="3"/>
  <c r="I259" i="3"/>
  <c r="N258" i="3"/>
  <c r="M258" i="3"/>
  <c r="L258" i="3"/>
  <c r="K258" i="3"/>
  <c r="J258" i="3"/>
  <c r="I258" i="3"/>
  <c r="P257" i="3"/>
  <c r="F257" i="17" s="1"/>
  <c r="P256" i="3"/>
  <c r="P254" i="3"/>
  <c r="F254" i="17" s="1"/>
  <c r="P253" i="3"/>
  <c r="F253" i="17" s="1"/>
  <c r="P247" i="3"/>
  <c r="N247" i="3"/>
  <c r="M247" i="3"/>
  <c r="L247" i="3"/>
  <c r="K247" i="3"/>
  <c r="J247" i="3"/>
  <c r="I247" i="3"/>
  <c r="H247" i="3"/>
  <c r="G247" i="3"/>
  <c r="F247" i="3"/>
  <c r="D247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F241" i="17" s="1"/>
  <c r="P240" i="3"/>
  <c r="F240" i="17" s="1"/>
  <c r="P239" i="3"/>
  <c r="F239" i="17" s="1"/>
  <c r="P238" i="3"/>
  <c r="F238" i="17" s="1"/>
  <c r="P235" i="3"/>
  <c r="F235" i="17" s="1"/>
  <c r="P234" i="3"/>
  <c r="F234" i="17" s="1"/>
  <c r="P233" i="3"/>
  <c r="F233" i="17" s="1"/>
  <c r="P232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F228" i="17" s="1"/>
  <c r="P227" i="3"/>
  <c r="F227" i="17" s="1"/>
  <c r="P226" i="3"/>
  <c r="F226" i="17" s="1"/>
  <c r="P225" i="3"/>
  <c r="F225" i="17" s="1"/>
  <c r="N223" i="3"/>
  <c r="M223" i="3"/>
  <c r="L223" i="3"/>
  <c r="K223" i="3"/>
  <c r="K230" i="3" s="1"/>
  <c r="J223" i="3"/>
  <c r="I223" i="3"/>
  <c r="I230" i="3" s="1"/>
  <c r="H223" i="3"/>
  <c r="H230" i="3" s="1"/>
  <c r="G223" i="3"/>
  <c r="G230" i="3" s="1"/>
  <c r="F223" i="3"/>
  <c r="E223" i="3"/>
  <c r="D223" i="3"/>
  <c r="P222" i="3"/>
  <c r="F222" i="17" s="1"/>
  <c r="P221" i="3"/>
  <c r="F221" i="17" s="1"/>
  <c r="P220" i="3"/>
  <c r="F220" i="17" s="1"/>
  <c r="P219" i="3"/>
  <c r="F219" i="17" s="1"/>
  <c r="N216" i="3"/>
  <c r="M216" i="3"/>
  <c r="L216" i="3"/>
  <c r="K216" i="3"/>
  <c r="J216" i="3"/>
  <c r="I216" i="3"/>
  <c r="H216" i="3"/>
  <c r="G216" i="3"/>
  <c r="F216" i="3"/>
  <c r="E216" i="3"/>
  <c r="D216" i="3"/>
  <c r="P215" i="3"/>
  <c r="F215" i="17" s="1"/>
  <c r="P214" i="3"/>
  <c r="F214" i="17" s="1"/>
  <c r="P213" i="3"/>
  <c r="F213" i="17" s="1"/>
  <c r="P212" i="3"/>
  <c r="F212" i="17" s="1"/>
  <c r="N210" i="3"/>
  <c r="M210" i="3"/>
  <c r="M217" i="3" s="1"/>
  <c r="L210" i="3"/>
  <c r="K210" i="3"/>
  <c r="J210" i="3"/>
  <c r="J217" i="3" s="1"/>
  <c r="I210" i="3"/>
  <c r="H210" i="3"/>
  <c r="G210" i="3"/>
  <c r="F210" i="3"/>
  <c r="E210" i="3"/>
  <c r="D210" i="3"/>
  <c r="P209" i="3"/>
  <c r="F209" i="17" s="1"/>
  <c r="P208" i="3"/>
  <c r="F208" i="17" s="1"/>
  <c r="P207" i="3"/>
  <c r="F207" i="17" s="1"/>
  <c r="P206" i="3"/>
  <c r="F206" i="17" s="1"/>
  <c r="N204" i="3"/>
  <c r="M204" i="3"/>
  <c r="L204" i="3"/>
  <c r="K204" i="3"/>
  <c r="J204" i="3"/>
  <c r="I204" i="3"/>
  <c r="H204" i="3"/>
  <c r="G204" i="3"/>
  <c r="F204" i="3"/>
  <c r="E204" i="3"/>
  <c r="D204" i="3"/>
  <c r="P203" i="3"/>
  <c r="F203" i="17" s="1"/>
  <c r="P202" i="3"/>
  <c r="F202" i="17" s="1"/>
  <c r="P201" i="3"/>
  <c r="F201" i="17" s="1"/>
  <c r="P200" i="3"/>
  <c r="F200" i="17" s="1"/>
  <c r="P199" i="3"/>
  <c r="F199" i="17" s="1"/>
  <c r="P197" i="3"/>
  <c r="F197" i="17" s="1"/>
  <c r="P195" i="3"/>
  <c r="F195" i="17" s="1"/>
  <c r="P194" i="3"/>
  <c r="F194" i="17" s="1"/>
  <c r="N193" i="3"/>
  <c r="M193" i="3"/>
  <c r="L193" i="3"/>
  <c r="K193" i="3"/>
  <c r="J193" i="3"/>
  <c r="I193" i="3"/>
  <c r="H193" i="3"/>
  <c r="G193" i="3"/>
  <c r="F193" i="3"/>
  <c r="E193" i="3"/>
  <c r="P192" i="3"/>
  <c r="F192" i="17" s="1"/>
  <c r="P191" i="3"/>
  <c r="F191" i="17" s="1"/>
  <c r="P190" i="3"/>
  <c r="F190" i="17" s="1"/>
  <c r="P189" i="3"/>
  <c r="F189" i="17" s="1"/>
  <c r="P187" i="3"/>
  <c r="F187" i="17" s="1"/>
  <c r="P186" i="3"/>
  <c r="F186" i="17" s="1"/>
  <c r="P185" i="3"/>
  <c r="F185" i="17" s="1"/>
  <c r="P184" i="3"/>
  <c r="F184" i="17" s="1"/>
  <c r="P182" i="3"/>
  <c r="F182" i="17" s="1"/>
  <c r="P181" i="3"/>
  <c r="F181" i="17" s="1"/>
  <c r="P180" i="3"/>
  <c r="F180" i="17" s="1"/>
  <c r="P179" i="3"/>
  <c r="F179" i="17" s="1"/>
  <c r="P178" i="3"/>
  <c r="F178" i="17" s="1"/>
  <c r="P177" i="3"/>
  <c r="F177" i="17" s="1"/>
  <c r="P175" i="3"/>
  <c r="F175" i="17" s="1"/>
  <c r="P174" i="3"/>
  <c r="F174" i="17" s="1"/>
  <c r="P173" i="3"/>
  <c r="F173" i="17" s="1"/>
  <c r="P172" i="3"/>
  <c r="F172" i="17" s="1"/>
  <c r="P171" i="3"/>
  <c r="F171" i="17" s="1"/>
  <c r="P170" i="3"/>
  <c r="F170" i="17" s="1"/>
  <c r="P169" i="3"/>
  <c r="F169" i="17" s="1"/>
  <c r="P168" i="3"/>
  <c r="F168" i="17" s="1"/>
  <c r="P167" i="3"/>
  <c r="F167" i="17" s="1"/>
  <c r="P165" i="3"/>
  <c r="F165" i="17" s="1"/>
  <c r="P164" i="3"/>
  <c r="F164" i="17" s="1"/>
  <c r="P163" i="3"/>
  <c r="F163" i="17" s="1"/>
  <c r="P162" i="3"/>
  <c r="F162" i="17" s="1"/>
  <c r="P161" i="3"/>
  <c r="F161" i="17" s="1"/>
  <c r="P160" i="3"/>
  <c r="F160" i="17" s="1"/>
  <c r="P159" i="3"/>
  <c r="F159" i="17" s="1"/>
  <c r="P158" i="3"/>
  <c r="F158" i="17" s="1"/>
  <c r="P157" i="3"/>
  <c r="F157" i="17" s="1"/>
  <c r="P156" i="3"/>
  <c r="F156" i="17" s="1"/>
  <c r="P155" i="3"/>
  <c r="F155" i="17" s="1"/>
  <c r="P154" i="3"/>
  <c r="F154" i="17" s="1"/>
  <c r="P153" i="3"/>
  <c r="F153" i="17" s="1"/>
  <c r="P143" i="3"/>
  <c r="F143" i="17" s="1"/>
  <c r="P142" i="3"/>
  <c r="F142" i="17" s="1"/>
  <c r="P141" i="3"/>
  <c r="F141" i="17" s="1"/>
  <c r="P140" i="3"/>
  <c r="F140" i="17" s="1"/>
  <c r="P138" i="3"/>
  <c r="F138" i="17" s="1"/>
  <c r="P137" i="3"/>
  <c r="F137" i="17" s="1"/>
  <c r="P136" i="3"/>
  <c r="F136" i="17" s="1"/>
  <c r="P135" i="3"/>
  <c r="F135" i="17" s="1"/>
  <c r="P133" i="3"/>
  <c r="F133" i="17" s="1"/>
  <c r="P132" i="3"/>
  <c r="F132" i="17" s="1"/>
  <c r="P131" i="3"/>
  <c r="F131" i="17" s="1"/>
  <c r="P130" i="3"/>
  <c r="F130" i="17" s="1"/>
  <c r="P128" i="3"/>
  <c r="F128" i="17" s="1"/>
  <c r="P127" i="3"/>
  <c r="F127" i="17" s="1"/>
  <c r="P126" i="3"/>
  <c r="F126" i="17" s="1"/>
  <c r="P125" i="3"/>
  <c r="F125" i="17" s="1"/>
  <c r="M123" i="3"/>
  <c r="L123" i="3"/>
  <c r="K123" i="3"/>
  <c r="J123" i="3"/>
  <c r="I123" i="3"/>
  <c r="H123" i="3"/>
  <c r="G123" i="3"/>
  <c r="F123" i="3"/>
  <c r="E123" i="3"/>
  <c r="D123" i="3"/>
  <c r="P122" i="3"/>
  <c r="N123" i="3"/>
  <c r="P121" i="3"/>
  <c r="F121" i="17" s="1"/>
  <c r="P117" i="3"/>
  <c r="N111" i="3"/>
  <c r="N118" i="3" s="1"/>
  <c r="M111" i="3"/>
  <c r="M118" i="3" s="1"/>
  <c r="L111" i="3"/>
  <c r="L118" i="3" s="1"/>
  <c r="K111" i="3"/>
  <c r="K118" i="3" s="1"/>
  <c r="J111" i="3"/>
  <c r="J118" i="3" s="1"/>
  <c r="I111" i="3"/>
  <c r="I118" i="3" s="1"/>
  <c r="H111" i="3"/>
  <c r="H118" i="3" s="1"/>
  <c r="G111" i="3"/>
  <c r="G118" i="3" s="1"/>
  <c r="F111" i="3"/>
  <c r="E111" i="3"/>
  <c r="P110" i="3"/>
  <c r="F110" i="17" s="1"/>
  <c r="P109" i="3"/>
  <c r="F109" i="17" s="1"/>
  <c r="P108" i="3"/>
  <c r="F108" i="17" s="1"/>
  <c r="P107" i="3"/>
  <c r="F107" i="17" s="1"/>
  <c r="P105" i="3"/>
  <c r="N105" i="3"/>
  <c r="M105" i="3"/>
  <c r="L105" i="3"/>
  <c r="K105" i="3"/>
  <c r="J105" i="3"/>
  <c r="I105" i="3"/>
  <c r="H105" i="3"/>
  <c r="G105" i="3"/>
  <c r="F105" i="3"/>
  <c r="E105" i="3"/>
  <c r="D105" i="3"/>
  <c r="P104" i="3"/>
  <c r="F104" i="17" s="1"/>
  <c r="P103" i="3"/>
  <c r="F103" i="17" s="1"/>
  <c r="P102" i="3"/>
  <c r="F102" i="17" s="1"/>
  <c r="P101" i="3"/>
  <c r="F101" i="17" s="1"/>
  <c r="P98" i="3"/>
  <c r="F98" i="17" s="1"/>
  <c r="P90" i="3"/>
  <c r="P85" i="3"/>
  <c r="F85" i="17" s="1"/>
  <c r="P84" i="3"/>
  <c r="P81" i="3"/>
  <c r="P79" i="3"/>
  <c r="F79" i="17" s="1"/>
  <c r="P78" i="3"/>
  <c r="P91" i="3"/>
  <c r="P72" i="3"/>
  <c r="P69" i="3"/>
  <c r="F69" i="17" s="1"/>
  <c r="P68" i="3"/>
  <c r="F68" i="17" s="1"/>
  <c r="P67" i="3"/>
  <c r="F67" i="17" s="1"/>
  <c r="P66" i="3"/>
  <c r="P63" i="3"/>
  <c r="F63" i="17" s="1"/>
  <c r="N62" i="3"/>
  <c r="M62" i="3"/>
  <c r="L62" i="3"/>
  <c r="K62" i="3"/>
  <c r="J62" i="3"/>
  <c r="I62" i="3"/>
  <c r="P61" i="3"/>
  <c r="F61" i="17" s="1"/>
  <c r="P56" i="3"/>
  <c r="F56" i="17" s="1"/>
  <c r="P55" i="3"/>
  <c r="F55" i="17" s="1"/>
  <c r="P54" i="3"/>
  <c r="F54" i="17" s="1"/>
  <c r="F52" i="15"/>
  <c r="F52" i="12"/>
  <c r="P51" i="3"/>
  <c r="F51" i="17" s="1"/>
  <c r="P50" i="3"/>
  <c r="F50" i="17" s="1"/>
  <c r="P49" i="3"/>
  <c r="F49" i="17" s="1"/>
  <c r="N47" i="3"/>
  <c r="M47" i="3"/>
  <c r="L47" i="3"/>
  <c r="K47" i="3"/>
  <c r="J47" i="3"/>
  <c r="I47" i="3"/>
  <c r="H47" i="3"/>
  <c r="P46" i="3"/>
  <c r="F46" i="17" s="1"/>
  <c r="N45" i="3"/>
  <c r="M45" i="3"/>
  <c r="L45" i="3"/>
  <c r="P44" i="3"/>
  <c r="F44" i="17" s="1"/>
  <c r="N40" i="3"/>
  <c r="M40" i="3"/>
  <c r="L40" i="3"/>
  <c r="K40" i="3"/>
  <c r="J40" i="3"/>
  <c r="I40" i="3"/>
  <c r="H40" i="3"/>
  <c r="N38" i="3"/>
  <c r="M38" i="3"/>
  <c r="L38" i="3"/>
  <c r="K38" i="3"/>
  <c r="J38" i="3"/>
  <c r="I38" i="3"/>
  <c r="N34" i="3"/>
  <c r="M34" i="3"/>
  <c r="L34" i="3"/>
  <c r="K34" i="3"/>
  <c r="J34" i="3"/>
  <c r="I34" i="3"/>
  <c r="H34" i="3"/>
  <c r="P33" i="3"/>
  <c r="F33" i="17" s="1"/>
  <c r="N32" i="3"/>
  <c r="M32" i="3"/>
  <c r="L32" i="3"/>
  <c r="K32" i="3"/>
  <c r="J32" i="3"/>
  <c r="I32" i="3"/>
  <c r="H32" i="3"/>
  <c r="P31" i="3"/>
  <c r="F31" i="17" s="1"/>
  <c r="N30" i="3"/>
  <c r="M30" i="3"/>
  <c r="P29" i="3"/>
  <c r="F29" i="17" s="1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N15" i="3"/>
  <c r="N22" i="3" s="1"/>
  <c r="N24" i="3" s="1"/>
  <c r="N25" i="3" s="1"/>
  <c r="M15" i="3"/>
  <c r="L15" i="3"/>
  <c r="K15" i="3"/>
  <c r="J15" i="3"/>
  <c r="I15" i="3"/>
  <c r="H15" i="3"/>
  <c r="G15" i="3"/>
  <c r="G40" i="3" s="1"/>
  <c r="F15" i="3"/>
  <c r="E15" i="3"/>
  <c r="E40" i="3" s="1"/>
  <c r="D15" i="3"/>
  <c r="P14" i="3"/>
  <c r="F14" i="17" s="1"/>
  <c r="P13" i="3"/>
  <c r="F13" i="17" s="1"/>
  <c r="P12" i="3"/>
  <c r="F12" i="17" s="1"/>
  <c r="P11" i="3"/>
  <c r="F11" i="17" s="1"/>
  <c r="P9" i="3"/>
  <c r="M259" i="2"/>
  <c r="N258" i="2"/>
  <c r="M258" i="2"/>
  <c r="L258" i="2"/>
  <c r="K258" i="2"/>
  <c r="J258" i="2"/>
  <c r="P257" i="2"/>
  <c r="E257" i="17" s="1"/>
  <c r="P256" i="2"/>
  <c r="P254" i="2"/>
  <c r="E254" i="17" s="1"/>
  <c r="P253" i="2"/>
  <c r="E253" i="17" s="1"/>
  <c r="P247" i="2"/>
  <c r="N247" i="2"/>
  <c r="M247" i="2"/>
  <c r="L247" i="2"/>
  <c r="K247" i="2"/>
  <c r="J247" i="2"/>
  <c r="I247" i="2"/>
  <c r="H247" i="2"/>
  <c r="D247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E241" i="17" s="1"/>
  <c r="P240" i="2"/>
  <c r="E240" i="17" s="1"/>
  <c r="P239" i="2"/>
  <c r="E239" i="17" s="1"/>
  <c r="P238" i="2"/>
  <c r="E238" i="17" s="1"/>
  <c r="P235" i="2"/>
  <c r="E235" i="17" s="1"/>
  <c r="P234" i="2"/>
  <c r="E234" i="17" s="1"/>
  <c r="P233" i="2"/>
  <c r="E233" i="17" s="1"/>
  <c r="P232" i="2"/>
  <c r="E232" i="17" s="1"/>
  <c r="N229" i="2"/>
  <c r="M229" i="2"/>
  <c r="L229" i="2"/>
  <c r="K229" i="2"/>
  <c r="J229" i="2"/>
  <c r="I229" i="2"/>
  <c r="H229" i="2"/>
  <c r="G229" i="2"/>
  <c r="F229" i="2"/>
  <c r="E229" i="2"/>
  <c r="D229" i="2"/>
  <c r="P228" i="2"/>
  <c r="E228" i="17" s="1"/>
  <c r="P227" i="2"/>
  <c r="E227" i="17" s="1"/>
  <c r="P226" i="2"/>
  <c r="E226" i="17" s="1"/>
  <c r="P225" i="2"/>
  <c r="E225" i="17" s="1"/>
  <c r="N223" i="2"/>
  <c r="N230" i="2" s="1"/>
  <c r="M223" i="2"/>
  <c r="L223" i="2"/>
  <c r="K223" i="2"/>
  <c r="K230" i="2" s="1"/>
  <c r="J223" i="2"/>
  <c r="I223" i="2"/>
  <c r="I230" i="2" s="1"/>
  <c r="H223" i="2"/>
  <c r="H230" i="2" s="1"/>
  <c r="G223" i="2"/>
  <c r="F223" i="2"/>
  <c r="F230" i="2" s="1"/>
  <c r="E223" i="2"/>
  <c r="D223" i="2"/>
  <c r="P222" i="2"/>
  <c r="E222" i="17" s="1"/>
  <c r="P221" i="2"/>
  <c r="E221" i="17" s="1"/>
  <c r="P220" i="2"/>
  <c r="E220" i="17" s="1"/>
  <c r="P219" i="2"/>
  <c r="E219" i="17" s="1"/>
  <c r="N216" i="2"/>
  <c r="M216" i="2"/>
  <c r="L216" i="2"/>
  <c r="K216" i="2"/>
  <c r="J216" i="2"/>
  <c r="I216" i="2"/>
  <c r="H216" i="2"/>
  <c r="G216" i="2"/>
  <c r="F216" i="2"/>
  <c r="E216" i="2"/>
  <c r="D216" i="2"/>
  <c r="P215" i="2"/>
  <c r="E215" i="17" s="1"/>
  <c r="P214" i="2"/>
  <c r="E214" i="17" s="1"/>
  <c r="P213" i="2"/>
  <c r="E213" i="17" s="1"/>
  <c r="P212" i="2"/>
  <c r="E212" i="17" s="1"/>
  <c r="N210" i="2"/>
  <c r="M210" i="2"/>
  <c r="L210" i="2"/>
  <c r="K210" i="2"/>
  <c r="J210" i="2"/>
  <c r="I210" i="2"/>
  <c r="H210" i="2"/>
  <c r="G210" i="2"/>
  <c r="F210" i="2"/>
  <c r="E210" i="2"/>
  <c r="D210" i="2"/>
  <c r="P209" i="2"/>
  <c r="E209" i="17" s="1"/>
  <c r="P208" i="2"/>
  <c r="E208" i="17" s="1"/>
  <c r="P207" i="2"/>
  <c r="E207" i="17" s="1"/>
  <c r="P206" i="2"/>
  <c r="E206" i="17" s="1"/>
  <c r="N204" i="2"/>
  <c r="M204" i="2"/>
  <c r="L204" i="2"/>
  <c r="K204" i="2"/>
  <c r="J204" i="2"/>
  <c r="I204" i="2"/>
  <c r="H204" i="2"/>
  <c r="G204" i="2"/>
  <c r="F204" i="2"/>
  <c r="E204" i="2"/>
  <c r="D204" i="2"/>
  <c r="P203" i="2"/>
  <c r="E203" i="17" s="1"/>
  <c r="P202" i="2"/>
  <c r="E202" i="17" s="1"/>
  <c r="P201" i="2"/>
  <c r="E201" i="17" s="1"/>
  <c r="P200" i="2"/>
  <c r="E200" i="17" s="1"/>
  <c r="P199" i="2"/>
  <c r="E199" i="17" s="1"/>
  <c r="P197" i="2"/>
  <c r="E197" i="17" s="1"/>
  <c r="P195" i="2"/>
  <c r="E195" i="17" s="1"/>
  <c r="P194" i="2"/>
  <c r="E194" i="17" s="1"/>
  <c r="P192" i="2"/>
  <c r="E192" i="17" s="1"/>
  <c r="P191" i="2"/>
  <c r="E191" i="17" s="1"/>
  <c r="P190" i="2"/>
  <c r="E190" i="17" s="1"/>
  <c r="P189" i="2"/>
  <c r="E189" i="17" s="1"/>
  <c r="P187" i="2"/>
  <c r="E187" i="17" s="1"/>
  <c r="P186" i="2"/>
  <c r="E186" i="17" s="1"/>
  <c r="P185" i="2"/>
  <c r="E185" i="17" s="1"/>
  <c r="P184" i="2"/>
  <c r="E184" i="17" s="1"/>
  <c r="P182" i="2"/>
  <c r="E182" i="17" s="1"/>
  <c r="P181" i="2"/>
  <c r="E181" i="17" s="1"/>
  <c r="P180" i="2"/>
  <c r="E180" i="17" s="1"/>
  <c r="P179" i="2"/>
  <c r="E179" i="17" s="1"/>
  <c r="P178" i="2"/>
  <c r="E178" i="17" s="1"/>
  <c r="P177" i="2"/>
  <c r="E177" i="17" s="1"/>
  <c r="P175" i="2"/>
  <c r="E175" i="17" s="1"/>
  <c r="P174" i="2"/>
  <c r="E174" i="17" s="1"/>
  <c r="P173" i="2"/>
  <c r="E173" i="17" s="1"/>
  <c r="P172" i="2"/>
  <c r="E172" i="17" s="1"/>
  <c r="P171" i="2"/>
  <c r="E171" i="17" s="1"/>
  <c r="P170" i="2"/>
  <c r="E170" i="17" s="1"/>
  <c r="P169" i="2"/>
  <c r="E169" i="17" s="1"/>
  <c r="P168" i="2"/>
  <c r="E168" i="17" s="1"/>
  <c r="P167" i="2"/>
  <c r="E167" i="17" s="1"/>
  <c r="P165" i="2"/>
  <c r="E165" i="17" s="1"/>
  <c r="P164" i="2"/>
  <c r="E164" i="17" s="1"/>
  <c r="P163" i="2"/>
  <c r="E163" i="17" s="1"/>
  <c r="P162" i="2"/>
  <c r="E162" i="17" s="1"/>
  <c r="P161" i="2"/>
  <c r="E161" i="17" s="1"/>
  <c r="P160" i="2"/>
  <c r="E160" i="17" s="1"/>
  <c r="P159" i="2"/>
  <c r="E159" i="17" s="1"/>
  <c r="P158" i="2"/>
  <c r="E158" i="17" s="1"/>
  <c r="P157" i="2"/>
  <c r="E157" i="17" s="1"/>
  <c r="P156" i="2"/>
  <c r="E156" i="17" s="1"/>
  <c r="P155" i="2"/>
  <c r="E155" i="17" s="1"/>
  <c r="P154" i="2"/>
  <c r="E154" i="17" s="1"/>
  <c r="P153" i="2"/>
  <c r="E153" i="17" s="1"/>
  <c r="P143" i="2"/>
  <c r="E143" i="17" s="1"/>
  <c r="P142" i="2"/>
  <c r="E142" i="17" s="1"/>
  <c r="P141" i="2"/>
  <c r="E141" i="17" s="1"/>
  <c r="P140" i="2"/>
  <c r="E140" i="17" s="1"/>
  <c r="P138" i="2"/>
  <c r="E138" i="17" s="1"/>
  <c r="P137" i="2"/>
  <c r="E137" i="17" s="1"/>
  <c r="P136" i="2"/>
  <c r="E136" i="17" s="1"/>
  <c r="P135" i="2"/>
  <c r="E135" i="17" s="1"/>
  <c r="P133" i="2"/>
  <c r="E133" i="17" s="1"/>
  <c r="P132" i="2"/>
  <c r="E132" i="17" s="1"/>
  <c r="P131" i="2"/>
  <c r="E131" i="17" s="1"/>
  <c r="P130" i="2"/>
  <c r="E130" i="17" s="1"/>
  <c r="P128" i="2"/>
  <c r="E128" i="17" s="1"/>
  <c r="P127" i="2"/>
  <c r="E127" i="17" s="1"/>
  <c r="P126" i="2"/>
  <c r="E126" i="17" s="1"/>
  <c r="P125" i="2"/>
  <c r="E125" i="17" s="1"/>
  <c r="M123" i="2"/>
  <c r="L123" i="2"/>
  <c r="K123" i="2"/>
  <c r="J123" i="2"/>
  <c r="I123" i="2"/>
  <c r="H123" i="2"/>
  <c r="N123" i="2"/>
  <c r="P121" i="2"/>
  <c r="E121" i="17" s="1"/>
  <c r="P117" i="2"/>
  <c r="N117" i="2"/>
  <c r="L117" i="2"/>
  <c r="G117" i="2"/>
  <c r="F117" i="2"/>
  <c r="E117" i="2"/>
  <c r="D117" i="2"/>
  <c r="N111" i="2"/>
  <c r="N118" i="2" s="1"/>
  <c r="M111" i="2"/>
  <c r="M118" i="2" s="1"/>
  <c r="L111" i="2"/>
  <c r="L118" i="2" s="1"/>
  <c r="K111" i="2"/>
  <c r="K118" i="2" s="1"/>
  <c r="J111" i="2"/>
  <c r="J118" i="2" s="1"/>
  <c r="H111" i="2"/>
  <c r="H118" i="2" s="1"/>
  <c r="G111" i="2"/>
  <c r="F111" i="2"/>
  <c r="E111" i="2"/>
  <c r="D111" i="2"/>
  <c r="P110" i="2"/>
  <c r="E110" i="17" s="1"/>
  <c r="P109" i="2"/>
  <c r="E109" i="17" s="1"/>
  <c r="P108" i="2"/>
  <c r="E108" i="17" s="1"/>
  <c r="P107" i="2"/>
  <c r="E107" i="17" s="1"/>
  <c r="N105" i="2"/>
  <c r="M105" i="2"/>
  <c r="L105" i="2"/>
  <c r="K105" i="2"/>
  <c r="J105" i="2"/>
  <c r="I105" i="2"/>
  <c r="I119" i="2" s="1"/>
  <c r="H105" i="2"/>
  <c r="G105" i="2"/>
  <c r="F105" i="2"/>
  <c r="E105" i="2"/>
  <c r="D105" i="2"/>
  <c r="P104" i="2"/>
  <c r="E104" i="17" s="1"/>
  <c r="P103" i="2"/>
  <c r="E103" i="17" s="1"/>
  <c r="P102" i="2"/>
  <c r="E102" i="17" s="1"/>
  <c r="P101" i="2"/>
  <c r="E101" i="17" s="1"/>
  <c r="P98" i="2"/>
  <c r="E98" i="17" s="1"/>
  <c r="P90" i="2"/>
  <c r="P87" i="2"/>
  <c r="E87" i="17" s="1"/>
  <c r="E88" i="17" s="1"/>
  <c r="P84" i="2"/>
  <c r="M82" i="2"/>
  <c r="M83" i="2" s="1"/>
  <c r="P81" i="2"/>
  <c r="P78" i="2"/>
  <c r="M76" i="2"/>
  <c r="M77" i="2" s="1"/>
  <c r="P73" i="2"/>
  <c r="E73" i="17" s="1"/>
  <c r="P72" i="2"/>
  <c r="N70" i="2"/>
  <c r="N71" i="2" s="1"/>
  <c r="P69" i="2"/>
  <c r="E69" i="17" s="1"/>
  <c r="P68" i="2"/>
  <c r="E68" i="17" s="1"/>
  <c r="P67" i="2"/>
  <c r="E67" i="17" s="1"/>
  <c r="P66" i="2"/>
  <c r="P63" i="2"/>
  <c r="E63" i="17" s="1"/>
  <c r="N62" i="2"/>
  <c r="M62" i="2"/>
  <c r="L62" i="2"/>
  <c r="K62" i="2"/>
  <c r="J62" i="2"/>
  <c r="I62" i="2"/>
  <c r="P61" i="2"/>
  <c r="E61" i="17" s="1"/>
  <c r="P56" i="2"/>
  <c r="E56" i="17" s="1"/>
  <c r="P55" i="2"/>
  <c r="E55" i="17" s="1"/>
  <c r="P54" i="2"/>
  <c r="E54" i="17" s="1"/>
  <c r="E52" i="13"/>
  <c r="E52" i="12"/>
  <c r="P51" i="2"/>
  <c r="E51" i="17" s="1"/>
  <c r="P50" i="2"/>
  <c r="E50" i="17" s="1"/>
  <c r="P49" i="2"/>
  <c r="E49" i="17" s="1"/>
  <c r="N47" i="2"/>
  <c r="M47" i="2"/>
  <c r="L47" i="2"/>
  <c r="K47" i="2"/>
  <c r="J47" i="2"/>
  <c r="I47" i="2"/>
  <c r="H47" i="2"/>
  <c r="G47" i="2"/>
  <c r="F47" i="2"/>
  <c r="E47" i="2"/>
  <c r="D47" i="2"/>
  <c r="P46" i="2"/>
  <c r="E46" i="17" s="1"/>
  <c r="N45" i="2"/>
  <c r="M45" i="2"/>
  <c r="F45" i="2"/>
  <c r="E45" i="2"/>
  <c r="D45" i="2"/>
  <c r="P44" i="2"/>
  <c r="E44" i="17" s="1"/>
  <c r="N40" i="2"/>
  <c r="M40" i="2"/>
  <c r="L40" i="2"/>
  <c r="K40" i="2"/>
  <c r="J40" i="2"/>
  <c r="I40" i="2"/>
  <c r="H40" i="2"/>
  <c r="N38" i="2"/>
  <c r="M38" i="2"/>
  <c r="L38" i="2"/>
  <c r="K38" i="2"/>
  <c r="J38" i="2"/>
  <c r="I38" i="2"/>
  <c r="H38" i="2"/>
  <c r="N34" i="2"/>
  <c r="M34" i="2"/>
  <c r="L34" i="2"/>
  <c r="K34" i="2"/>
  <c r="J34" i="2"/>
  <c r="I34" i="2"/>
  <c r="H34" i="2"/>
  <c r="P33" i="2"/>
  <c r="E33" i="17" s="1"/>
  <c r="N32" i="2"/>
  <c r="M32" i="2"/>
  <c r="L32" i="2"/>
  <c r="K32" i="2"/>
  <c r="J32" i="2"/>
  <c r="I32" i="2"/>
  <c r="H32" i="2"/>
  <c r="P31" i="2"/>
  <c r="E31" i="17" s="1"/>
  <c r="N30" i="2"/>
  <c r="M30" i="2"/>
  <c r="P29" i="2"/>
  <c r="E29" i="17" s="1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N15" i="2"/>
  <c r="M15" i="2"/>
  <c r="L15" i="2"/>
  <c r="K15" i="2"/>
  <c r="J15" i="2"/>
  <c r="I15" i="2"/>
  <c r="H15" i="2"/>
  <c r="G15" i="2"/>
  <c r="G40" i="2" s="1"/>
  <c r="F15" i="2"/>
  <c r="F40" i="2" s="1"/>
  <c r="E15" i="2"/>
  <c r="E40" i="2" s="1"/>
  <c r="D15" i="2"/>
  <c r="D40" i="2" s="1"/>
  <c r="P14" i="2"/>
  <c r="E14" i="17" s="1"/>
  <c r="P13" i="2"/>
  <c r="E13" i="17" s="1"/>
  <c r="P12" i="2"/>
  <c r="E12" i="17" s="1"/>
  <c r="P11" i="2"/>
  <c r="E11" i="17" s="1"/>
  <c r="P9" i="2"/>
  <c r="D38" i="12" l="1"/>
  <c r="J13" i="12"/>
  <c r="E230" i="3"/>
  <c r="K119" i="4"/>
  <c r="F250" i="4"/>
  <c r="F251" i="4"/>
  <c r="F251" i="5"/>
  <c r="F250" i="5"/>
  <c r="E230" i="6"/>
  <c r="M230" i="6"/>
  <c r="J204" i="12"/>
  <c r="E230" i="2"/>
  <c r="E243" i="2" s="1"/>
  <c r="F230" i="3"/>
  <c r="N230" i="3"/>
  <c r="L22" i="4"/>
  <c r="L24" i="4" s="1"/>
  <c r="L25" i="4" s="1"/>
  <c r="L119" i="4"/>
  <c r="G251" i="4"/>
  <c r="G250" i="4"/>
  <c r="G250" i="5"/>
  <c r="G251" i="5"/>
  <c r="H251" i="4"/>
  <c r="H250" i="4"/>
  <c r="H250" i="5"/>
  <c r="H251" i="5"/>
  <c r="J216" i="12"/>
  <c r="H22" i="2"/>
  <c r="H24" i="2" s="1"/>
  <c r="H25" i="2" s="1"/>
  <c r="H119" i="2"/>
  <c r="M217" i="2"/>
  <c r="G230" i="2"/>
  <c r="G249" i="4"/>
  <c r="J111" i="12"/>
  <c r="J229" i="12"/>
  <c r="J140" i="11"/>
  <c r="D140" i="15"/>
  <c r="J144" i="1"/>
  <c r="K140" i="1" s="1"/>
  <c r="J145" i="1"/>
  <c r="J149" i="1" s="1"/>
  <c r="E251" i="5"/>
  <c r="E250" i="5"/>
  <c r="I144" i="11"/>
  <c r="I145" i="11"/>
  <c r="I149" i="11" s="1"/>
  <c r="E250" i="4"/>
  <c r="E251" i="4"/>
  <c r="J210" i="12"/>
  <c r="D36" i="12"/>
  <c r="J11" i="12"/>
  <c r="J15" i="12" s="1"/>
  <c r="J22" i="12" s="1"/>
  <c r="J24" i="12" s="1"/>
  <c r="D251" i="4"/>
  <c r="D250" i="4"/>
  <c r="D250" i="5"/>
  <c r="D251" i="5"/>
  <c r="F230" i="5"/>
  <c r="F243" i="5" s="1"/>
  <c r="K230" i="6"/>
  <c r="J105" i="12"/>
  <c r="J223" i="12"/>
  <c r="F118" i="16"/>
  <c r="N119" i="3"/>
  <c r="N243" i="4"/>
  <c r="N119" i="2"/>
  <c r="M119" i="3"/>
  <c r="M217" i="4"/>
  <c r="L22" i="3"/>
  <c r="L24" i="3" s="1"/>
  <c r="L25" i="3" s="1"/>
  <c r="L119" i="2"/>
  <c r="K119" i="6"/>
  <c r="K119" i="3"/>
  <c r="L118" i="6"/>
  <c r="E251" i="6"/>
  <c r="E250" i="6"/>
  <c r="J119" i="6"/>
  <c r="F251" i="6"/>
  <c r="F250" i="6"/>
  <c r="G250" i="6"/>
  <c r="G251" i="6"/>
  <c r="H250" i="6"/>
  <c r="H251" i="6"/>
  <c r="D250" i="6"/>
  <c r="D251" i="6"/>
  <c r="L22" i="11"/>
  <c r="L24" i="11" s="1"/>
  <c r="L25" i="11" s="1"/>
  <c r="J119" i="4"/>
  <c r="I119" i="4"/>
  <c r="I119" i="3"/>
  <c r="H119" i="3"/>
  <c r="P70" i="11"/>
  <c r="P71" i="11" s="1"/>
  <c r="J25" i="6"/>
  <c r="J196" i="11" s="1"/>
  <c r="J189" i="11"/>
  <c r="J193" i="11" s="1"/>
  <c r="L25" i="6"/>
  <c r="L196" i="11" s="1"/>
  <c r="L189" i="11"/>
  <c r="L193" i="11" s="1"/>
  <c r="N25" i="6"/>
  <c r="N196" i="11" s="1"/>
  <c r="N189" i="11"/>
  <c r="N193" i="11" s="1"/>
  <c r="L119" i="3"/>
  <c r="D250" i="3"/>
  <c r="D251" i="3"/>
  <c r="E250" i="3"/>
  <c r="E251" i="3"/>
  <c r="F251" i="3"/>
  <c r="F250" i="3"/>
  <c r="G250" i="3"/>
  <c r="G251" i="3"/>
  <c r="D22" i="3"/>
  <c r="D40" i="3"/>
  <c r="F22" i="3"/>
  <c r="F40" i="3"/>
  <c r="G59" i="4"/>
  <c r="D250" i="2"/>
  <c r="D251" i="2"/>
  <c r="E250" i="2"/>
  <c r="E251" i="2"/>
  <c r="F251" i="2"/>
  <c r="F250" i="2"/>
  <c r="G251" i="2"/>
  <c r="G250" i="2"/>
  <c r="P30" i="11"/>
  <c r="E204" i="17"/>
  <c r="F204" i="17"/>
  <c r="G119" i="3"/>
  <c r="G118" i="16"/>
  <c r="D41" i="12"/>
  <c r="H204" i="17"/>
  <c r="G204" i="17"/>
  <c r="F119" i="16"/>
  <c r="E118" i="16"/>
  <c r="E119" i="16" s="1"/>
  <c r="D62" i="12"/>
  <c r="N243" i="2"/>
  <c r="E119" i="11"/>
  <c r="I22" i="2"/>
  <c r="I24" i="2" s="1"/>
  <c r="I25" i="2" s="1"/>
  <c r="K119" i="2"/>
  <c r="G243" i="2"/>
  <c r="P204" i="6"/>
  <c r="H230" i="13"/>
  <c r="H243" i="13" s="1"/>
  <c r="H118" i="16"/>
  <c r="M119" i="4"/>
  <c r="H230" i="15"/>
  <c r="H243" i="15" s="1"/>
  <c r="N230" i="5"/>
  <c r="N243" i="5" s="1"/>
  <c r="F243" i="2"/>
  <c r="K243" i="3"/>
  <c r="I243" i="5"/>
  <c r="I118" i="6"/>
  <c r="I119" i="6" s="1"/>
  <c r="K119" i="5"/>
  <c r="J119" i="2"/>
  <c r="I243" i="6"/>
  <c r="P255" i="6"/>
  <c r="F118" i="5"/>
  <c r="F119" i="5" s="1"/>
  <c r="F118" i="4"/>
  <c r="F119" i="4" s="1"/>
  <c r="P204" i="3"/>
  <c r="F118" i="12"/>
  <c r="F119" i="12" s="1"/>
  <c r="F118" i="2"/>
  <c r="F119" i="2" s="1"/>
  <c r="G118" i="2"/>
  <c r="G119" i="2" s="1"/>
  <c r="F243" i="4"/>
  <c r="F243" i="3"/>
  <c r="F22" i="6"/>
  <c r="F24" i="6" s="1"/>
  <c r="F22" i="5"/>
  <c r="F24" i="5" s="1"/>
  <c r="F25" i="5" s="1"/>
  <c r="P255" i="2"/>
  <c r="E22" i="5"/>
  <c r="E24" i="5" s="1"/>
  <c r="E25" i="5" s="1"/>
  <c r="E243" i="3"/>
  <c r="J36" i="12"/>
  <c r="D118" i="4"/>
  <c r="D119" i="4" s="1"/>
  <c r="E145" i="17"/>
  <c r="D118" i="3"/>
  <c r="D119" i="3" s="1"/>
  <c r="P32" i="11"/>
  <c r="D32" i="12"/>
  <c r="H52" i="15"/>
  <c r="E52" i="15"/>
  <c r="F52" i="13"/>
  <c r="G52" i="12"/>
  <c r="I52" i="15"/>
  <c r="M243" i="6"/>
  <c r="H243" i="6"/>
  <c r="I230" i="15"/>
  <c r="I243" i="15" s="1"/>
  <c r="I118" i="16"/>
  <c r="I119" i="16" s="1"/>
  <c r="F118" i="6"/>
  <c r="F119" i="6" s="1"/>
  <c r="G118" i="6"/>
  <c r="G119" i="6" s="1"/>
  <c r="L119" i="6"/>
  <c r="I111" i="17"/>
  <c r="I118" i="17" s="1"/>
  <c r="P111" i="6"/>
  <c r="P118" i="6" s="1"/>
  <c r="I84" i="17"/>
  <c r="I72" i="17"/>
  <c r="H22" i="11"/>
  <c r="H24" i="11" s="1"/>
  <c r="H25" i="11" s="1"/>
  <c r="K243" i="5"/>
  <c r="L243" i="5"/>
  <c r="H145" i="17"/>
  <c r="L118" i="5"/>
  <c r="L119" i="5" s="1"/>
  <c r="H118" i="12"/>
  <c r="H119" i="12" s="1"/>
  <c r="D118" i="5"/>
  <c r="M119" i="5"/>
  <c r="N119" i="5"/>
  <c r="P111" i="5"/>
  <c r="P118" i="5" s="1"/>
  <c r="I118" i="5"/>
  <c r="I119" i="5" s="1"/>
  <c r="H119" i="16"/>
  <c r="H84" i="17"/>
  <c r="P255" i="5"/>
  <c r="H78" i="17"/>
  <c r="P76" i="5"/>
  <c r="H72" i="17"/>
  <c r="L22" i="5"/>
  <c r="L24" i="5" s="1"/>
  <c r="L25" i="5" s="1"/>
  <c r="G230" i="15"/>
  <c r="G243" i="15" s="1"/>
  <c r="G230" i="13"/>
  <c r="G243" i="13" s="1"/>
  <c r="G145" i="17"/>
  <c r="G119" i="4"/>
  <c r="N118" i="4"/>
  <c r="N119" i="4" s="1"/>
  <c r="G118" i="12"/>
  <c r="G119" i="12" s="1"/>
  <c r="P111" i="4"/>
  <c r="P118" i="4" s="1"/>
  <c r="G119" i="16"/>
  <c r="P256" i="4"/>
  <c r="P258" i="4" s="1"/>
  <c r="G256" i="16"/>
  <c r="G258" i="16" s="1"/>
  <c r="G243" i="3"/>
  <c r="I243" i="3"/>
  <c r="F230" i="13"/>
  <c r="F243" i="13" s="1"/>
  <c r="F230" i="15"/>
  <c r="F243" i="15" s="1"/>
  <c r="F145" i="17"/>
  <c r="F118" i="3"/>
  <c r="F119" i="3" s="1"/>
  <c r="P89" i="3"/>
  <c r="F84" i="17"/>
  <c r="F78" i="17"/>
  <c r="F72" i="17"/>
  <c r="F66" i="17"/>
  <c r="I243" i="2"/>
  <c r="H243" i="2"/>
  <c r="K243" i="2"/>
  <c r="E118" i="12"/>
  <c r="E119" i="12" s="1"/>
  <c r="M119" i="2"/>
  <c r="P111" i="2"/>
  <c r="P118" i="2" s="1"/>
  <c r="D118" i="2"/>
  <c r="D119" i="2" s="1"/>
  <c r="D230" i="16"/>
  <c r="D243" i="16" s="1"/>
  <c r="D21" i="12"/>
  <c r="G230" i="16"/>
  <c r="G243" i="16" s="1"/>
  <c r="G22" i="16"/>
  <c r="G24" i="16" s="1"/>
  <c r="G25" i="16" s="1"/>
  <c r="E230" i="16"/>
  <c r="E243" i="16" s="1"/>
  <c r="F230" i="16"/>
  <c r="F243" i="16" s="1"/>
  <c r="I62" i="17"/>
  <c r="I145" i="17"/>
  <c r="G105" i="17"/>
  <c r="G111" i="17"/>
  <c r="G118" i="17" s="1"/>
  <c r="E111" i="17"/>
  <c r="E118" i="17" s="1"/>
  <c r="I148" i="17"/>
  <c r="I204" i="17"/>
  <c r="H111" i="17"/>
  <c r="H118" i="17" s="1"/>
  <c r="I134" i="17"/>
  <c r="F111" i="17"/>
  <c r="F118" i="17" s="1"/>
  <c r="D118" i="16"/>
  <c r="D119" i="16" s="1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H250" i="16"/>
  <c r="H251" i="16"/>
  <c r="I250" i="16"/>
  <c r="I251" i="16"/>
  <c r="F22" i="16"/>
  <c r="F24" i="16" s="1"/>
  <c r="F25" i="16" s="1"/>
  <c r="H22" i="16"/>
  <c r="H24" i="16" s="1"/>
  <c r="H25" i="16" s="1"/>
  <c r="E105" i="17"/>
  <c r="P105" i="2"/>
  <c r="P123" i="3"/>
  <c r="F122" i="17"/>
  <c r="F123" i="17" s="1"/>
  <c r="F105" i="17"/>
  <c r="P105" i="4"/>
  <c r="P119" i="4" s="1"/>
  <c r="N258" i="4"/>
  <c r="P123" i="5"/>
  <c r="H122" i="17"/>
  <c r="H123" i="17" s="1"/>
  <c r="H105" i="17"/>
  <c r="I144" i="17"/>
  <c r="I105" i="17"/>
  <c r="P105" i="6"/>
  <c r="F40" i="11"/>
  <c r="N40" i="11"/>
  <c r="G40" i="11"/>
  <c r="O40" i="11"/>
  <c r="I38" i="11"/>
  <c r="H40" i="11"/>
  <c r="I40" i="11"/>
  <c r="K38" i="11"/>
  <c r="J40" i="11"/>
  <c r="L38" i="11"/>
  <c r="E95" i="11"/>
  <c r="E255" i="11" s="1"/>
  <c r="E259" i="11" s="1"/>
  <c r="K40" i="11"/>
  <c r="M38" i="11"/>
  <c r="F95" i="11"/>
  <c r="F255" i="11" s="1"/>
  <c r="F259" i="11" s="1"/>
  <c r="L40" i="11"/>
  <c r="N38" i="11"/>
  <c r="H119" i="11"/>
  <c r="E40" i="11"/>
  <c r="M40" i="11"/>
  <c r="O38" i="11"/>
  <c r="P111" i="3"/>
  <c r="P118" i="3" s="1"/>
  <c r="P119" i="3" s="1"/>
  <c r="P111" i="11"/>
  <c r="P118" i="11" s="1"/>
  <c r="P119" i="11" s="1"/>
  <c r="O118" i="11"/>
  <c r="O119" i="11" s="1"/>
  <c r="H139" i="17"/>
  <c r="N251" i="5"/>
  <c r="N250" i="5"/>
  <c r="N217" i="4"/>
  <c r="N250" i="4"/>
  <c r="N251" i="4"/>
  <c r="N243" i="3"/>
  <c r="N217" i="3"/>
  <c r="N251" i="3"/>
  <c r="N250" i="3"/>
  <c r="N119" i="11"/>
  <c r="N250" i="2"/>
  <c r="N251" i="2"/>
  <c r="N22" i="2"/>
  <c r="N24" i="2" s="1"/>
  <c r="N25" i="2" s="1"/>
  <c r="M119" i="11"/>
  <c r="M230" i="5"/>
  <c r="M243" i="5" s="1"/>
  <c r="M250" i="5"/>
  <c r="M251" i="5"/>
  <c r="M250" i="4"/>
  <c r="M251" i="4"/>
  <c r="M230" i="3"/>
  <c r="M243" i="3" s="1"/>
  <c r="M250" i="3"/>
  <c r="M251" i="3"/>
  <c r="M230" i="2"/>
  <c r="M243" i="2" s="1"/>
  <c r="M251" i="2"/>
  <c r="M250" i="2"/>
  <c r="L217" i="5"/>
  <c r="L251" i="5"/>
  <c r="L250" i="5"/>
  <c r="L250" i="4"/>
  <c r="L251" i="4"/>
  <c r="L217" i="3"/>
  <c r="L250" i="3"/>
  <c r="L251" i="3"/>
  <c r="E230" i="15"/>
  <c r="E243" i="15" s="1"/>
  <c r="L230" i="2"/>
  <c r="L243" i="2" s="1"/>
  <c r="L217" i="2"/>
  <c r="L250" i="2"/>
  <c r="L251" i="2"/>
  <c r="L22" i="2"/>
  <c r="L24" i="2" s="1"/>
  <c r="L25" i="2" s="1"/>
  <c r="L119" i="11"/>
  <c r="K217" i="3"/>
  <c r="K250" i="3"/>
  <c r="K251" i="3"/>
  <c r="K250" i="5"/>
  <c r="K251" i="5"/>
  <c r="K243" i="6"/>
  <c r="K22" i="6"/>
  <c r="K24" i="6" s="1"/>
  <c r="K243" i="4"/>
  <c r="G223" i="17"/>
  <c r="K251" i="4"/>
  <c r="K250" i="4"/>
  <c r="K250" i="2"/>
  <c r="K251" i="2"/>
  <c r="D230" i="15"/>
  <c r="D243" i="15" s="1"/>
  <c r="K119" i="11"/>
  <c r="D83" i="15"/>
  <c r="D77" i="15"/>
  <c r="D71" i="15"/>
  <c r="G250" i="15"/>
  <c r="G251" i="15"/>
  <c r="F251" i="15"/>
  <c r="F250" i="15"/>
  <c r="H250" i="15"/>
  <c r="H251" i="15"/>
  <c r="I250" i="15"/>
  <c r="I251" i="15"/>
  <c r="D217" i="15"/>
  <c r="D251" i="15"/>
  <c r="D250" i="15"/>
  <c r="E217" i="15"/>
  <c r="E251" i="15"/>
  <c r="E250" i="15"/>
  <c r="H22" i="15"/>
  <c r="H24" i="15" s="1"/>
  <c r="H25" i="15" s="1"/>
  <c r="G22" i="15"/>
  <c r="G24" i="15" s="1"/>
  <c r="G25" i="15" s="1"/>
  <c r="J119" i="3"/>
  <c r="H216" i="17"/>
  <c r="G229" i="17"/>
  <c r="E229" i="17"/>
  <c r="J217" i="4"/>
  <c r="E210" i="17"/>
  <c r="E265" i="17" s="1"/>
  <c r="J119" i="11"/>
  <c r="I20" i="17"/>
  <c r="Q20" i="6"/>
  <c r="I17" i="17"/>
  <c r="Q17" i="6"/>
  <c r="I18" i="17"/>
  <c r="Q18" i="6"/>
  <c r="I19" i="17"/>
  <c r="Q19" i="6"/>
  <c r="J230" i="5"/>
  <c r="J243" i="5" s="1"/>
  <c r="J251" i="5"/>
  <c r="J250" i="5"/>
  <c r="H17" i="17"/>
  <c r="H18" i="17"/>
  <c r="H19" i="17"/>
  <c r="H20" i="17"/>
  <c r="J230" i="4"/>
  <c r="J243" i="4" s="1"/>
  <c r="J251" i="4"/>
  <c r="J250" i="4"/>
  <c r="G20" i="17"/>
  <c r="G18" i="17"/>
  <c r="G19" i="17"/>
  <c r="J22" i="4"/>
  <c r="J24" i="4" s="1"/>
  <c r="J25" i="4" s="1"/>
  <c r="J250" i="3"/>
  <c r="J251" i="3"/>
  <c r="F20" i="17"/>
  <c r="F17" i="17"/>
  <c r="F18" i="17"/>
  <c r="F19" i="17"/>
  <c r="J230" i="2"/>
  <c r="J243" i="2" s="1"/>
  <c r="J251" i="2"/>
  <c r="J250" i="2"/>
  <c r="E18" i="17"/>
  <c r="E20" i="17"/>
  <c r="J22" i="2"/>
  <c r="J24" i="2" s="1"/>
  <c r="J25" i="2" s="1"/>
  <c r="E19" i="17"/>
  <c r="E17" i="17"/>
  <c r="H134" i="17"/>
  <c r="I119" i="11"/>
  <c r="J258" i="13"/>
  <c r="J105" i="13"/>
  <c r="J119" i="13" s="1"/>
  <c r="I217" i="5"/>
  <c r="I250" i="5"/>
  <c r="I217" i="4"/>
  <c r="I250" i="4"/>
  <c r="I251" i="4"/>
  <c r="G22" i="13"/>
  <c r="G24" i="13" s="1"/>
  <c r="G25" i="13" s="1"/>
  <c r="I22" i="4"/>
  <c r="I24" i="4" s="1"/>
  <c r="I25" i="4" s="1"/>
  <c r="F223" i="17"/>
  <c r="I251" i="3"/>
  <c r="I250" i="3"/>
  <c r="I22" i="3"/>
  <c r="I24" i="3" s="1"/>
  <c r="I25" i="3" s="1"/>
  <c r="E242" i="17"/>
  <c r="E230" i="13"/>
  <c r="E243" i="13" s="1"/>
  <c r="E223" i="17"/>
  <c r="I217" i="2"/>
  <c r="I250" i="2"/>
  <c r="I251" i="2"/>
  <c r="J242" i="13"/>
  <c r="I230" i="13"/>
  <c r="I243" i="13" s="1"/>
  <c r="J236" i="13"/>
  <c r="J229" i="13"/>
  <c r="D217" i="13"/>
  <c r="D251" i="13"/>
  <c r="D250" i="13"/>
  <c r="E217" i="13"/>
  <c r="E250" i="13"/>
  <c r="E251" i="13"/>
  <c r="F250" i="13"/>
  <c r="F251" i="13"/>
  <c r="G250" i="13"/>
  <c r="G251" i="13"/>
  <c r="H250" i="13"/>
  <c r="H251" i="13"/>
  <c r="I250" i="13"/>
  <c r="I251" i="13"/>
  <c r="F22" i="13"/>
  <c r="F24" i="13" s="1"/>
  <c r="F25" i="13" s="1"/>
  <c r="H119" i="6"/>
  <c r="H223" i="17"/>
  <c r="H210" i="17"/>
  <c r="H265" i="17" s="1"/>
  <c r="H119" i="5"/>
  <c r="H243" i="3"/>
  <c r="H217" i="3"/>
  <c r="H251" i="3"/>
  <c r="H250" i="3"/>
  <c r="H217" i="2"/>
  <c r="H250" i="2"/>
  <c r="H251" i="2"/>
  <c r="E193" i="17"/>
  <c r="H22" i="3"/>
  <c r="H24" i="3" s="1"/>
  <c r="H25" i="3" s="1"/>
  <c r="J236" i="12"/>
  <c r="D118" i="12"/>
  <c r="G242" i="17"/>
  <c r="F242" i="17"/>
  <c r="E236" i="17"/>
  <c r="G217" i="2"/>
  <c r="G15" i="17"/>
  <c r="G22" i="3"/>
  <c r="F15" i="17"/>
  <c r="E15" i="17"/>
  <c r="J250" i="11"/>
  <c r="J251" i="11"/>
  <c r="K250" i="11"/>
  <c r="K251" i="11"/>
  <c r="K243" i="11"/>
  <c r="F119" i="11"/>
  <c r="L250" i="11"/>
  <c r="L251" i="11"/>
  <c r="P85" i="11"/>
  <c r="M250" i="11"/>
  <c r="M251" i="11"/>
  <c r="H251" i="11"/>
  <c r="H250" i="11"/>
  <c r="F251" i="11"/>
  <c r="F250" i="11"/>
  <c r="N251" i="11"/>
  <c r="N250" i="11"/>
  <c r="I250" i="11"/>
  <c r="I251" i="11"/>
  <c r="G251" i="11"/>
  <c r="G250" i="11"/>
  <c r="O251" i="11"/>
  <c r="O250" i="11"/>
  <c r="I251" i="6"/>
  <c r="I250" i="6"/>
  <c r="J250" i="6"/>
  <c r="J251" i="6"/>
  <c r="P123" i="6"/>
  <c r="I122" i="17"/>
  <c r="I123" i="17" s="1"/>
  <c r="P74" i="6"/>
  <c r="P76" i="6" s="1"/>
  <c r="K217" i="6"/>
  <c r="K251" i="6"/>
  <c r="K250" i="6"/>
  <c r="J243" i="6"/>
  <c r="D38" i="11"/>
  <c r="L217" i="6"/>
  <c r="L251" i="6"/>
  <c r="L250" i="6"/>
  <c r="I139" i="17"/>
  <c r="M217" i="6"/>
  <c r="M251" i="6"/>
  <c r="M250" i="6"/>
  <c r="L230" i="6"/>
  <c r="L243" i="6" s="1"/>
  <c r="I147" i="17"/>
  <c r="N251" i="6"/>
  <c r="N250" i="6"/>
  <c r="D40" i="11"/>
  <c r="I210" i="17"/>
  <c r="H217" i="6"/>
  <c r="I217" i="6"/>
  <c r="I193" i="17"/>
  <c r="I216" i="17"/>
  <c r="D118" i="11"/>
  <c r="D119" i="11" s="1"/>
  <c r="G129" i="17"/>
  <c r="G139" i="17"/>
  <c r="P82" i="3"/>
  <c r="P83" i="3" s="1"/>
  <c r="F81" i="17"/>
  <c r="P255" i="3"/>
  <c r="F217" i="6"/>
  <c r="G236" i="17"/>
  <c r="G216" i="17"/>
  <c r="F217" i="4"/>
  <c r="G210" i="17"/>
  <c r="F217" i="3"/>
  <c r="E216" i="17"/>
  <c r="H15" i="17"/>
  <c r="I146" i="17"/>
  <c r="I129" i="17"/>
  <c r="P82" i="6"/>
  <c r="I81" i="17"/>
  <c r="I82" i="17" s="1"/>
  <c r="P70" i="6"/>
  <c r="P71" i="6" s="1"/>
  <c r="I68" i="17"/>
  <c r="H148" i="17"/>
  <c r="H147" i="17"/>
  <c r="H144" i="17"/>
  <c r="H146" i="17"/>
  <c r="H129" i="17"/>
  <c r="H70" i="17"/>
  <c r="H71" i="17" s="1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P82" i="2"/>
  <c r="E81" i="17"/>
  <c r="E82" i="17" s="1"/>
  <c r="D259" i="11"/>
  <c r="D40" i="12"/>
  <c r="D45" i="12"/>
  <c r="D30" i="12"/>
  <c r="J34" i="12"/>
  <c r="D47" i="12"/>
  <c r="D34" i="12"/>
  <c r="I45" i="17"/>
  <c r="I34" i="17"/>
  <c r="I47" i="17"/>
  <c r="I32" i="17"/>
  <c r="I30" i="17"/>
  <c r="H193" i="17"/>
  <c r="P62" i="5"/>
  <c r="P45" i="5"/>
  <c r="G193" i="17"/>
  <c r="P32" i="4"/>
  <c r="G9" i="17"/>
  <c r="F193" i="17"/>
  <c r="P32" i="3"/>
  <c r="F9" i="17"/>
  <c r="J193" i="12"/>
  <c r="P204" i="11"/>
  <c r="E217" i="11"/>
  <c r="E251" i="11"/>
  <c r="E250" i="11"/>
  <c r="E243" i="6"/>
  <c r="I242" i="17"/>
  <c r="I236" i="17"/>
  <c r="I229" i="17"/>
  <c r="I223" i="17"/>
  <c r="E217" i="6"/>
  <c r="H242" i="17"/>
  <c r="H236" i="17"/>
  <c r="H229" i="17"/>
  <c r="P223" i="5"/>
  <c r="E217" i="5"/>
  <c r="E217" i="4"/>
  <c r="P236" i="3"/>
  <c r="F232" i="17"/>
  <c r="F236" i="17" s="1"/>
  <c r="E217" i="3"/>
  <c r="P223" i="2"/>
  <c r="E217" i="2"/>
  <c r="P21" i="4"/>
  <c r="G17" i="17"/>
  <c r="F230" i="12"/>
  <c r="F243" i="12" s="1"/>
  <c r="F229" i="17"/>
  <c r="F216" i="17"/>
  <c r="D251" i="12"/>
  <c r="D250" i="12"/>
  <c r="E250" i="12"/>
  <c r="E251" i="12"/>
  <c r="F250" i="12"/>
  <c r="F251" i="12"/>
  <c r="G250" i="12"/>
  <c r="G251" i="12"/>
  <c r="H250" i="12"/>
  <c r="H251" i="12"/>
  <c r="J147" i="12"/>
  <c r="P258" i="11"/>
  <c r="D217" i="11"/>
  <c r="D250" i="11"/>
  <c r="D251" i="11"/>
  <c r="P144" i="11"/>
  <c r="P147" i="11"/>
  <c r="P148" i="11"/>
  <c r="P134" i="11"/>
  <c r="P258" i="6"/>
  <c r="D217" i="6"/>
  <c r="P139" i="6"/>
  <c r="P148" i="6"/>
  <c r="P147" i="6"/>
  <c r="P144" i="6"/>
  <c r="E118" i="6"/>
  <c r="E119" i="6" s="1"/>
  <c r="D118" i="6"/>
  <c r="D119" i="6" s="1"/>
  <c r="I15" i="17"/>
  <c r="D119" i="5"/>
  <c r="P258" i="5"/>
  <c r="D217" i="5"/>
  <c r="P147" i="5"/>
  <c r="P134" i="5"/>
  <c r="P145" i="5"/>
  <c r="E118" i="5"/>
  <c r="E119" i="5" s="1"/>
  <c r="P70" i="5"/>
  <c r="P71" i="5" s="1"/>
  <c r="P139" i="4"/>
  <c r="P144" i="4"/>
  <c r="P145" i="4"/>
  <c r="E118" i="4"/>
  <c r="E119" i="4" s="1"/>
  <c r="P258" i="3"/>
  <c r="D217" i="3"/>
  <c r="P144" i="3"/>
  <c r="P145" i="3"/>
  <c r="E118" i="3"/>
  <c r="E119" i="3" s="1"/>
  <c r="P242" i="2"/>
  <c r="D217" i="2"/>
  <c r="P148" i="2"/>
  <c r="P139" i="2"/>
  <c r="P129" i="2"/>
  <c r="P147" i="2"/>
  <c r="E118" i="2"/>
  <c r="E119" i="2" s="1"/>
  <c r="P70" i="2"/>
  <c r="P71" i="2" s="1"/>
  <c r="P30" i="2"/>
  <c r="P32" i="5"/>
  <c r="H9" i="17"/>
  <c r="P45" i="2"/>
  <c r="P32" i="2"/>
  <c r="E9" i="17"/>
  <c r="P34" i="5"/>
  <c r="P34" i="6"/>
  <c r="P62" i="6"/>
  <c r="P47" i="6"/>
  <c r="P45" i="11"/>
  <c r="E22" i="11"/>
  <c r="E24" i="11" s="1"/>
  <c r="E25" i="11" s="1"/>
  <c r="M22" i="11"/>
  <c r="M24" i="11" s="1"/>
  <c r="M25" i="11" s="1"/>
  <c r="D22" i="4"/>
  <c r="D22" i="2"/>
  <c r="D24" i="2" s="1"/>
  <c r="D25" i="2" s="1"/>
  <c r="D22" i="6"/>
  <c r="D24" i="6" s="1"/>
  <c r="D22" i="5"/>
  <c r="D24" i="5" s="1"/>
  <c r="D25" i="5" s="1"/>
  <c r="P15" i="4"/>
  <c r="I230" i="16"/>
  <c r="I243" i="16" s="1"/>
  <c r="H41" i="16"/>
  <c r="H58" i="16" s="1"/>
  <c r="H230" i="16"/>
  <c r="H243" i="16" s="1"/>
  <c r="I22" i="16"/>
  <c r="I24" i="16" s="1"/>
  <c r="I25" i="16" s="1"/>
  <c r="D15" i="16"/>
  <c r="E22" i="16"/>
  <c r="E24" i="16" s="1"/>
  <c r="E25" i="16" s="1"/>
  <c r="I22" i="15"/>
  <c r="I24" i="15" s="1"/>
  <c r="I25" i="15" s="1"/>
  <c r="E22" i="15"/>
  <c r="E24" i="15" s="1"/>
  <c r="E25" i="15" s="1"/>
  <c r="F22" i="15"/>
  <c r="F24" i="15" s="1"/>
  <c r="F25" i="15" s="1"/>
  <c r="H41" i="15"/>
  <c r="H42" i="15" s="1"/>
  <c r="F217" i="15"/>
  <c r="J193" i="13"/>
  <c r="H22" i="13"/>
  <c r="H24" i="13" s="1"/>
  <c r="H25" i="13" s="1"/>
  <c r="H41" i="13"/>
  <c r="H42" i="13" s="1"/>
  <c r="D230" i="13"/>
  <c r="D243" i="13" s="1"/>
  <c r="I22" i="13"/>
  <c r="I24" i="13" s="1"/>
  <c r="I25" i="13" s="1"/>
  <c r="J216" i="13"/>
  <c r="J70" i="13"/>
  <c r="J71" i="13" s="1"/>
  <c r="D15" i="13"/>
  <c r="F217" i="13"/>
  <c r="J11" i="13"/>
  <c r="J15" i="13" s="1"/>
  <c r="E22" i="13"/>
  <c r="E24" i="13" s="1"/>
  <c r="E25" i="13" s="1"/>
  <c r="J204" i="13"/>
  <c r="G230" i="12"/>
  <c r="G243" i="12" s="1"/>
  <c r="J145" i="12"/>
  <c r="J82" i="12"/>
  <c r="J83" i="12" s="1"/>
  <c r="D15" i="12"/>
  <c r="J70" i="12"/>
  <c r="J71" i="12" s="1"/>
  <c r="E217" i="12"/>
  <c r="K22" i="11"/>
  <c r="K24" i="11" s="1"/>
  <c r="K25" i="11" s="1"/>
  <c r="P236" i="11"/>
  <c r="P123" i="11"/>
  <c r="P223" i="11"/>
  <c r="P216" i="11"/>
  <c r="F22" i="11"/>
  <c r="F24" i="11" s="1"/>
  <c r="F25" i="11" s="1"/>
  <c r="N22" i="11"/>
  <c r="N24" i="11" s="1"/>
  <c r="N25" i="11" s="1"/>
  <c r="P62" i="11"/>
  <c r="P146" i="11"/>
  <c r="P210" i="11"/>
  <c r="F230" i="11"/>
  <c r="F243" i="11" s="1"/>
  <c r="N230" i="11"/>
  <c r="N243" i="11" s="1"/>
  <c r="G22" i="11"/>
  <c r="G24" i="11" s="1"/>
  <c r="G25" i="11" s="1"/>
  <c r="O22" i="11"/>
  <c r="O24" i="11" s="1"/>
  <c r="O25" i="11" s="1"/>
  <c r="P47" i="11"/>
  <c r="P242" i="11"/>
  <c r="J22" i="11"/>
  <c r="J24" i="11" s="1"/>
  <c r="J25" i="11" s="1"/>
  <c r="P15" i="11"/>
  <c r="P21" i="11"/>
  <c r="P229" i="11"/>
  <c r="D230" i="11"/>
  <c r="D243" i="11" s="1"/>
  <c r="I22" i="11"/>
  <c r="I24" i="11" s="1"/>
  <c r="I25" i="11" s="1"/>
  <c r="P34" i="11"/>
  <c r="P145" i="11"/>
  <c r="P139" i="11"/>
  <c r="F243" i="6"/>
  <c r="N243" i="6"/>
  <c r="P242" i="6"/>
  <c r="P32" i="6"/>
  <c r="P79" i="6"/>
  <c r="I79" i="17" s="1"/>
  <c r="P145" i="6"/>
  <c r="J217" i="6"/>
  <c r="G230" i="6"/>
  <c r="G243" i="6" s="1"/>
  <c r="E22" i="6"/>
  <c r="M22" i="6"/>
  <c r="M24" i="6" s="1"/>
  <c r="P45" i="6"/>
  <c r="N259" i="6"/>
  <c r="P146" i="6"/>
  <c r="P30" i="6"/>
  <c r="P193" i="6"/>
  <c r="N217" i="6"/>
  <c r="G22" i="6"/>
  <c r="G24" i="6" s="1"/>
  <c r="P216" i="6"/>
  <c r="P236" i="6"/>
  <c r="D230" i="6"/>
  <c r="D243" i="6" s="1"/>
  <c r="P21" i="6"/>
  <c r="Q21" i="6" s="1"/>
  <c r="H22" i="6"/>
  <c r="H24" i="6" s="1"/>
  <c r="P134" i="6"/>
  <c r="P144" i="5"/>
  <c r="H217" i="5"/>
  <c r="P236" i="5"/>
  <c r="P146" i="5"/>
  <c r="P229" i="5"/>
  <c r="P30" i="5"/>
  <c r="K217" i="5"/>
  <c r="G22" i="5"/>
  <c r="G24" i="5" s="1"/>
  <c r="G25" i="5" s="1"/>
  <c r="P148" i="5"/>
  <c r="H230" i="5"/>
  <c r="H243" i="5" s="1"/>
  <c r="D230" i="5"/>
  <c r="D243" i="5" s="1"/>
  <c r="G217" i="5"/>
  <c r="P139" i="5"/>
  <c r="P193" i="5"/>
  <c r="P204" i="5"/>
  <c r="E230" i="5"/>
  <c r="E243" i="5" s="1"/>
  <c r="P242" i="5"/>
  <c r="K41" i="5"/>
  <c r="K58" i="5" s="1"/>
  <c r="I22" i="5"/>
  <c r="I24" i="5" s="1"/>
  <c r="I25" i="5" s="1"/>
  <c r="P216" i="5"/>
  <c r="P47" i="5"/>
  <c r="P79" i="5"/>
  <c r="H79" i="17" s="1"/>
  <c r="F22" i="4"/>
  <c r="N22" i="4"/>
  <c r="N24" i="4" s="1"/>
  <c r="N25" i="4" s="1"/>
  <c r="P79" i="4"/>
  <c r="G79" i="17" s="1"/>
  <c r="P70" i="4"/>
  <c r="P71" i="4" s="1"/>
  <c r="P242" i="4"/>
  <c r="K217" i="4"/>
  <c r="H230" i="4"/>
  <c r="H243" i="4" s="1"/>
  <c r="G230" i="4"/>
  <c r="G243" i="4" s="1"/>
  <c r="P30" i="4"/>
  <c r="P146" i="4"/>
  <c r="I230" i="4"/>
  <c r="I243" i="4" s="1"/>
  <c r="K22" i="4"/>
  <c r="K24" i="4" s="1"/>
  <c r="K25" i="4" s="1"/>
  <c r="N41" i="4"/>
  <c r="N58" i="4" s="1"/>
  <c r="N249" i="4" s="1"/>
  <c r="P147" i="4"/>
  <c r="P122" i="4"/>
  <c r="P148" i="4"/>
  <c r="P236" i="4"/>
  <c r="E22" i="4"/>
  <c r="M22" i="4"/>
  <c r="M24" i="4" s="1"/>
  <c r="M25" i="4" s="1"/>
  <c r="P73" i="4"/>
  <c r="G73" i="17" s="1"/>
  <c r="P134" i="4"/>
  <c r="G217" i="4"/>
  <c r="P223" i="4"/>
  <c r="L230" i="4"/>
  <c r="L243" i="4" s="1"/>
  <c r="P15" i="3"/>
  <c r="P21" i="3"/>
  <c r="G41" i="3"/>
  <c r="J230" i="3"/>
  <c r="J243" i="3" s="1"/>
  <c r="P34" i="3"/>
  <c r="P62" i="3"/>
  <c r="P70" i="3"/>
  <c r="P71" i="3" s="1"/>
  <c r="P147" i="3"/>
  <c r="J22" i="3"/>
  <c r="J24" i="3" s="1"/>
  <c r="J25" i="3" s="1"/>
  <c r="P47" i="3"/>
  <c r="D230" i="3"/>
  <c r="D243" i="3" s="1"/>
  <c r="L230" i="3"/>
  <c r="L243" i="3" s="1"/>
  <c r="K22" i="3"/>
  <c r="K24" i="3" s="1"/>
  <c r="K25" i="3" s="1"/>
  <c r="P134" i="3"/>
  <c r="I217" i="3"/>
  <c r="G217" i="3"/>
  <c r="P146" i="3"/>
  <c r="E22" i="3"/>
  <c r="M22" i="3"/>
  <c r="M24" i="3" s="1"/>
  <c r="M25" i="3" s="1"/>
  <c r="P45" i="3"/>
  <c r="P139" i="3"/>
  <c r="P148" i="3"/>
  <c r="P193" i="3"/>
  <c r="P216" i="3"/>
  <c r="P242" i="3"/>
  <c r="J217" i="2"/>
  <c r="P258" i="2"/>
  <c r="K217" i="2"/>
  <c r="N217" i="2"/>
  <c r="D230" i="2"/>
  <c r="D243" i="2" s="1"/>
  <c r="E22" i="2"/>
  <c r="E24" i="2" s="1"/>
  <c r="E25" i="2" s="1"/>
  <c r="M22" i="2"/>
  <c r="M24" i="2" s="1"/>
  <c r="M25" i="2" s="1"/>
  <c r="P34" i="2"/>
  <c r="P204" i="2"/>
  <c r="P216" i="2"/>
  <c r="F22" i="2"/>
  <c r="F24" i="2" s="1"/>
  <c r="F25" i="2" s="1"/>
  <c r="F41" i="2"/>
  <c r="F58" i="2" s="1"/>
  <c r="P62" i="2"/>
  <c r="P146" i="2"/>
  <c r="P47" i="2"/>
  <c r="P15" i="2"/>
  <c r="P21" i="2"/>
  <c r="P79" i="2"/>
  <c r="E79" i="17" s="1"/>
  <c r="P144" i="2"/>
  <c r="F217" i="2"/>
  <c r="D38" i="13"/>
  <c r="D40" i="15"/>
  <c r="D62" i="16"/>
  <c r="D30" i="15"/>
  <c r="D30" i="16"/>
  <c r="D40" i="13"/>
  <c r="D38" i="15"/>
  <c r="D38" i="16"/>
  <c r="D30" i="13"/>
  <c r="J41" i="2"/>
  <c r="J42" i="2" s="1"/>
  <c r="F41" i="4"/>
  <c r="P52" i="4"/>
  <c r="G52" i="17" s="1"/>
  <c r="P91" i="4"/>
  <c r="P79" i="11"/>
  <c r="P83" i="11" s="1"/>
  <c r="I41" i="16"/>
  <c r="I58" i="16" s="1"/>
  <c r="M41" i="3"/>
  <c r="M42" i="3" s="1"/>
  <c r="P52" i="3"/>
  <c r="F52" i="17" s="1"/>
  <c r="P73" i="3"/>
  <c r="F73" i="17" s="1"/>
  <c r="F91" i="17" s="1"/>
  <c r="P81" i="4"/>
  <c r="P87" i="5"/>
  <c r="H87" i="17" s="1"/>
  <c r="H88" i="17" s="1"/>
  <c r="P73" i="6"/>
  <c r="I73" i="17" s="1"/>
  <c r="P85" i="6"/>
  <c r="P89" i="6" s="1"/>
  <c r="P87" i="11"/>
  <c r="K38" i="5"/>
  <c r="P39" i="2"/>
  <c r="J41" i="5"/>
  <c r="J42" i="5" s="1"/>
  <c r="J38" i="11"/>
  <c r="P37" i="3"/>
  <c r="P52" i="2"/>
  <c r="E52" i="17" s="1"/>
  <c r="P92" i="3"/>
  <c r="M41" i="5"/>
  <c r="P52" i="5"/>
  <c r="H52" i="17" s="1"/>
  <c r="I41" i="13"/>
  <c r="I58" i="13" s="1"/>
  <c r="J123" i="13"/>
  <c r="D40" i="16"/>
  <c r="N82" i="2"/>
  <c r="N83" i="2" s="1"/>
  <c r="L41" i="3"/>
  <c r="L58" i="3" s="1"/>
  <c r="P39" i="3"/>
  <c r="J39" i="13"/>
  <c r="J77" i="13"/>
  <c r="J89" i="13"/>
  <c r="I41" i="15"/>
  <c r="I58" i="15" s="1"/>
  <c r="P52" i="6"/>
  <c r="I52" i="17" s="1"/>
  <c r="J92" i="13"/>
  <c r="D21" i="16"/>
  <c r="D34" i="16"/>
  <c r="D45" i="16"/>
  <c r="H217" i="16"/>
  <c r="D41" i="16"/>
  <c r="I217" i="16"/>
  <c r="E41" i="16"/>
  <c r="D32" i="16"/>
  <c r="F41" i="16"/>
  <c r="G41" i="16"/>
  <c r="G217" i="15"/>
  <c r="D21" i="15"/>
  <c r="D22" i="15" s="1"/>
  <c r="D24" i="15" s="1"/>
  <c r="D25" i="15" s="1"/>
  <c r="D34" i="15"/>
  <c r="D45" i="15"/>
  <c r="H217" i="15"/>
  <c r="D41" i="15"/>
  <c r="I217" i="15"/>
  <c r="E41" i="15"/>
  <c r="D62" i="15"/>
  <c r="D32" i="15"/>
  <c r="F41" i="15"/>
  <c r="G41" i="15"/>
  <c r="J21" i="13"/>
  <c r="G217" i="13"/>
  <c r="D21" i="13"/>
  <c r="D34" i="13"/>
  <c r="D45" i="13"/>
  <c r="H217" i="13"/>
  <c r="D41" i="13"/>
  <c r="J81" i="13"/>
  <c r="J82" i="13" s="1"/>
  <c r="I217" i="13"/>
  <c r="E41" i="13"/>
  <c r="D62" i="13"/>
  <c r="J91" i="13"/>
  <c r="D32" i="13"/>
  <c r="F41" i="13"/>
  <c r="J32" i="13"/>
  <c r="G41" i="13"/>
  <c r="J210" i="13"/>
  <c r="J223" i="13"/>
  <c r="J89" i="12"/>
  <c r="F217" i="12"/>
  <c r="J242" i="12"/>
  <c r="F22" i="12"/>
  <c r="F24" i="12" s="1"/>
  <c r="F25" i="12" s="1"/>
  <c r="H24" i="12"/>
  <c r="H25" i="12" s="1"/>
  <c r="J139" i="12"/>
  <c r="H230" i="12"/>
  <c r="H243" i="12" s="1"/>
  <c r="H217" i="12"/>
  <c r="D230" i="12"/>
  <c r="D217" i="12"/>
  <c r="E230" i="12"/>
  <c r="E243" i="12" s="1"/>
  <c r="J258" i="12"/>
  <c r="G41" i="12"/>
  <c r="G42" i="12" s="1"/>
  <c r="G217" i="12"/>
  <c r="E22" i="12"/>
  <c r="E24" i="12" s="1"/>
  <c r="E25" i="12" s="1"/>
  <c r="J148" i="12"/>
  <c r="J134" i="12"/>
  <c r="G22" i="12"/>
  <c r="G24" i="12" s="1"/>
  <c r="G25" i="12" s="1"/>
  <c r="H41" i="12"/>
  <c r="J146" i="12"/>
  <c r="J129" i="12"/>
  <c r="J76" i="12"/>
  <c r="F41" i="12"/>
  <c r="E41" i="12"/>
  <c r="P91" i="11"/>
  <c r="F217" i="11"/>
  <c r="G230" i="11"/>
  <c r="G243" i="11" s="1"/>
  <c r="O230" i="11"/>
  <c r="O243" i="11" s="1"/>
  <c r="P129" i="11"/>
  <c r="G217" i="11"/>
  <c r="H230" i="11"/>
  <c r="H243" i="11" s="1"/>
  <c r="H217" i="11"/>
  <c r="P74" i="11"/>
  <c r="M41" i="6"/>
  <c r="E41" i="6"/>
  <c r="E58" i="6" s="1"/>
  <c r="L41" i="6"/>
  <c r="D41" i="6"/>
  <c r="D58" i="6" s="1"/>
  <c r="D249" i="6" s="1"/>
  <c r="K41" i="6"/>
  <c r="J41" i="6"/>
  <c r="H41" i="6"/>
  <c r="G41" i="6"/>
  <c r="G58" i="6" s="1"/>
  <c r="N41" i="6"/>
  <c r="F41" i="6"/>
  <c r="F58" i="6" s="1"/>
  <c r="F249" i="6" s="1"/>
  <c r="P15" i="6"/>
  <c r="I41" i="6"/>
  <c r="I22" i="6"/>
  <c r="I24" i="6" s="1"/>
  <c r="P223" i="6"/>
  <c r="P39" i="6"/>
  <c r="P91" i="6"/>
  <c r="P129" i="6"/>
  <c r="G217" i="6"/>
  <c r="P210" i="6"/>
  <c r="P229" i="6"/>
  <c r="P92" i="6"/>
  <c r="P37" i="6"/>
  <c r="J22" i="5"/>
  <c r="J24" i="5" s="1"/>
  <c r="J25" i="5" s="1"/>
  <c r="K22" i="5"/>
  <c r="K24" i="5" s="1"/>
  <c r="K25" i="5" s="1"/>
  <c r="P85" i="5"/>
  <c r="P89" i="5" s="1"/>
  <c r="P39" i="5"/>
  <c r="L58" i="5"/>
  <c r="L42" i="5"/>
  <c r="P81" i="5"/>
  <c r="P15" i="5"/>
  <c r="P21" i="5"/>
  <c r="F41" i="5"/>
  <c r="F58" i="5" s="1"/>
  <c r="F249" i="5" s="1"/>
  <c r="N41" i="5"/>
  <c r="P73" i="5"/>
  <c r="H73" i="17" s="1"/>
  <c r="P91" i="5"/>
  <c r="F217" i="5"/>
  <c r="N217" i="5"/>
  <c r="G230" i="5"/>
  <c r="G243" i="5" s="1"/>
  <c r="G41" i="5"/>
  <c r="G58" i="5" s="1"/>
  <c r="P129" i="5"/>
  <c r="K42" i="5"/>
  <c r="H41" i="5"/>
  <c r="I41" i="5"/>
  <c r="P74" i="5"/>
  <c r="P210" i="5"/>
  <c r="P37" i="5"/>
  <c r="D41" i="5"/>
  <c r="D58" i="5" s="1"/>
  <c r="D249" i="5" s="1"/>
  <c r="E41" i="5"/>
  <c r="E58" i="5" s="1"/>
  <c r="G22" i="4"/>
  <c r="G60" i="4" s="1"/>
  <c r="P39" i="4"/>
  <c r="J41" i="4"/>
  <c r="P62" i="4"/>
  <c r="G42" i="4"/>
  <c r="P193" i="4"/>
  <c r="P204" i="4"/>
  <c r="D217" i="4"/>
  <c r="P210" i="4"/>
  <c r="L217" i="4"/>
  <c r="D230" i="4"/>
  <c r="P229" i="4"/>
  <c r="P45" i="4"/>
  <c r="M41" i="4"/>
  <c r="P34" i="4"/>
  <c r="I41" i="4"/>
  <c r="P47" i="4"/>
  <c r="N77" i="4"/>
  <c r="P89" i="4"/>
  <c r="P216" i="4"/>
  <c r="E230" i="4"/>
  <c r="E243" i="4" s="1"/>
  <c r="M230" i="4"/>
  <c r="M243" i="4" s="1"/>
  <c r="P129" i="4"/>
  <c r="H41" i="4"/>
  <c r="H217" i="4"/>
  <c r="P74" i="4"/>
  <c r="K41" i="4"/>
  <c r="P37" i="4"/>
  <c r="D41" i="4"/>
  <c r="D58" i="4" s="1"/>
  <c r="L41" i="4"/>
  <c r="E41" i="4"/>
  <c r="E58" i="4" s="1"/>
  <c r="E249" i="4" s="1"/>
  <c r="N259" i="3"/>
  <c r="F41" i="3"/>
  <c r="F58" i="3" s="1"/>
  <c r="F249" i="3" s="1"/>
  <c r="H41" i="3"/>
  <c r="N41" i="3"/>
  <c r="P30" i="3"/>
  <c r="P87" i="3"/>
  <c r="F87" i="17" s="1"/>
  <c r="F88" i="17" s="1"/>
  <c r="H38" i="3"/>
  <c r="I41" i="3"/>
  <c r="P74" i="3"/>
  <c r="P223" i="3"/>
  <c r="P129" i="3"/>
  <c r="J41" i="3"/>
  <c r="P210" i="3"/>
  <c r="P229" i="3"/>
  <c r="K41" i="3"/>
  <c r="D41" i="3"/>
  <c r="D58" i="3" s="1"/>
  <c r="E41" i="3"/>
  <c r="E58" i="3" s="1"/>
  <c r="E249" i="3" s="1"/>
  <c r="P122" i="2"/>
  <c r="P210" i="2"/>
  <c r="P229" i="2"/>
  <c r="P236" i="2"/>
  <c r="P145" i="2"/>
  <c r="K22" i="2"/>
  <c r="K24" i="2" s="1"/>
  <c r="K25" i="2" s="1"/>
  <c r="N76" i="2"/>
  <c r="N77" i="2" s="1"/>
  <c r="P74" i="2"/>
  <c r="P85" i="2"/>
  <c r="P91" i="2"/>
  <c r="G41" i="2"/>
  <c r="G58" i="2" s="1"/>
  <c r="P37" i="2"/>
  <c r="L41" i="2"/>
  <c r="D41" i="2"/>
  <c r="D58" i="2" s="1"/>
  <c r="H41" i="2"/>
  <c r="P134" i="2"/>
  <c r="P193" i="2"/>
  <c r="M41" i="2"/>
  <c r="K41" i="2"/>
  <c r="G22" i="2"/>
  <c r="G24" i="2" s="1"/>
  <c r="G25" i="2" s="1"/>
  <c r="N41" i="2"/>
  <c r="I41" i="2"/>
  <c r="I58" i="2" s="1"/>
  <c r="E41" i="2"/>
  <c r="E58" i="2" s="1"/>
  <c r="E249" i="6" l="1"/>
  <c r="D119" i="12"/>
  <c r="J119" i="12" s="1"/>
  <c r="J118" i="12"/>
  <c r="E249" i="5"/>
  <c r="G249" i="6"/>
  <c r="D243" i="12"/>
  <c r="J230" i="12"/>
  <c r="J41" i="12"/>
  <c r="J250" i="12"/>
  <c r="K140" i="11"/>
  <c r="K144" i="1"/>
  <c r="K145" i="1"/>
  <c r="K149" i="1" s="1"/>
  <c r="G249" i="5"/>
  <c r="D144" i="15"/>
  <c r="D145" i="15"/>
  <c r="D149" i="15" s="1"/>
  <c r="I60" i="2"/>
  <c r="I59" i="2"/>
  <c r="J144" i="11"/>
  <c r="J145" i="11"/>
  <c r="J149" i="11" s="1"/>
  <c r="D249" i="3"/>
  <c r="F230" i="17"/>
  <c r="F243" i="17" s="1"/>
  <c r="G230" i="17"/>
  <c r="G243" i="17" s="1"/>
  <c r="P119" i="6"/>
  <c r="I249" i="15"/>
  <c r="F59" i="6"/>
  <c r="F60" i="6"/>
  <c r="H25" i="6"/>
  <c r="H196" i="11" s="1"/>
  <c r="H189" i="11"/>
  <c r="H193" i="11" s="1"/>
  <c r="E59" i="6"/>
  <c r="E60" i="6"/>
  <c r="F25" i="6"/>
  <c r="F196" i="11" s="1"/>
  <c r="F189" i="11"/>
  <c r="F193" i="11" s="1"/>
  <c r="G59" i="6"/>
  <c r="G60" i="6"/>
  <c r="D25" i="6"/>
  <c r="D196" i="11" s="1"/>
  <c r="D189" i="11"/>
  <c r="I25" i="6"/>
  <c r="I196" i="11" s="1"/>
  <c r="I189" i="11"/>
  <c r="I193" i="11" s="1"/>
  <c r="O196" i="11"/>
  <c r="O189" i="11"/>
  <c r="O193" i="11" s="1"/>
  <c r="M25" i="6"/>
  <c r="M196" i="11" s="1"/>
  <c r="M189" i="11"/>
  <c r="M193" i="11" s="1"/>
  <c r="K25" i="6"/>
  <c r="K196" i="11" s="1"/>
  <c r="K189" i="11"/>
  <c r="K193" i="11" s="1"/>
  <c r="G25" i="6"/>
  <c r="G196" i="11" s="1"/>
  <c r="G189" i="11"/>
  <c r="G193" i="11" s="1"/>
  <c r="D59" i="6"/>
  <c r="D60" i="6"/>
  <c r="E59" i="5"/>
  <c r="E60" i="5"/>
  <c r="D59" i="5"/>
  <c r="D60" i="5"/>
  <c r="G60" i="5"/>
  <c r="G59" i="5"/>
  <c r="F60" i="5"/>
  <c r="F59" i="5"/>
  <c r="G42" i="3"/>
  <c r="G58" i="3"/>
  <c r="G249" i="3" s="1"/>
  <c r="E59" i="3"/>
  <c r="E60" i="3"/>
  <c r="E24" i="3"/>
  <c r="E25" i="3" s="1"/>
  <c r="D60" i="3"/>
  <c r="D59" i="3"/>
  <c r="G24" i="3"/>
  <c r="G25" i="3" s="1"/>
  <c r="F24" i="3"/>
  <c r="F25" i="3" s="1"/>
  <c r="D25" i="3"/>
  <c r="D24" i="3"/>
  <c r="F59" i="3"/>
  <c r="F60" i="3"/>
  <c r="F42" i="4"/>
  <c r="F58" i="4"/>
  <c r="F249" i="4" s="1"/>
  <c r="E60" i="4"/>
  <c r="E59" i="4"/>
  <c r="G24" i="4"/>
  <c r="G25" i="4" s="1"/>
  <c r="E24" i="4"/>
  <c r="E25" i="4" s="1"/>
  <c r="D24" i="4"/>
  <c r="D25" i="4" s="1"/>
  <c r="D59" i="4"/>
  <c r="D60" i="4"/>
  <c r="F25" i="4"/>
  <c r="F24" i="4"/>
  <c r="G59" i="2"/>
  <c r="G249" i="2"/>
  <c r="G60" i="2"/>
  <c r="F59" i="2"/>
  <c r="F249" i="2"/>
  <c r="F60" i="2"/>
  <c r="E59" i="2"/>
  <c r="E249" i="2"/>
  <c r="E60" i="2"/>
  <c r="D60" i="2"/>
  <c r="D249" i="2"/>
  <c r="D59" i="2"/>
  <c r="G119" i="17"/>
  <c r="I249" i="16"/>
  <c r="L249" i="5"/>
  <c r="J37" i="13"/>
  <c r="J38" i="13" s="1"/>
  <c r="I119" i="17"/>
  <c r="F90" i="17"/>
  <c r="I90" i="17"/>
  <c r="J38" i="12"/>
  <c r="D22" i="16"/>
  <c r="D24" i="16" s="1"/>
  <c r="D25" i="16" s="1"/>
  <c r="K249" i="5"/>
  <c r="J25" i="12"/>
  <c r="N42" i="4"/>
  <c r="P83" i="6"/>
  <c r="H21" i="17"/>
  <c r="H22" i="17" s="1"/>
  <c r="H24" i="17" s="1"/>
  <c r="H25" i="17" s="1"/>
  <c r="D22" i="12"/>
  <c r="D24" i="12" s="1"/>
  <c r="D25" i="12" s="1"/>
  <c r="P77" i="5"/>
  <c r="F71" i="17"/>
  <c r="E230" i="17"/>
  <c r="E243" i="17" s="1"/>
  <c r="I249" i="13"/>
  <c r="P77" i="6"/>
  <c r="P119" i="5"/>
  <c r="H119" i="17"/>
  <c r="H90" i="17"/>
  <c r="J58" i="5"/>
  <c r="J249" i="5" s="1"/>
  <c r="K59" i="5"/>
  <c r="P22" i="4"/>
  <c r="P24" i="4" s="1"/>
  <c r="P25" i="4" s="1"/>
  <c r="P230" i="2"/>
  <c r="P119" i="2"/>
  <c r="P37" i="11"/>
  <c r="P38" i="11" s="1"/>
  <c r="J40" i="12"/>
  <c r="H41" i="11"/>
  <c r="H42" i="11" s="1"/>
  <c r="I42" i="13"/>
  <c r="H58" i="13"/>
  <c r="H249" i="13" s="1"/>
  <c r="P40" i="5"/>
  <c r="H39" i="17"/>
  <c r="H40" i="17" s="1"/>
  <c r="P38" i="5"/>
  <c r="H37" i="17"/>
  <c r="H38" i="17" s="1"/>
  <c r="P40" i="4"/>
  <c r="G39" i="17"/>
  <c r="P38" i="4"/>
  <c r="G37" i="17"/>
  <c r="P40" i="3"/>
  <c r="F39" i="17"/>
  <c r="F40" i="17" s="1"/>
  <c r="P38" i="3"/>
  <c r="F37" i="17"/>
  <c r="F38" i="17" s="1"/>
  <c r="D41" i="11"/>
  <c r="D42" i="11" s="1"/>
  <c r="G41" i="11"/>
  <c r="E41" i="11"/>
  <c r="E42" i="11" s="1"/>
  <c r="P40" i="2"/>
  <c r="E39" i="17"/>
  <c r="E40" i="17" s="1"/>
  <c r="P38" i="2"/>
  <c r="E37" i="17"/>
  <c r="E38" i="17" s="1"/>
  <c r="P230" i="3"/>
  <c r="F41" i="11"/>
  <c r="F42" i="11" s="1"/>
  <c r="E119" i="17"/>
  <c r="I21" i="17"/>
  <c r="I22" i="17" s="1"/>
  <c r="I24" i="17" s="1"/>
  <c r="I25" i="17" s="1"/>
  <c r="F119" i="17"/>
  <c r="E251" i="17"/>
  <c r="E21" i="17"/>
  <c r="E22" i="17" s="1"/>
  <c r="E24" i="17" s="1"/>
  <c r="E25" i="17" s="1"/>
  <c r="F21" i="17"/>
  <c r="F22" i="17" s="1"/>
  <c r="F24" i="17" s="1"/>
  <c r="F25" i="17" s="1"/>
  <c r="F82" i="17"/>
  <c r="F83" i="17" s="1"/>
  <c r="E250" i="17"/>
  <c r="H251" i="17"/>
  <c r="H217" i="17"/>
  <c r="E217" i="17"/>
  <c r="H58" i="15"/>
  <c r="H249" i="15" s="1"/>
  <c r="H42" i="16"/>
  <c r="H249" i="16"/>
  <c r="I42" i="16"/>
  <c r="P39" i="11"/>
  <c r="P40" i="11" s="1"/>
  <c r="O41" i="11"/>
  <c r="N41" i="11"/>
  <c r="P123" i="2"/>
  <c r="E122" i="17"/>
  <c r="E123" i="17" s="1"/>
  <c r="P123" i="4"/>
  <c r="G122" i="17"/>
  <c r="G123" i="17" s="1"/>
  <c r="I74" i="17"/>
  <c r="I76" i="17" s="1"/>
  <c r="J41" i="11"/>
  <c r="I41" i="11"/>
  <c r="M41" i="11"/>
  <c r="K41" i="11"/>
  <c r="L41" i="11"/>
  <c r="H250" i="17"/>
  <c r="H230" i="17"/>
  <c r="H243" i="17" s="1"/>
  <c r="G251" i="17"/>
  <c r="G265" i="17"/>
  <c r="F251" i="17"/>
  <c r="F265" i="17"/>
  <c r="I217" i="17"/>
  <c r="G21" i="17"/>
  <c r="G22" i="17" s="1"/>
  <c r="G24" i="17" s="1"/>
  <c r="G25" i="17" s="1"/>
  <c r="L42" i="3"/>
  <c r="M58" i="3"/>
  <c r="M249" i="3" s="1"/>
  <c r="L249" i="3"/>
  <c r="F42" i="2"/>
  <c r="I250" i="17"/>
  <c r="K60" i="5"/>
  <c r="J58" i="2"/>
  <c r="J249" i="2" s="1"/>
  <c r="P243" i="5"/>
  <c r="I149" i="17"/>
  <c r="J243" i="13"/>
  <c r="J245" i="13" s="1"/>
  <c r="J246" i="13" s="1"/>
  <c r="J247" i="13" s="1"/>
  <c r="P243" i="2"/>
  <c r="D22" i="13"/>
  <c r="D24" i="13" s="1"/>
  <c r="D25" i="13" s="1"/>
  <c r="J230" i="13"/>
  <c r="J251" i="13"/>
  <c r="F250" i="17"/>
  <c r="F93" i="17"/>
  <c r="P89" i="11"/>
  <c r="H149" i="17"/>
  <c r="G217" i="17"/>
  <c r="G250" i="17"/>
  <c r="P22" i="2"/>
  <c r="P24" i="2" s="1"/>
  <c r="P25" i="2" s="1"/>
  <c r="J45" i="12"/>
  <c r="J62" i="12"/>
  <c r="P40" i="6"/>
  <c r="I39" i="17"/>
  <c r="P38" i="6"/>
  <c r="I37" i="17"/>
  <c r="I251" i="17"/>
  <c r="I83" i="17"/>
  <c r="F256" i="17"/>
  <c r="F258" i="17" s="1"/>
  <c r="P76" i="3"/>
  <c r="P77" i="3" s="1"/>
  <c r="F74" i="17"/>
  <c r="F76" i="17" s="1"/>
  <c r="E149" i="17"/>
  <c r="I230" i="17"/>
  <c r="I243" i="17" s="1"/>
  <c r="P22" i="3"/>
  <c r="P24" i="3" s="1"/>
  <c r="P25" i="3" s="1"/>
  <c r="I85" i="17"/>
  <c r="I70" i="17"/>
  <c r="I71" i="17" s="1"/>
  <c r="H85" i="17"/>
  <c r="H74" i="17"/>
  <c r="H76" i="17" s="1"/>
  <c r="P82" i="5"/>
  <c r="P83" i="5" s="1"/>
  <c r="H81" i="17"/>
  <c r="H82" i="17" s="1"/>
  <c r="G149" i="17"/>
  <c r="P82" i="4"/>
  <c r="P83" i="4" s="1"/>
  <c r="G81" i="17"/>
  <c r="G82" i="17" s="1"/>
  <c r="G91" i="17"/>
  <c r="G256" i="17" s="1"/>
  <c r="G258" i="17" s="1"/>
  <c r="P76" i="4"/>
  <c r="P77" i="4" s="1"/>
  <c r="G74" i="17"/>
  <c r="G76" i="17" s="1"/>
  <c r="F217" i="17"/>
  <c r="F149" i="17"/>
  <c r="P76" i="2"/>
  <c r="P77" i="2" s="1"/>
  <c r="E74" i="17"/>
  <c r="E76" i="17" s="1"/>
  <c r="P89" i="2"/>
  <c r="E85" i="17"/>
  <c r="E93" i="17" s="1"/>
  <c r="E83" i="17"/>
  <c r="P83" i="2"/>
  <c r="J30" i="12"/>
  <c r="J47" i="12"/>
  <c r="J32" i="12"/>
  <c r="G47" i="17"/>
  <c r="G62" i="17"/>
  <c r="G40" i="17"/>
  <c r="G30" i="17"/>
  <c r="G32" i="17"/>
  <c r="G45" i="17"/>
  <c r="G34" i="17"/>
  <c r="F45" i="17"/>
  <c r="F47" i="17"/>
  <c r="F30" i="17"/>
  <c r="F62" i="17"/>
  <c r="F32" i="17"/>
  <c r="F34" i="17"/>
  <c r="P243" i="11"/>
  <c r="P243" i="6"/>
  <c r="P243" i="4"/>
  <c r="P243" i="3"/>
  <c r="E24" i="6"/>
  <c r="P230" i="6"/>
  <c r="P22" i="6"/>
  <c r="P24" i="6" s="1"/>
  <c r="P25" i="6" s="1"/>
  <c r="P217" i="11"/>
  <c r="J251" i="12"/>
  <c r="P251" i="11"/>
  <c r="P250" i="11"/>
  <c r="P149" i="11"/>
  <c r="P250" i="6"/>
  <c r="P251" i="6"/>
  <c r="P149" i="6"/>
  <c r="P22" i="11"/>
  <c r="P24" i="11" s="1"/>
  <c r="P25" i="11" s="1"/>
  <c r="P250" i="5"/>
  <c r="P251" i="5"/>
  <c r="P149" i="5"/>
  <c r="P250" i="4"/>
  <c r="P251" i="4"/>
  <c r="P149" i="4"/>
  <c r="P251" i="3"/>
  <c r="P250" i="3"/>
  <c r="P149" i="3"/>
  <c r="P251" i="2"/>
  <c r="P250" i="2"/>
  <c r="P149" i="2"/>
  <c r="H34" i="17"/>
  <c r="H32" i="17"/>
  <c r="H62" i="17"/>
  <c r="H47" i="17"/>
  <c r="H45" i="17"/>
  <c r="H30" i="17"/>
  <c r="E47" i="17"/>
  <c r="E34" i="17"/>
  <c r="E45" i="17"/>
  <c r="E32" i="17"/>
  <c r="E30" i="17"/>
  <c r="E62" i="17"/>
  <c r="P22" i="5"/>
  <c r="P24" i="5" s="1"/>
  <c r="P25" i="5" s="1"/>
  <c r="P230" i="5"/>
  <c r="I42" i="15"/>
  <c r="M58" i="5"/>
  <c r="M249" i="5" s="1"/>
  <c r="M42" i="5"/>
  <c r="J83" i="13"/>
  <c r="F58" i="16"/>
  <c r="F249" i="16" s="1"/>
  <c r="F42" i="16"/>
  <c r="H60" i="16"/>
  <c r="H59" i="16"/>
  <c r="E42" i="16"/>
  <c r="E58" i="16"/>
  <c r="E249" i="16" s="1"/>
  <c r="D42" i="16"/>
  <c r="D58" i="16"/>
  <c r="D249" i="16" s="1"/>
  <c r="G58" i="16"/>
  <c r="G249" i="16" s="1"/>
  <c r="G42" i="16"/>
  <c r="I60" i="16"/>
  <c r="I59" i="16"/>
  <c r="G58" i="15"/>
  <c r="G249" i="15" s="1"/>
  <c r="G42" i="15"/>
  <c r="E42" i="15"/>
  <c r="E58" i="15"/>
  <c r="E249" i="15" s="1"/>
  <c r="F58" i="15"/>
  <c r="F249" i="15" s="1"/>
  <c r="F42" i="15"/>
  <c r="I60" i="15"/>
  <c r="I59" i="15"/>
  <c r="D42" i="15"/>
  <c r="I60" i="13"/>
  <c r="I59" i="13"/>
  <c r="J40" i="13"/>
  <c r="D42" i="13"/>
  <c r="J217" i="13"/>
  <c r="G58" i="13"/>
  <c r="G249" i="13" s="1"/>
  <c r="G42" i="13"/>
  <c r="E42" i="13"/>
  <c r="E58" i="13"/>
  <c r="E249" i="13" s="1"/>
  <c r="J94" i="13"/>
  <c r="J95" i="13" s="1"/>
  <c r="J62" i="13"/>
  <c r="J47" i="13"/>
  <c r="J45" i="13"/>
  <c r="J34" i="13"/>
  <c r="J30" i="13"/>
  <c r="F42" i="13"/>
  <c r="F58" i="13"/>
  <c r="F249" i="13" s="1"/>
  <c r="J22" i="13"/>
  <c r="J24" i="13" s="1"/>
  <c r="J25" i="13" s="1"/>
  <c r="J243" i="12"/>
  <c r="J149" i="12"/>
  <c r="G58" i="12"/>
  <c r="E58" i="12"/>
  <c r="E42" i="12"/>
  <c r="H42" i="12"/>
  <c r="H58" i="12"/>
  <c r="H249" i="12" s="1"/>
  <c r="F42" i="12"/>
  <c r="F58" i="12"/>
  <c r="F249" i="12" s="1"/>
  <c r="J217" i="12"/>
  <c r="J77" i="12"/>
  <c r="D42" i="12"/>
  <c r="P230" i="11"/>
  <c r="P76" i="11"/>
  <c r="P77" i="11" s="1"/>
  <c r="I58" i="6"/>
  <c r="I249" i="6" s="1"/>
  <c r="I42" i="6"/>
  <c r="K58" i="6"/>
  <c r="K249" i="6" s="1"/>
  <c r="K42" i="6"/>
  <c r="J58" i="6"/>
  <c r="J249" i="6" s="1"/>
  <c r="J42" i="6"/>
  <c r="P259" i="6"/>
  <c r="P94" i="6"/>
  <c r="P95" i="6" s="1"/>
  <c r="P41" i="6"/>
  <c r="P42" i="6" s="1"/>
  <c r="D42" i="6"/>
  <c r="F42" i="6"/>
  <c r="L58" i="6"/>
  <c r="L249" i="6" s="1"/>
  <c r="L42" i="6"/>
  <c r="G42" i="6"/>
  <c r="M42" i="6"/>
  <c r="M58" i="6"/>
  <c r="M249" i="6" s="1"/>
  <c r="N42" i="6"/>
  <c r="N58" i="6"/>
  <c r="N249" i="6" s="1"/>
  <c r="E42" i="6"/>
  <c r="P217" i="6"/>
  <c r="H42" i="6"/>
  <c r="H58" i="6"/>
  <c r="H249" i="6" s="1"/>
  <c r="P217" i="5"/>
  <c r="L60" i="5"/>
  <c r="L59" i="5"/>
  <c r="E42" i="5"/>
  <c r="I42" i="5"/>
  <c r="I58" i="5"/>
  <c r="I249" i="5" s="1"/>
  <c r="G42" i="5"/>
  <c r="N58" i="5"/>
  <c r="N249" i="5" s="1"/>
  <c r="N42" i="5"/>
  <c r="P92" i="5"/>
  <c r="N259" i="5"/>
  <c r="D42" i="5"/>
  <c r="P41" i="5"/>
  <c r="P42" i="5" s="1"/>
  <c r="H42" i="5"/>
  <c r="H58" i="5"/>
  <c r="H249" i="5" s="1"/>
  <c r="F42" i="5"/>
  <c r="J60" i="5"/>
  <c r="J59" i="5"/>
  <c r="P217" i="4"/>
  <c r="D42" i="4"/>
  <c r="P41" i="4"/>
  <c r="P42" i="4" s="1"/>
  <c r="E42" i="4"/>
  <c r="L58" i="4"/>
  <c r="L249" i="4" s="1"/>
  <c r="L42" i="4"/>
  <c r="H42" i="4"/>
  <c r="H58" i="4"/>
  <c r="H249" i="4" s="1"/>
  <c r="I58" i="4"/>
  <c r="I249" i="4" s="1"/>
  <c r="I42" i="4"/>
  <c r="N59" i="4"/>
  <c r="N60" i="4"/>
  <c r="K58" i="4"/>
  <c r="K249" i="4" s="1"/>
  <c r="K42" i="4"/>
  <c r="M42" i="4"/>
  <c r="M58" i="4"/>
  <c r="M249" i="4" s="1"/>
  <c r="J58" i="4"/>
  <c r="J249" i="4" s="1"/>
  <c r="J42" i="4"/>
  <c r="P92" i="4"/>
  <c r="N94" i="4"/>
  <c r="N95" i="4" s="1"/>
  <c r="N255" i="4" s="1"/>
  <c r="P230" i="4"/>
  <c r="D243" i="4"/>
  <c r="D249" i="4" s="1"/>
  <c r="K58" i="3"/>
  <c r="K249" i="3" s="1"/>
  <c r="K42" i="3"/>
  <c r="N42" i="3"/>
  <c r="N58" i="3"/>
  <c r="N249" i="3" s="1"/>
  <c r="L60" i="3"/>
  <c r="L59" i="3"/>
  <c r="I249" i="3"/>
  <c r="I42" i="3"/>
  <c r="F42" i="3"/>
  <c r="H42" i="3"/>
  <c r="H58" i="3"/>
  <c r="H249" i="3" s="1"/>
  <c r="P217" i="3"/>
  <c r="D42" i="3"/>
  <c r="P41" i="3"/>
  <c r="P42" i="3" s="1"/>
  <c r="J58" i="3"/>
  <c r="J249" i="3" s="1"/>
  <c r="J42" i="3"/>
  <c r="P259" i="3"/>
  <c r="P94" i="3"/>
  <c r="P95" i="3" s="1"/>
  <c r="E42" i="3"/>
  <c r="E42" i="2"/>
  <c r="I249" i="2"/>
  <c r="I42" i="2"/>
  <c r="H42" i="2"/>
  <c r="H58" i="2"/>
  <c r="H249" i="2" s="1"/>
  <c r="K58" i="2"/>
  <c r="K249" i="2" s="1"/>
  <c r="K42" i="2"/>
  <c r="D42" i="2"/>
  <c r="P41" i="2"/>
  <c r="P42" i="2" s="1"/>
  <c r="N259" i="2"/>
  <c r="P92" i="2"/>
  <c r="M42" i="2"/>
  <c r="M58" i="2"/>
  <c r="M249" i="2" s="1"/>
  <c r="L58" i="2"/>
  <c r="L249" i="2" s="1"/>
  <c r="L42" i="2"/>
  <c r="N42" i="2"/>
  <c r="N58" i="2"/>
  <c r="N249" i="2" s="1"/>
  <c r="P217" i="2"/>
  <c r="G42" i="2"/>
  <c r="K144" i="11" l="1"/>
  <c r="K145" i="11"/>
  <c r="K149" i="11" s="1"/>
  <c r="E249" i="12"/>
  <c r="E25" i="6"/>
  <c r="E196" i="11" s="1"/>
  <c r="E189" i="11"/>
  <c r="E193" i="11" s="1"/>
  <c r="D193" i="11"/>
  <c r="G60" i="3"/>
  <c r="G59" i="3"/>
  <c r="F59" i="4"/>
  <c r="F60" i="4"/>
  <c r="G41" i="17"/>
  <c r="G58" i="17" s="1"/>
  <c r="G249" i="17" s="1"/>
  <c r="J42" i="12"/>
  <c r="G38" i="17"/>
  <c r="E41" i="17"/>
  <c r="E42" i="17" s="1"/>
  <c r="J41" i="13"/>
  <c r="J42" i="13" s="1"/>
  <c r="F41" i="17"/>
  <c r="F42" i="17" s="1"/>
  <c r="I92" i="17"/>
  <c r="I77" i="17"/>
  <c r="H59" i="13"/>
  <c r="H60" i="15"/>
  <c r="H60" i="13"/>
  <c r="P255" i="4"/>
  <c r="P259" i="4" s="1"/>
  <c r="G255" i="16"/>
  <c r="G259" i="16" s="1"/>
  <c r="H41" i="17"/>
  <c r="H59" i="15"/>
  <c r="G42" i="11"/>
  <c r="J60" i="2"/>
  <c r="J59" i="2"/>
  <c r="N42" i="11"/>
  <c r="O42" i="11"/>
  <c r="P41" i="11"/>
  <c r="P42" i="11" s="1"/>
  <c r="I42" i="11"/>
  <c r="J250" i="13"/>
  <c r="K42" i="11"/>
  <c r="J42" i="11"/>
  <c r="M42" i="11"/>
  <c r="L42" i="11"/>
  <c r="N259" i="4"/>
  <c r="M60" i="3"/>
  <c r="M59" i="3"/>
  <c r="H91" i="17"/>
  <c r="H256" i="17" s="1"/>
  <c r="H258" i="17" s="1"/>
  <c r="I41" i="17"/>
  <c r="I38" i="17"/>
  <c r="I40" i="17"/>
  <c r="I93" i="17"/>
  <c r="F77" i="17"/>
  <c r="F92" i="17"/>
  <c r="F94" i="17" s="1"/>
  <c r="I91" i="17"/>
  <c r="I256" i="17" s="1"/>
  <c r="I258" i="17" s="1"/>
  <c r="H77" i="17"/>
  <c r="H92" i="17"/>
  <c r="H93" i="17"/>
  <c r="H83" i="17"/>
  <c r="G83" i="17"/>
  <c r="G93" i="17"/>
  <c r="G77" i="17"/>
  <c r="G92" i="17"/>
  <c r="E77" i="17"/>
  <c r="E92" i="17"/>
  <c r="E94" i="17" s="1"/>
  <c r="E99" i="17" s="1"/>
  <c r="E91" i="17"/>
  <c r="E256" i="17" s="1"/>
  <c r="E258" i="17" s="1"/>
  <c r="G60" i="12"/>
  <c r="G249" i="12"/>
  <c r="M60" i="5"/>
  <c r="M59" i="5"/>
  <c r="D59" i="16"/>
  <c r="D60" i="16"/>
  <c r="G59" i="16"/>
  <c r="G60" i="16"/>
  <c r="E59" i="16"/>
  <c r="E60" i="16"/>
  <c r="F59" i="16"/>
  <c r="F60" i="16"/>
  <c r="E59" i="15"/>
  <c r="E60" i="15"/>
  <c r="G59" i="15"/>
  <c r="G60" i="15"/>
  <c r="F59" i="15"/>
  <c r="F60" i="15"/>
  <c r="G59" i="13"/>
  <c r="G60" i="13"/>
  <c r="F59" i="13"/>
  <c r="F60" i="13"/>
  <c r="E59" i="13"/>
  <c r="E60" i="13"/>
  <c r="G59" i="12"/>
  <c r="H59" i="12"/>
  <c r="H60" i="12"/>
  <c r="E59" i="12"/>
  <c r="E60" i="12"/>
  <c r="F59" i="12"/>
  <c r="F60" i="12"/>
  <c r="J259" i="12"/>
  <c r="J95" i="12"/>
  <c r="P94" i="11"/>
  <c r="P95" i="11" s="1"/>
  <c r="L59" i="6"/>
  <c r="L60" i="6"/>
  <c r="H60" i="6"/>
  <c r="H59" i="6"/>
  <c r="N59" i="6"/>
  <c r="N60" i="6"/>
  <c r="J60" i="6"/>
  <c r="J59" i="6"/>
  <c r="M59" i="6"/>
  <c r="M60" i="6"/>
  <c r="K59" i="6"/>
  <c r="K60" i="6"/>
  <c r="P58" i="6"/>
  <c r="P249" i="6" s="1"/>
  <c r="I60" i="6"/>
  <c r="I59" i="6"/>
  <c r="N59" i="5"/>
  <c r="N60" i="5"/>
  <c r="P58" i="5"/>
  <c r="P249" i="5" s="1"/>
  <c r="I60" i="5"/>
  <c r="I59" i="5"/>
  <c r="H60" i="5"/>
  <c r="H59" i="5"/>
  <c r="P259" i="5"/>
  <c r="P94" i="5"/>
  <c r="P95" i="5" s="1"/>
  <c r="H60" i="4"/>
  <c r="H59" i="4"/>
  <c r="J60" i="4"/>
  <c r="J59" i="4"/>
  <c r="L59" i="4"/>
  <c r="L60" i="4"/>
  <c r="P58" i="4"/>
  <c r="P249" i="4" s="1"/>
  <c r="M59" i="4"/>
  <c r="M60" i="4"/>
  <c r="P94" i="4"/>
  <c r="P95" i="4" s="1"/>
  <c r="K59" i="4"/>
  <c r="K60" i="4"/>
  <c r="I60" i="4"/>
  <c r="I59" i="4"/>
  <c r="H60" i="3"/>
  <c r="H59" i="3"/>
  <c r="N59" i="3"/>
  <c r="N60" i="3"/>
  <c r="P58" i="3"/>
  <c r="P249" i="3" s="1"/>
  <c r="K59" i="3"/>
  <c r="K60" i="3"/>
  <c r="J60" i="3"/>
  <c r="J59" i="3"/>
  <c r="L59" i="2"/>
  <c r="L60" i="2"/>
  <c r="P58" i="2"/>
  <c r="P249" i="2" s="1"/>
  <c r="M60" i="2"/>
  <c r="M59" i="2"/>
  <c r="N59" i="2"/>
  <c r="N60" i="2"/>
  <c r="P259" i="2"/>
  <c r="P94" i="2"/>
  <c r="P95" i="2" s="1"/>
  <c r="K59" i="2"/>
  <c r="K60" i="2"/>
  <c r="H59" i="2"/>
  <c r="H60" i="2"/>
  <c r="G60" i="17" l="1"/>
  <c r="P189" i="11"/>
  <c r="P193" i="11" s="1"/>
  <c r="G59" i="17"/>
  <c r="G42" i="17"/>
  <c r="E58" i="17"/>
  <c r="E249" i="17" s="1"/>
  <c r="F58" i="17"/>
  <c r="F249" i="17" s="1"/>
  <c r="I94" i="17"/>
  <c r="I99" i="17" s="1"/>
  <c r="H58" i="17"/>
  <c r="H42" i="17"/>
  <c r="F95" i="17"/>
  <c r="F255" i="17" s="1"/>
  <c r="F259" i="17" s="1"/>
  <c r="F99" i="17"/>
  <c r="H94" i="17"/>
  <c r="I42" i="17"/>
  <c r="I58" i="17"/>
  <c r="G94" i="17"/>
  <c r="E95" i="17"/>
  <c r="E255" i="17" s="1"/>
  <c r="E259" i="17" s="1"/>
  <c r="P60" i="6"/>
  <c r="P59" i="6"/>
  <c r="P60" i="5"/>
  <c r="P59" i="5"/>
  <c r="P60" i="4"/>
  <c r="P59" i="4"/>
  <c r="P60" i="3"/>
  <c r="P59" i="3"/>
  <c r="P60" i="2"/>
  <c r="P59" i="2"/>
  <c r="E59" i="17" l="1"/>
  <c r="E60" i="17"/>
  <c r="F60" i="17"/>
  <c r="F59" i="17"/>
  <c r="I95" i="17"/>
  <c r="I255" i="17" s="1"/>
  <c r="I259" i="17" s="1"/>
  <c r="H59" i="17"/>
  <c r="H249" i="17"/>
  <c r="H60" i="17"/>
  <c r="H95" i="17"/>
  <c r="H255" i="17" s="1"/>
  <c r="H259" i="17" s="1"/>
  <c r="H99" i="17"/>
  <c r="G95" i="17"/>
  <c r="G255" i="17" s="1"/>
  <c r="G259" i="17" s="1"/>
  <c r="G99" i="17"/>
  <c r="I60" i="17"/>
  <c r="I249" i="17"/>
  <c r="I59" i="17"/>
  <c r="N229" i="1"/>
  <c r="M229" i="1"/>
  <c r="L229" i="1"/>
  <c r="J229" i="1"/>
  <c r="I229" i="1"/>
  <c r="H229" i="1"/>
  <c r="G229" i="1"/>
  <c r="F229" i="1"/>
  <c r="E229" i="1"/>
  <c r="D229" i="1"/>
  <c r="P228" i="1"/>
  <c r="D228" i="17" s="1"/>
  <c r="P227" i="1"/>
  <c r="D227" i="17" s="1"/>
  <c r="P226" i="1"/>
  <c r="D226" i="17" s="1"/>
  <c r="P225" i="1"/>
  <c r="D225" i="17" s="1"/>
  <c r="E111" i="1"/>
  <c r="F111" i="1"/>
  <c r="G111" i="1"/>
  <c r="H111" i="1"/>
  <c r="H118" i="1" s="1"/>
  <c r="I111" i="1"/>
  <c r="J111" i="1"/>
  <c r="K111" i="1"/>
  <c r="K118" i="1" s="1"/>
  <c r="L111" i="1"/>
  <c r="M111" i="1"/>
  <c r="M118" i="1" s="1"/>
  <c r="N111" i="1"/>
  <c r="N118" i="1" s="1"/>
  <c r="D111" i="1"/>
  <c r="P104" i="1"/>
  <c r="D104" i="17" s="1"/>
  <c r="E105" i="1"/>
  <c r="F105" i="1"/>
  <c r="G105" i="1"/>
  <c r="H105" i="1"/>
  <c r="I105" i="1"/>
  <c r="J105" i="1"/>
  <c r="K105" i="1"/>
  <c r="L105" i="1"/>
  <c r="M105" i="1"/>
  <c r="N105" i="1"/>
  <c r="D105" i="1"/>
  <c r="D117" i="1"/>
  <c r="M119" i="1" l="1"/>
  <c r="D118" i="1"/>
  <c r="D119" i="1" s="1"/>
  <c r="H119" i="1"/>
  <c r="P111" i="1"/>
  <c r="N119" i="1"/>
  <c r="P105" i="1"/>
  <c r="K119" i="1"/>
  <c r="P229" i="1"/>
  <c r="D229" i="17"/>
  <c r="P187" i="1"/>
  <c r="D187" i="17" s="1"/>
  <c r="P186" i="1"/>
  <c r="D186" i="17" s="1"/>
  <c r="P185" i="1"/>
  <c r="D185" i="17" s="1"/>
  <c r="P184" i="1"/>
  <c r="D184" i="17" s="1"/>
  <c r="H193" i="1"/>
  <c r="I193" i="1"/>
  <c r="J193" i="1"/>
  <c r="K193" i="1"/>
  <c r="L193" i="1"/>
  <c r="M193" i="1"/>
  <c r="N193" i="1"/>
  <c r="E247" i="1" l="1"/>
  <c r="F247" i="1"/>
  <c r="G247" i="1"/>
  <c r="H247" i="1"/>
  <c r="I247" i="1"/>
  <c r="J247" i="1"/>
  <c r="K247" i="1"/>
  <c r="L247" i="1"/>
  <c r="M247" i="1"/>
  <c r="N247" i="1"/>
  <c r="P247" i="1"/>
  <c r="D247" i="1"/>
  <c r="I117" i="1"/>
  <c r="I118" i="1" s="1"/>
  <c r="I119" i="1" s="1"/>
  <c r="J117" i="1"/>
  <c r="J118" i="1" s="1"/>
  <c r="J119" i="1" s="1"/>
  <c r="L117" i="1"/>
  <c r="L118" i="1" s="1"/>
  <c r="L119" i="1" s="1"/>
  <c r="P117" i="1"/>
  <c r="P118" i="1" s="1"/>
  <c r="P119" i="1" s="1"/>
  <c r="P98" i="1"/>
  <c r="D98" i="17" s="1"/>
  <c r="E95" i="1"/>
  <c r="F95" i="1"/>
  <c r="G95" i="1"/>
  <c r="H94" i="1"/>
  <c r="H95" i="1" s="1"/>
  <c r="D94" i="1"/>
  <c r="D95" i="1" s="1"/>
  <c r="J83" i="1"/>
  <c r="K78" i="1" s="1"/>
  <c r="M82" i="1"/>
  <c r="M83" i="1" s="1"/>
  <c r="J71" i="1"/>
  <c r="K66" i="1" s="1"/>
  <c r="P68" i="1"/>
  <c r="D68" i="17" s="1"/>
  <c r="P69" i="1"/>
  <c r="D69" i="17" s="1"/>
  <c r="E15" i="1"/>
  <c r="F15" i="1"/>
  <c r="G15" i="1"/>
  <c r="H15" i="1"/>
  <c r="I15" i="1"/>
  <c r="J15" i="1"/>
  <c r="K15" i="1"/>
  <c r="L15" i="1"/>
  <c r="M15" i="1"/>
  <c r="N15" i="1"/>
  <c r="G21" i="1"/>
  <c r="H21" i="1"/>
  <c r="I21" i="1"/>
  <c r="J21" i="1"/>
  <c r="K21" i="1"/>
  <c r="L21" i="1"/>
  <c r="M21" i="1"/>
  <c r="N21" i="1"/>
  <c r="P9" i="1"/>
  <c r="D9" i="17" s="1"/>
  <c r="P13" i="1"/>
  <c r="D13" i="17" s="1"/>
  <c r="P18" i="1"/>
  <c r="N30" i="1"/>
  <c r="G32" i="1"/>
  <c r="I32" i="1"/>
  <c r="J32" i="1"/>
  <c r="K32" i="1"/>
  <c r="L32" i="1"/>
  <c r="M32" i="1"/>
  <c r="N32" i="1"/>
  <c r="H32" i="1"/>
  <c r="G34" i="1"/>
  <c r="I34" i="1"/>
  <c r="J34" i="1"/>
  <c r="K34" i="1"/>
  <c r="M34" i="1"/>
  <c r="H34" i="1"/>
  <c r="L34" i="1"/>
  <c r="N34" i="1"/>
  <c r="G38" i="1"/>
  <c r="H38" i="1"/>
  <c r="I38" i="1"/>
  <c r="J38" i="1"/>
  <c r="K38" i="1"/>
  <c r="L38" i="1"/>
  <c r="M38" i="1"/>
  <c r="N38" i="1"/>
  <c r="G40" i="1"/>
  <c r="H40" i="1"/>
  <c r="I40" i="1"/>
  <c r="J40" i="1"/>
  <c r="K40" i="1"/>
  <c r="L40" i="1"/>
  <c r="M40" i="1"/>
  <c r="N40" i="1"/>
  <c r="N45" i="1"/>
  <c r="H47" i="1"/>
  <c r="I47" i="1"/>
  <c r="J47" i="1"/>
  <c r="K47" i="1"/>
  <c r="L47" i="1"/>
  <c r="M47" i="1"/>
  <c r="N47" i="1"/>
  <c r="E58" i="11"/>
  <c r="E249" i="11" s="1"/>
  <c r="F58" i="11"/>
  <c r="F249" i="11" s="1"/>
  <c r="H58" i="11"/>
  <c r="H249" i="11" s="1"/>
  <c r="I58" i="11"/>
  <c r="I249" i="11" s="1"/>
  <c r="K58" i="11"/>
  <c r="K249" i="11" s="1"/>
  <c r="L58" i="11"/>
  <c r="L249" i="11" s="1"/>
  <c r="M58" i="11"/>
  <c r="M249" i="11" s="1"/>
  <c r="N58" i="11"/>
  <c r="N249" i="11" s="1"/>
  <c r="O58" i="11"/>
  <c r="O249" i="11" s="1"/>
  <c r="H62" i="1"/>
  <c r="L62" i="1"/>
  <c r="M62" i="1"/>
  <c r="P61" i="1"/>
  <c r="D61" i="17" s="1"/>
  <c r="N62" i="1"/>
  <c r="P66" i="1"/>
  <c r="P78" i="1"/>
  <c r="N82" i="1"/>
  <c r="N83" i="1" s="1"/>
  <c r="P84" i="1"/>
  <c r="P101" i="1"/>
  <c r="D101" i="17" s="1"/>
  <c r="P102" i="1"/>
  <c r="D102" i="17" s="1"/>
  <c r="P103" i="1"/>
  <c r="D103" i="17" s="1"/>
  <c r="P107" i="1"/>
  <c r="D107" i="17" s="1"/>
  <c r="P108" i="1"/>
  <c r="D108" i="17" s="1"/>
  <c r="P109" i="1"/>
  <c r="D109" i="17" s="1"/>
  <c r="P110" i="1"/>
  <c r="D110" i="17" s="1"/>
  <c r="P121" i="1"/>
  <c r="D121" i="17" s="1"/>
  <c r="K123" i="1"/>
  <c r="L123" i="1"/>
  <c r="M123" i="1"/>
  <c r="P122" i="1"/>
  <c r="D122" i="17" s="1"/>
  <c r="D123" i="1"/>
  <c r="P125" i="1"/>
  <c r="D125" i="17" s="1"/>
  <c r="P130" i="1"/>
  <c r="D130" i="17" s="1"/>
  <c r="P140" i="1"/>
  <c r="D140" i="17" s="1"/>
  <c r="F204" i="1"/>
  <c r="K204" i="1"/>
  <c r="F210" i="1"/>
  <c r="H210" i="1"/>
  <c r="H250" i="1" s="1"/>
  <c r="J210" i="1"/>
  <c r="G216" i="1"/>
  <c r="L216" i="1"/>
  <c r="M216" i="1"/>
  <c r="H223" i="1"/>
  <c r="H230" i="1" s="1"/>
  <c r="H243" i="1" s="1"/>
  <c r="I223" i="1"/>
  <c r="I230" i="1" s="1"/>
  <c r="J223" i="1"/>
  <c r="K223" i="1"/>
  <c r="K230" i="1" s="1"/>
  <c r="L223" i="1"/>
  <c r="L230" i="1" s="1"/>
  <c r="N242" i="1"/>
  <c r="D258" i="1"/>
  <c r="J258" i="1"/>
  <c r="K258" i="1"/>
  <c r="K71" i="1" l="1"/>
  <c r="K66" i="11"/>
  <c r="K90" i="1"/>
  <c r="K95" i="1" s="1"/>
  <c r="K78" i="11"/>
  <c r="K83" i="11" s="1"/>
  <c r="K83" i="1"/>
  <c r="D255" i="13"/>
  <c r="J255" i="13" s="1"/>
  <c r="J259" i="13" s="1"/>
  <c r="F40" i="1"/>
  <c r="F22" i="1"/>
  <c r="F24" i="1" s="1"/>
  <c r="F25" i="1" s="1"/>
  <c r="E40" i="1"/>
  <c r="E22" i="1"/>
  <c r="E24" i="1" s="1"/>
  <c r="E25" i="1" s="1"/>
  <c r="G22" i="1"/>
  <c r="G24" i="1" s="1"/>
  <c r="G25" i="1" s="1"/>
  <c r="D123" i="17"/>
  <c r="I60" i="11"/>
  <c r="I59" i="11"/>
  <c r="H60" i="11"/>
  <c r="H59" i="11"/>
  <c r="D52" i="12"/>
  <c r="J52" i="12" s="1"/>
  <c r="J58" i="11"/>
  <c r="J249" i="11" s="1"/>
  <c r="D52" i="15"/>
  <c r="O60" i="11"/>
  <c r="O59" i="11"/>
  <c r="G58" i="11"/>
  <c r="G249" i="11" s="1"/>
  <c r="D52" i="13"/>
  <c r="K59" i="11"/>
  <c r="K60" i="11"/>
  <c r="N60" i="11"/>
  <c r="N59" i="11"/>
  <c r="F60" i="11"/>
  <c r="F59" i="11"/>
  <c r="L59" i="11"/>
  <c r="L60" i="11"/>
  <c r="M60" i="11"/>
  <c r="M59" i="11"/>
  <c r="E59" i="11"/>
  <c r="E60" i="11"/>
  <c r="D105" i="17"/>
  <c r="D111" i="17"/>
  <c r="D118" i="17" s="1"/>
  <c r="J230" i="1"/>
  <c r="J251" i="1"/>
  <c r="J250" i="1"/>
  <c r="D18" i="17"/>
  <c r="H251" i="1"/>
  <c r="D70" i="17"/>
  <c r="D62" i="17"/>
  <c r="I22" i="1"/>
  <c r="I24" i="1" s="1"/>
  <c r="I25" i="1" s="1"/>
  <c r="G242" i="1"/>
  <c r="G250" i="1" s="1"/>
  <c r="F223" i="1"/>
  <c r="F230" i="1" s="1"/>
  <c r="P70" i="1"/>
  <c r="I123" i="1"/>
  <c r="D216" i="1"/>
  <c r="N91" i="1"/>
  <c r="N256" i="1" s="1"/>
  <c r="N258" i="1" s="1"/>
  <c r="E216" i="1"/>
  <c r="E250" i="1" s="1"/>
  <c r="N216" i="1"/>
  <c r="K242" i="1"/>
  <c r="K243" i="1" s="1"/>
  <c r="N204" i="1"/>
  <c r="F216" i="1"/>
  <c r="M22" i="1"/>
  <c r="M24" i="1" s="1"/>
  <c r="F242" i="1"/>
  <c r="E259" i="1"/>
  <c r="L22" i="1"/>
  <c r="L24" i="1" s="1"/>
  <c r="L25" i="1" s="1"/>
  <c r="J22" i="1"/>
  <c r="J24" i="1" s="1"/>
  <c r="J25" i="1" s="1"/>
  <c r="E204" i="1"/>
  <c r="M259" i="1"/>
  <c r="D242" i="1"/>
  <c r="D204" i="1"/>
  <c r="E58" i="1"/>
  <c r="D223" i="1"/>
  <c r="D230" i="1" s="1"/>
  <c r="N42" i="1"/>
  <c r="M58" i="1"/>
  <c r="K216" i="1"/>
  <c r="J42" i="1"/>
  <c r="M210" i="1"/>
  <c r="M217" i="1" s="1"/>
  <c r="L210" i="1"/>
  <c r="J259" i="1"/>
  <c r="H22" i="1"/>
  <c r="L242" i="1"/>
  <c r="L243" i="1" s="1"/>
  <c r="M204" i="1"/>
  <c r="G210" i="1"/>
  <c r="G251" i="1" s="1"/>
  <c r="G58" i="1"/>
  <c r="L259" i="1"/>
  <c r="N22" i="1"/>
  <c r="N24" i="1" s="1"/>
  <c r="N25" i="1" s="1"/>
  <c r="K259" i="1"/>
  <c r="M242" i="1"/>
  <c r="I216" i="1"/>
  <c r="N90" i="1"/>
  <c r="M223" i="1"/>
  <c r="P223" i="1" s="1"/>
  <c r="J123" i="1"/>
  <c r="L258" i="1"/>
  <c r="K210" i="1"/>
  <c r="H123" i="1"/>
  <c r="K22" i="1"/>
  <c r="K24" i="1" s="1"/>
  <c r="K25" i="1" s="1"/>
  <c r="I210" i="1"/>
  <c r="P90" i="1"/>
  <c r="P135" i="1"/>
  <c r="E242" i="1"/>
  <c r="P136" i="1"/>
  <c r="D136" i="17" s="1"/>
  <c r="P127" i="1"/>
  <c r="D127" i="17" s="1"/>
  <c r="L204" i="1"/>
  <c r="P162" i="1"/>
  <c r="D162" i="17" s="1"/>
  <c r="N89" i="1"/>
  <c r="E223" i="1"/>
  <c r="E230" i="1" s="1"/>
  <c r="E210" i="1"/>
  <c r="E251" i="1" s="1"/>
  <c r="P133" i="1"/>
  <c r="D133" i="17" s="1"/>
  <c r="P209" i="1"/>
  <c r="P191" i="1"/>
  <c r="D191" i="17" s="1"/>
  <c r="P172" i="1"/>
  <c r="D172" i="17" s="1"/>
  <c r="P46" i="1"/>
  <c r="D46" i="17" s="1"/>
  <c r="P29" i="1"/>
  <c r="D29" i="17" s="1"/>
  <c r="D30" i="17" s="1"/>
  <c r="P190" i="1"/>
  <c r="D190" i="17" s="1"/>
  <c r="P171" i="1"/>
  <c r="D171" i="17" s="1"/>
  <c r="P219" i="1"/>
  <c r="D219" i="17" s="1"/>
  <c r="P192" i="1"/>
  <c r="D192" i="17" s="1"/>
  <c r="P160" i="1"/>
  <c r="D160" i="17" s="1"/>
  <c r="P180" i="1"/>
  <c r="D180" i="17" s="1"/>
  <c r="P220" i="1"/>
  <c r="D220" i="17" s="1"/>
  <c r="J216" i="1"/>
  <c r="P194" i="1"/>
  <c r="D194" i="17" s="1"/>
  <c r="P174" i="1"/>
  <c r="D174" i="17" s="1"/>
  <c r="P161" i="1"/>
  <c r="D161" i="17" s="1"/>
  <c r="P126" i="1"/>
  <c r="D126" i="17" s="1"/>
  <c r="P81" i="1"/>
  <c r="P233" i="1"/>
  <c r="D233" i="17" s="1"/>
  <c r="H216" i="1"/>
  <c r="P206" i="1"/>
  <c r="D206" i="17" s="1"/>
  <c r="P197" i="1"/>
  <c r="D197" i="17" s="1"/>
  <c r="P177" i="1"/>
  <c r="D177" i="17" s="1"/>
  <c r="P163" i="1"/>
  <c r="D163" i="17" s="1"/>
  <c r="P137" i="1"/>
  <c r="D137" i="17" s="1"/>
  <c r="P128" i="1"/>
  <c r="D128" i="17" s="1"/>
  <c r="P85" i="1"/>
  <c r="D85" i="17" s="1"/>
  <c r="D73" i="17"/>
  <c r="D15" i="1"/>
  <c r="P253" i="1"/>
  <c r="D253" i="17" s="1"/>
  <c r="P207" i="1"/>
  <c r="D207" i="17" s="1"/>
  <c r="J204" i="1"/>
  <c r="P164" i="1"/>
  <c r="D164" i="17" s="1"/>
  <c r="P138" i="1"/>
  <c r="D138" i="17" s="1"/>
  <c r="P79" i="1"/>
  <c r="D79" i="17" s="1"/>
  <c r="P56" i="1"/>
  <c r="D56" i="17" s="1"/>
  <c r="P49" i="1"/>
  <c r="D49" i="17" s="1"/>
  <c r="P44" i="1"/>
  <c r="D44" i="17" s="1"/>
  <c r="P39" i="1"/>
  <c r="D39" i="17" s="1"/>
  <c r="P254" i="1"/>
  <c r="D254" i="17" s="1"/>
  <c r="J242" i="1"/>
  <c r="P234" i="1"/>
  <c r="D234" i="17" s="1"/>
  <c r="P208" i="1"/>
  <c r="D208" i="17" s="1"/>
  <c r="I204" i="1"/>
  <c r="P165" i="1"/>
  <c r="D165" i="17" s="1"/>
  <c r="P153" i="1"/>
  <c r="D153" i="17" s="1"/>
  <c r="P63" i="1"/>
  <c r="D63" i="17" s="1"/>
  <c r="P50" i="1"/>
  <c r="D50" i="17" s="1"/>
  <c r="I242" i="1"/>
  <c r="I243" i="1" s="1"/>
  <c r="H204" i="1"/>
  <c r="P175" i="1"/>
  <c r="D175" i="17" s="1"/>
  <c r="P167" i="1"/>
  <c r="D167" i="17" s="1"/>
  <c r="P154" i="1"/>
  <c r="D154" i="17" s="1"/>
  <c r="P123" i="1"/>
  <c r="P54" i="1"/>
  <c r="D54" i="17" s="1"/>
  <c r="P51" i="1"/>
  <c r="D51" i="17" s="1"/>
  <c r="P31" i="1"/>
  <c r="D31" i="17" s="1"/>
  <c r="P11" i="1"/>
  <c r="D11" i="17" s="1"/>
  <c r="P232" i="1"/>
  <c r="D232" i="17" s="1"/>
  <c r="G204" i="1"/>
  <c r="P181" i="1"/>
  <c r="D181" i="17" s="1"/>
  <c r="P168" i="1"/>
  <c r="D168" i="17" s="1"/>
  <c r="P52" i="1"/>
  <c r="D52" i="17" s="1"/>
  <c r="P19" i="1"/>
  <c r="P222" i="1"/>
  <c r="D222" i="17" s="1"/>
  <c r="P182" i="1"/>
  <c r="D182" i="17" s="1"/>
  <c r="P178" i="1"/>
  <c r="D178" i="17" s="1"/>
  <c r="P169" i="1"/>
  <c r="D169" i="17" s="1"/>
  <c r="N123" i="1"/>
  <c r="P20" i="1"/>
  <c r="P221" i="1"/>
  <c r="D221" i="17" s="1"/>
  <c r="P195" i="1"/>
  <c r="D195" i="17" s="1"/>
  <c r="P189" i="1"/>
  <c r="D189" i="17" s="1"/>
  <c r="P179" i="1"/>
  <c r="D179" i="17" s="1"/>
  <c r="P173" i="1"/>
  <c r="D173" i="17" s="1"/>
  <c r="P170" i="1"/>
  <c r="D170" i="17" s="1"/>
  <c r="P55" i="1"/>
  <c r="D55" i="17" s="1"/>
  <c r="P159" i="1"/>
  <c r="D159" i="17" s="1"/>
  <c r="P132" i="1"/>
  <c r="D132" i="17" s="1"/>
  <c r="P257" i="1"/>
  <c r="D257" i="17" s="1"/>
  <c r="P158" i="1"/>
  <c r="D158" i="17" s="1"/>
  <c r="P143" i="1"/>
  <c r="D143" i="17" s="1"/>
  <c r="P131" i="1"/>
  <c r="D131" i="17" s="1"/>
  <c r="P67" i="1"/>
  <c r="D67" i="17" s="1"/>
  <c r="P37" i="1"/>
  <c r="D37" i="17" s="1"/>
  <c r="P203" i="1"/>
  <c r="D203" i="17" s="1"/>
  <c r="P157" i="1"/>
  <c r="D157" i="17" s="1"/>
  <c r="P142" i="1"/>
  <c r="D142" i="17" s="1"/>
  <c r="P241" i="1"/>
  <c r="D241" i="17" s="1"/>
  <c r="P215" i="1"/>
  <c r="D215" i="17" s="1"/>
  <c r="P202" i="1"/>
  <c r="D202" i="17" s="1"/>
  <c r="P156" i="1"/>
  <c r="D156" i="17" s="1"/>
  <c r="P141" i="1"/>
  <c r="D141" i="17" s="1"/>
  <c r="P33" i="1"/>
  <c r="D33" i="17" s="1"/>
  <c r="P240" i="1"/>
  <c r="D240" i="17" s="1"/>
  <c r="G223" i="1"/>
  <c r="G230" i="1" s="1"/>
  <c r="P214" i="1"/>
  <c r="D214" i="17" s="1"/>
  <c r="P201" i="1"/>
  <c r="D201" i="17" s="1"/>
  <c r="P155" i="1"/>
  <c r="D155" i="17" s="1"/>
  <c r="P17" i="1"/>
  <c r="P239" i="1"/>
  <c r="D239" i="17" s="1"/>
  <c r="P213" i="1"/>
  <c r="D213" i="17" s="1"/>
  <c r="P200" i="1"/>
  <c r="D200" i="17" s="1"/>
  <c r="P238" i="1"/>
  <c r="D238" i="17" s="1"/>
  <c r="P212" i="1"/>
  <c r="D212" i="17" s="1"/>
  <c r="P199" i="1"/>
  <c r="D199" i="17" s="1"/>
  <c r="P14" i="1"/>
  <c r="D14" i="17" s="1"/>
  <c r="P235" i="1"/>
  <c r="D235" i="17" s="1"/>
  <c r="D210" i="1"/>
  <c r="P12" i="1"/>
  <c r="D12" i="17" s="1"/>
  <c r="N223" i="1"/>
  <c r="N230" i="1" s="1"/>
  <c r="N243" i="1" s="1"/>
  <c r="N210" i="1"/>
  <c r="H24" i="1" l="1"/>
  <c r="H25" i="1" s="1"/>
  <c r="H60" i="1"/>
  <c r="K90" i="11"/>
  <c r="K95" i="11" s="1"/>
  <c r="K255" i="11" s="1"/>
  <c r="K71" i="11"/>
  <c r="I250" i="1"/>
  <c r="I251" i="1"/>
  <c r="F250" i="1"/>
  <c r="F251" i="1"/>
  <c r="D209" i="17"/>
  <c r="P209" i="11"/>
  <c r="D251" i="1"/>
  <c r="D250" i="1"/>
  <c r="E60" i="1"/>
  <c r="E59" i="1"/>
  <c r="G60" i="1"/>
  <c r="G59" i="1"/>
  <c r="D259" i="13"/>
  <c r="D40" i="1"/>
  <c r="D22" i="1"/>
  <c r="D24" i="1" s="1"/>
  <c r="D25" i="1" s="1"/>
  <c r="D38" i="17"/>
  <c r="J52" i="13"/>
  <c r="D58" i="13"/>
  <c r="P52" i="11"/>
  <c r="D58" i="11"/>
  <c r="G59" i="11"/>
  <c r="G60" i="11"/>
  <c r="D58" i="15"/>
  <c r="D58" i="12"/>
  <c r="J58" i="12" s="1"/>
  <c r="J59" i="11"/>
  <c r="J60" i="11"/>
  <c r="J243" i="1"/>
  <c r="P145" i="1"/>
  <c r="D135" i="17"/>
  <c r="D119" i="17"/>
  <c r="P256" i="1"/>
  <c r="P258" i="1" s="1"/>
  <c r="D256" i="16"/>
  <c r="D40" i="17"/>
  <c r="N251" i="1"/>
  <c r="N250" i="1"/>
  <c r="M230" i="1"/>
  <c r="M243" i="1" s="1"/>
  <c r="M249" i="1" s="1"/>
  <c r="M251" i="1"/>
  <c r="M250" i="1"/>
  <c r="L217" i="1"/>
  <c r="L251" i="1"/>
  <c r="L250" i="1"/>
  <c r="K250" i="1"/>
  <c r="K251" i="1"/>
  <c r="D19" i="17"/>
  <c r="D20" i="17"/>
  <c r="D17" i="17"/>
  <c r="D204" i="17"/>
  <c r="G243" i="1"/>
  <c r="G249" i="1" s="1"/>
  <c r="G217" i="1"/>
  <c r="D134" i="17"/>
  <c r="D129" i="17"/>
  <c r="D144" i="17"/>
  <c r="D148" i="17"/>
  <c r="D147" i="17"/>
  <c r="D139" i="17"/>
  <c r="D146" i="17"/>
  <c r="P82" i="1"/>
  <c r="P83" i="1" s="1"/>
  <c r="D81" i="17"/>
  <c r="D82" i="17" s="1"/>
  <c r="D74" i="17"/>
  <c r="D76" i="17" s="1"/>
  <c r="D91" i="17"/>
  <c r="D71" i="17"/>
  <c r="D193" i="17"/>
  <c r="D47" i="17"/>
  <c r="D45" i="17"/>
  <c r="D34" i="17"/>
  <c r="D32" i="17"/>
  <c r="D41" i="17"/>
  <c r="D242" i="17"/>
  <c r="D236" i="17"/>
  <c r="D223" i="17"/>
  <c r="D210" i="17"/>
  <c r="D265" i="17" s="1"/>
  <c r="D15" i="17"/>
  <c r="D216" i="17"/>
  <c r="F243" i="1"/>
  <c r="F249" i="1" s="1"/>
  <c r="E243" i="1"/>
  <c r="E249" i="1" s="1"/>
  <c r="J217" i="1"/>
  <c r="H217" i="1"/>
  <c r="F217" i="1"/>
  <c r="M59" i="1"/>
  <c r="P71" i="1"/>
  <c r="D217" i="1"/>
  <c r="N217" i="1"/>
  <c r="N94" i="1"/>
  <c r="N95" i="1" s="1"/>
  <c r="N255" i="1" s="1"/>
  <c r="J58" i="1"/>
  <c r="E42" i="1"/>
  <c r="P147" i="1"/>
  <c r="G42" i="1"/>
  <c r="M42" i="1"/>
  <c r="N58" i="1"/>
  <c r="N249" i="1" s="1"/>
  <c r="K217" i="1"/>
  <c r="P21" i="1"/>
  <c r="P139" i="1"/>
  <c r="M60" i="1"/>
  <c r="P236" i="1"/>
  <c r="F42" i="1"/>
  <c r="F58" i="1"/>
  <c r="H42" i="1"/>
  <c r="H249" i="1"/>
  <c r="E217" i="1"/>
  <c r="I42" i="1"/>
  <c r="I58" i="1"/>
  <c r="I249" i="1" s="1"/>
  <c r="K42" i="1"/>
  <c r="K58" i="1"/>
  <c r="K249" i="1" s="1"/>
  <c r="I217" i="1"/>
  <c r="L42" i="1"/>
  <c r="L58" i="1"/>
  <c r="L249" i="1" s="1"/>
  <c r="P91" i="1"/>
  <c r="P242" i="1"/>
  <c r="P15" i="1"/>
  <c r="P204" i="1"/>
  <c r="P193" i="1"/>
  <c r="P129" i="1"/>
  <c r="P144" i="1"/>
  <c r="P89" i="1"/>
  <c r="P38" i="1"/>
  <c r="P45" i="1"/>
  <c r="P62" i="1"/>
  <c r="P32" i="1"/>
  <c r="P30" i="1"/>
  <c r="P47" i="1"/>
  <c r="P34" i="1"/>
  <c r="P216" i="1"/>
  <c r="P134" i="1"/>
  <c r="P148" i="1"/>
  <c r="P40" i="1"/>
  <c r="D259" i="1"/>
  <c r="P92" i="1"/>
  <c r="P210" i="1"/>
  <c r="P146" i="1"/>
  <c r="M25" i="1"/>
  <c r="K259" i="11" l="1"/>
  <c r="P255" i="11"/>
  <c r="P259" i="11" s="1"/>
  <c r="F60" i="1"/>
  <c r="F59" i="1"/>
  <c r="J249" i="1"/>
  <c r="D249" i="11"/>
  <c r="D60" i="11"/>
  <c r="P58" i="11"/>
  <c r="D59" i="11"/>
  <c r="D249" i="12"/>
  <c r="D60" i="12"/>
  <c r="D59" i="12"/>
  <c r="D249" i="13"/>
  <c r="D59" i="13"/>
  <c r="J58" i="13"/>
  <c r="D60" i="13"/>
  <c r="D249" i="15"/>
  <c r="D60" i="15"/>
  <c r="D59" i="15"/>
  <c r="D145" i="17"/>
  <c r="D149" i="17" s="1"/>
  <c r="D258" i="16"/>
  <c r="D88" i="17"/>
  <c r="D89" i="17" s="1"/>
  <c r="P255" i="1"/>
  <c r="P259" i="1" s="1"/>
  <c r="D255" i="16"/>
  <c r="N259" i="1"/>
  <c r="D21" i="17"/>
  <c r="D22" i="17" s="1"/>
  <c r="D24" i="17" s="1"/>
  <c r="D25" i="17" s="1"/>
  <c r="D83" i="17"/>
  <c r="D93" i="17"/>
  <c r="D77" i="17"/>
  <c r="D92" i="17"/>
  <c r="D256" i="17"/>
  <c r="D58" i="17"/>
  <c r="D42" i="17"/>
  <c r="D230" i="17"/>
  <c r="D250" i="17"/>
  <c r="D251" i="17"/>
  <c r="D243" i="1"/>
  <c r="P230" i="1"/>
  <c r="D217" i="17"/>
  <c r="P251" i="1"/>
  <c r="P250" i="1"/>
  <c r="N59" i="1"/>
  <c r="P243" i="1"/>
  <c r="P94" i="1"/>
  <c r="P95" i="1" s="1"/>
  <c r="J60" i="1"/>
  <c r="J59" i="1"/>
  <c r="P217" i="1"/>
  <c r="N60" i="1"/>
  <c r="P22" i="1"/>
  <c r="P24" i="1" s="1"/>
  <c r="P25" i="1" s="1"/>
  <c r="L59" i="1"/>
  <c r="L60" i="1"/>
  <c r="P149" i="1"/>
  <c r="K59" i="1"/>
  <c r="K60" i="1"/>
  <c r="I59" i="1"/>
  <c r="I60" i="1"/>
  <c r="J249" i="12" l="1"/>
  <c r="J59" i="12"/>
  <c r="J60" i="12"/>
  <c r="J249" i="13"/>
  <c r="J60" i="13"/>
  <c r="J59" i="13"/>
  <c r="P249" i="11"/>
  <c r="P59" i="11"/>
  <c r="P60" i="11"/>
  <c r="D259" i="16"/>
  <c r="D60" i="17"/>
  <c r="D94" i="17"/>
  <c r="D258" i="17"/>
  <c r="D59" i="17"/>
  <c r="D243" i="17"/>
  <c r="D249" i="17" s="1"/>
  <c r="D95" i="17" l="1"/>
  <c r="D255" i="17" s="1"/>
  <c r="D259" i="17" s="1"/>
  <c r="D99" i="17"/>
  <c r="P41" i="1" l="1"/>
  <c r="P42" i="1" s="1"/>
  <c r="D58" i="1"/>
  <c r="D59" i="1" l="1"/>
  <c r="D249" i="1"/>
  <c r="P58" i="1"/>
  <c r="D60" i="1"/>
  <c r="P249" i="1" l="1"/>
  <c r="P59" i="1"/>
  <c r="P60" i="1"/>
</calcChain>
</file>

<file path=xl/sharedStrings.xml><?xml version="1.0" encoding="utf-8"?>
<sst xmlns="http://schemas.openxmlformats.org/spreadsheetml/2006/main" count="6394" uniqueCount="229">
  <si>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</si>
  <si>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</si>
  <si>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</si>
  <si>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</si>
  <si>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</si>
  <si>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</si>
  <si>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</si>
  <si>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</si>
  <si>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</si>
  <si>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</si>
  <si>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</si>
  <si>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</si>
  <si>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</si>
  <si>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</si>
  <si>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</si>
  <si>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</si>
  <si>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</si>
  <si>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</si>
  <si>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</si>
  <si>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</si>
  <si>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</si>
  <si>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</si>
  <si>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</si>
  <si>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</si>
  <si>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</si>
  <si>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</si>
  <si>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</si>
  <si>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</si>
  <si>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</si>
  <si>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</si>
  <si>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</si>
  <si>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</si>
  <si>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</si>
  <si>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</si>
  <si>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</si>
  <si>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</si>
  <si>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</si>
  <si>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</si>
  <si>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</si>
  <si>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</si>
  <si>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</si>
  <si>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</si>
  <si>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</si>
  <si>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</si>
  <si>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</si>
  <si>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</si>
  <si>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</si>
  <si>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</si>
  <si>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</si>
  <si>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</si>
  <si>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</si>
  <si>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</si>
  <si>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</si>
  <si>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</si>
  <si>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</si>
  <si>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</si>
  <si>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</si>
  <si>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</si>
  <si>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</si>
  <si>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</si>
  <si>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</si>
  <si>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</si>
  <si>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</si>
  <si>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</si>
  <si>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</si>
  <si>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</si>
  <si>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</si>
  <si>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</si>
  <si>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</si>
  <si>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</si>
  <si>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</si>
  <si>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</si>
  <si>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</si>
  <si>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</si>
  <si>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</si>
  <si>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</si>
  <si>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</si>
  <si>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</si>
  <si>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</si>
  <si>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</si>
  <si>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</si>
  <si>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</si>
  <si>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</si>
  <si>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</si>
  <si>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</si>
  <si>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</si>
  <si>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</si>
  <si>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</si>
  <si>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</si>
  <si>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</si>
  <si>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</si>
  <si>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</si>
  <si>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</si>
  <si>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</si>
  <si>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</si>
  <si>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</si>
  <si>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</si>
  <si>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</si>
  <si>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</si>
  <si>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</si>
  <si>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</si>
  <si>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</si>
  <si>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</si>
  <si>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</si>
  <si>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</si>
  <si>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</si>
  <si>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</si>
  <si>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</si>
  <si>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</si>
  <si>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</si>
  <si>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</si>
  <si>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</si>
  <si>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</si>
  <si>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</si>
  <si>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</si>
  <si>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</si>
  <si>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</si>
  <si>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</si>
  <si>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</si>
  <si>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</si>
  <si>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</si>
  <si>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</si>
  <si>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</si>
  <si>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</si>
  <si>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</si>
  <si>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</si>
  <si>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</si>
  <si>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</si>
  <si>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</si>
  <si>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</si>
  <si>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</si>
  <si>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</si>
  <si>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</si>
  <si>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</si>
  <si>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</si>
  <si>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</si>
  <si>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</si>
  <si>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</si>
  <si>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</si>
  <si>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</si>
  <si>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</si>
  <si>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</si>
  <si>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</si>
  <si>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</si>
  <si>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</si>
  <si>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</si>
  <si>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</si>
  <si>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</si>
  <si>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</si>
  <si>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</si>
  <si>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</si>
  <si>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</si>
  <si>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</si>
  <si>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</si>
  <si>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</si>
  <si>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</si>
  <si>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</si>
  <si>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</si>
  <si>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</si>
  <si>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</si>
  <si>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</si>
  <si>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</si>
  <si>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</si>
  <si>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</si>
  <si>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</si>
  <si>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</si>
  <si>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</si>
  <si>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</si>
  <si>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</si>
  <si>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</si>
  <si>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</si>
  <si>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</si>
  <si>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</si>
  <si>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</si>
  <si>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</si>
  <si>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</si>
  <si>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</si>
  <si>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</si>
  <si>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</si>
  <si>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</si>
  <si>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</si>
  <si>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</si>
  <si>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</si>
  <si>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</si>
  <si>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</si>
  <si>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</si>
  <si>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</si>
  <si>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</si>
  <si>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</si>
  <si>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</si>
  <si>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</si>
  <si>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</si>
  <si>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</si>
  <si>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</si>
  <si>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</si>
  <si>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</si>
  <si>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</si>
  <si>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</si>
  <si>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</si>
  <si>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</si>
  <si>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</si>
  <si>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</si>
  <si>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</si>
  <si>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</si>
  <si>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</si>
  <si>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</si>
  <si>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</si>
  <si>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</si>
  <si>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</si>
  <si>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</si>
  <si>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</si>
  <si>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</si>
  <si>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</si>
  <si>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</si>
  <si>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</si>
  <si>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</si>
  <si>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</si>
  <si>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 xml:space="preserve"> MONTHLY REPORTS - 2023/2024</t>
  </si>
  <si>
    <t>NGABU ZONE</t>
  </si>
  <si>
    <t>Bangula</t>
  </si>
  <si>
    <t>Chikwawa</t>
  </si>
  <si>
    <t>Miseu Folo</t>
  </si>
  <si>
    <t>Nchalo</t>
  </si>
  <si>
    <t>Nsanje</t>
  </si>
  <si>
    <t>Ngabu</t>
  </si>
  <si>
    <t xml:space="preserve">Bangula </t>
  </si>
  <si>
    <t>NAGBU ZONE</t>
  </si>
  <si>
    <t>Stuck Meters (institutional Meters)</t>
  </si>
  <si>
    <t>Stuck Meters (Commercial / Industrial 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</si>
</sst>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88">
    <xf numFmtId="0" fontId="0" fillId="0" borderId="0" xfId="0"/>
    <xf numFmtId="165" fontId="4" fillId="0" borderId="1" xfId="3" applyNumberFormat="1" applyFont="1" applyFill="1" applyBorder="1"/>
    <xf numFmtId="0" fontId="0" fillId="0" borderId="0" xfId="0" applyFill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Fill="1" applyBorder="1"/>
    <xf numFmtId="164" fontId="8" fillId="0" borderId="1" xfId="1" applyFont="1" applyFill="1" applyBorder="1"/>
    <xf numFmtId="0" fontId="6" fillId="0" borderId="1" xfId="0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Fill="1" applyBorder="1" applyAlignment="1">
      <alignment horizontal="center" wrapText="1"/>
    </xf>
    <xf numFmtId="1" fontId="5" fillId="0" borderId="10" xfId="0" applyNumberFormat="1" applyFont="1" applyFill="1" applyBorder="1"/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1" fontId="8" fillId="0" borderId="1" xfId="3" applyNumberFormat="1" applyFont="1" applyFill="1" applyBorder="1"/>
    <xf numFmtId="0" fontId="6" fillId="0" borderId="1" xfId="0" applyFont="1" applyFill="1" applyBorder="1" applyAlignment="1">
      <alignment wrapText="1"/>
    </xf>
    <xf numFmtId="1" fontId="5" fillId="0" borderId="10" xfId="0" applyNumberFormat="1" applyFont="1" applyBorder="1"/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1" fontId="6" fillId="0" borderId="1" xfId="0" applyNumberFormat="1" applyFont="1" applyBorder="1"/>
    <xf numFmtId="4" fontId="8" fillId="0" borderId="10" xfId="0" applyNumberFormat="1" applyFont="1" applyFill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Fill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Fill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Fill="1" applyBorder="1"/>
    <xf numFmtId="0" fontId="15" fillId="0" borderId="0" xfId="0" applyFont="1"/>
    <xf numFmtId="4" fontId="4" fillId="0" borderId="10" xfId="0" applyNumberFormat="1" applyFont="1" applyFill="1" applyBorder="1"/>
    <xf numFmtId="1" fontId="4" fillId="0" borderId="22" xfId="0" applyNumberFormat="1" applyFont="1" applyFill="1" applyBorder="1"/>
    <xf numFmtId="1" fontId="4" fillId="0" borderId="39" xfId="0" applyNumberFormat="1" applyFont="1" applyFill="1" applyBorder="1"/>
    <xf numFmtId="0" fontId="6" fillId="0" borderId="22" xfId="0" applyFont="1" applyFill="1" applyBorder="1" applyAlignment="1">
      <alignment wrapText="1"/>
    </xf>
    <xf numFmtId="0" fontId="6" fillId="0" borderId="22" xfId="0" applyFont="1" applyFill="1" applyBorder="1"/>
    <xf numFmtId="0" fontId="6" fillId="0" borderId="4" xfId="0" applyFont="1" applyFill="1" applyBorder="1" applyAlignment="1">
      <alignment wrapText="1"/>
    </xf>
    <xf numFmtId="1" fontId="4" fillId="0" borderId="38" xfId="0" applyNumberFormat="1" applyFont="1" applyFill="1" applyBorder="1"/>
    <xf numFmtId="1" fontId="4" fillId="0" borderId="40" xfId="0" applyNumberFormat="1" applyFont="1" applyFill="1" applyBorder="1"/>
    <xf numFmtId="0" fontId="8" fillId="0" borderId="1" xfId="0" applyFont="1" applyFill="1" applyBorder="1" applyAlignment="1">
      <alignment horizontal="center" wrapText="1"/>
    </xf>
    <xf numFmtId="0" fontId="15" fillId="0" borderId="0" xfId="0" applyFont="1" applyFill="1"/>
    <xf numFmtId="1" fontId="8" fillId="0" borderId="10" xfId="0" applyNumberFormat="1" applyFont="1" applyFill="1" applyBorder="1"/>
    <xf numFmtId="0" fontId="19" fillId="0" borderId="3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Fill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Fill="1" applyBorder="1"/>
    <xf numFmtId="1" fontId="4" fillId="0" borderId="44" xfId="0" applyNumberFormat="1" applyFont="1" applyFill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Fill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 applyAlignment="1"/>
    <xf numFmtId="0" fontId="14" fillId="8" borderId="29" xfId="0" applyFont="1" applyFill="1" applyBorder="1" applyAlignment="1"/>
    <xf numFmtId="0" fontId="5" fillId="0" borderId="6" xfId="0" applyFont="1" applyFill="1" applyBorder="1" applyAlignment="1">
      <alignment horizontal="left" wrapText="1"/>
    </xf>
    <xf numFmtId="0" fontId="14" fillId="8" borderId="27" xfId="0" applyFont="1" applyFill="1" applyBorder="1" applyAlignment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1" xfId="1" applyNumberFormat="1" applyFont="1" applyFill="1" applyBorder="1"/>
    <xf numFmtId="165" fontId="4" fillId="0" borderId="11" xfId="3" applyNumberFormat="1" applyFont="1" applyFill="1" applyBorder="1"/>
    <xf numFmtId="1" fontId="4" fillId="0" borderId="11" xfId="1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0" fontId="8" fillId="0" borderId="11" xfId="1" applyNumberFormat="1" applyFont="1" applyFill="1" applyBorder="1"/>
    <xf numFmtId="1" fontId="8" fillId="0" borderId="1" xfId="0" applyNumberFormat="1" applyFont="1" applyFill="1" applyBorder="1"/>
    <xf numFmtId="1" fontId="8" fillId="0" borderId="22" xfId="0" applyNumberFormat="1" applyFont="1" applyFill="1" applyBorder="1"/>
    <xf numFmtId="1" fontId="8" fillId="0" borderId="7" xfId="0" applyNumberFormat="1" applyFont="1" applyFill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2" xfId="0" applyNumberFormat="1" applyFont="1" applyFill="1" applyBorder="1"/>
    <xf numFmtId="1" fontId="8" fillId="0" borderId="43" xfId="0" applyNumberFormat="1" applyFont="1" applyFill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3" xfId="0" applyNumberFormat="1" applyFont="1" applyFill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164" fontId="8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41" xfId="1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Fill="1" applyBorder="1"/>
    <xf numFmtId="167" fontId="4" fillId="0" borderId="1" xfId="1" applyNumberFormat="1" applyFont="1" applyFill="1" applyBorder="1"/>
    <xf numFmtId="164" fontId="4" fillId="10" borderId="4" xfId="1" applyFont="1" applyFill="1" applyBorder="1"/>
    <xf numFmtId="1" fontId="8" fillId="0" borderId="1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Fill="1" applyBorder="1"/>
    <xf numFmtId="164" fontId="0" fillId="0" borderId="0" xfId="0" applyNumberFormat="1" applyFill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2" fontId="4" fillId="0" borderId="1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Fill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164" fontId="0" fillId="0" borderId="0" xfId="0" applyNumberFormat="1"/>
    <xf numFmtId="2" fontId="4" fillId="0" borderId="10" xfId="3" applyNumberFormat="1" applyFont="1" applyFill="1" applyBorder="1"/>
    <xf numFmtId="168" fontId="4" fillId="0" borderId="1" xfId="3" applyNumberFormat="1" applyFont="1" applyFill="1" applyBorder="1"/>
    <xf numFmtId="168" fontId="4" fillId="0" borderId="10" xfId="3" applyNumberFormat="1" applyFont="1" applyFill="1" applyBorder="1"/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20" fillId="0" borderId="43" xfId="0" applyNumberFormat="1" applyFont="1" applyBorder="1"/>
    <xf numFmtId="164" fontId="12" fillId="0" borderId="22" xfId="1" applyFont="1" applyFill="1" applyBorder="1" applyAlignment="1">
      <alignment wrapText="1"/>
    </xf>
    <xf numFmtId="1" fontId="8" fillId="0" borderId="41" xfId="1" applyNumberFormat="1" applyFont="1" applyFill="1" applyBorder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5" xfId="0" applyFont="1" applyFill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0" fontId="10" fillId="0" borderId="3" xfId="0" applyFont="1" applyFill="1" applyBorder="1" applyAlignment="1">
      <alignment wrapText="1"/>
    </xf>
    <xf numFmtId="0" fontId="10" fillId="0" borderId="2" xfId="0" applyFont="1" applyFill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26" xfId="0" applyFont="1" applyFill="1" applyBorder="1" applyAlignment="1">
      <alignment wrapText="1"/>
    </xf>
    <xf numFmtId="0" fontId="6" fillId="0" borderId="25" xfId="0" applyFont="1" applyFill="1" applyBorder="1" applyAlignment="1">
      <alignment wrapText="1"/>
    </xf>
    <xf numFmtId="0" fontId="6" fillId="0" borderId="19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vertical="center" wrapText="1"/>
    </xf>
    <xf numFmtId="164" fontId="9" fillId="4" borderId="22" xfId="1" applyFont="1" applyFill="1" applyBorder="1" applyAlignment="1"/>
    <xf numFmtId="164" fontId="9" fillId="4" borderId="4" xfId="1" applyFont="1" applyFill="1" applyBorder="1" applyAlignment="1"/>
    <xf numFmtId="0" fontId="6" fillId="0" borderId="19" xfId="0" applyFont="1" applyFill="1" applyBorder="1" applyAlignment="1">
      <alignment vertical="center"/>
    </xf>
    <xf numFmtId="0" fontId="6" fillId="0" borderId="17" xfId="0" applyFont="1" applyFill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Fill="1" applyBorder="1" applyAlignment="1">
      <alignment wrapText="1"/>
    </xf>
    <xf numFmtId="1" fontId="6" fillId="0" borderId="2" xfId="0" applyNumberFormat="1" applyFont="1" applyFill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Fill="1" applyBorder="1" applyAlignment="1">
      <alignment vertical="top" wrapText="1"/>
    </xf>
    <xf numFmtId="0" fontId="10" fillId="0" borderId="2" xfId="0" applyFont="1" applyFill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9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9" fillId="9" borderId="3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6" fillId="0" borderId="18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15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 wrapText="1"/>
    </xf>
    <xf numFmtId="0" fontId="10" fillId="0" borderId="18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Fill="1" applyBorder="1" applyAlignment="1">
      <alignment wrapText="1"/>
    </xf>
    <xf numFmtId="0" fontId="5" fillId="0" borderId="8" xfId="0" applyFont="1" applyFill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6" fillId="9" borderId="5" xfId="0" applyFont="1" applyFill="1" applyBorder="1" applyAlignment="1">
      <alignment wrapText="1"/>
    </xf>
    <xf numFmtId="0" fontId="10" fillId="0" borderId="3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8" fillId="0" borderId="3" xfId="0" applyFont="1" applyFill="1" applyBorder="1" applyAlignment="1">
      <alignment wrapText="1"/>
    </xf>
    <xf numFmtId="0" fontId="18" fillId="0" borderId="2" xfId="0" applyFont="1" applyFill="1" applyBorder="1" applyAlignment="1">
      <alignment wrapText="1"/>
    </xf>
    <xf numFmtId="0" fontId="19" fillId="0" borderId="3" xfId="0" applyFont="1" applyFill="1" applyBorder="1" applyAlignment="1">
      <alignment wrapText="1"/>
    </xf>
    <xf numFmtId="0" fontId="19" fillId="0" borderId="2" xfId="0" applyFont="1" applyFill="1" applyBorder="1" applyAlignment="1">
      <alignment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0" fontId="7" fillId="0" borderId="5" xfId="0" applyFont="1" applyFill="1" applyBorder="1" applyAlignment="1">
      <alignment wrapText="1"/>
    </xf>
    <xf numFmtId="165" fontId="8" fillId="10" borderId="11" xfId="1" applyNumberFormat="1" applyFont="1" applyFill="1" applyBorder="1"/>
    <xf numFmtId="0" fontId="8" fillId="5" borderId="31" xfId="0" applyFont="1" applyFill="1" applyBorder="1" applyAlignment="1"/>
    <xf numFmtId="164" fontId="8" fillId="5" borderId="31" xfId="1" applyFont="1" applyFill="1" applyBorder="1" applyAlignment="1"/>
    <xf numFmtId="4" fontId="8" fillId="5" borderId="27" xfId="0" applyNumberFormat="1" applyFont="1" applyFill="1" applyBorder="1" applyAlignment="1"/>
    <xf numFmtId="0" fontId="0" fillId="0" borderId="0" xfId="0" applyAlignment="1"/>
    <xf numFmtId="0" fontId="6" fillId="0" borderId="24" xfId="0" applyFont="1" applyFill="1" applyBorder="1" applyAlignment="1"/>
    <xf numFmtId="165" fontId="8" fillId="0" borderId="24" xfId="1" applyNumberFormat="1" applyFont="1" applyFill="1" applyBorder="1" applyAlignment="1"/>
    <xf numFmtId="165" fontId="5" fillId="0" borderId="23" xfId="1" applyNumberFormat="1" applyFont="1" applyFill="1" applyBorder="1" applyAlignment="1"/>
    <xf numFmtId="0" fontId="6" fillId="0" borderId="1" xfId="0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0" fontId="5" fillId="0" borderId="1" xfId="0" applyFont="1" applyFill="1" applyBorder="1" applyAlignment="1"/>
    <xf numFmtId="165" fontId="8" fillId="0" borderId="1" xfId="1" applyNumberFormat="1" applyFont="1" applyFill="1" applyBorder="1" applyAlignment="1"/>
    <xf numFmtId="0" fontId="15" fillId="0" borderId="0" xfId="0" applyFont="1" applyAlignment="1"/>
    <xf numFmtId="0" fontId="0" fillId="0" borderId="0" xfId="0" applyFill="1" applyAlignment="1"/>
    <xf numFmtId="164" fontId="0" fillId="0" borderId="0" xfId="0" applyNumberFormat="1" applyFill="1" applyAlignment="1"/>
    <xf numFmtId="0" fontId="15" fillId="0" borderId="0" xfId="0" applyFont="1" applyFill="1" applyAlignment="1"/>
    <xf numFmtId="0" fontId="19" fillId="0" borderId="3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0" borderId="1" xfId="0" applyFont="1" applyBorder="1" applyAlignment="1"/>
    <xf numFmtId="164" fontId="4" fillId="0" borderId="1" xfId="1" applyFont="1" applyBorder="1" applyAlignment="1"/>
    <xf numFmtId="164" fontId="4" fillId="0" borderId="10" xfId="1" applyFont="1" applyBorder="1" applyAlignment="1"/>
    <xf numFmtId="2" fontId="6" fillId="0" borderId="22" xfId="0" applyNumberFormat="1" applyFont="1" applyBorder="1" applyAlignment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166" fontId="4" fillId="0" borderId="42" xfId="2" applyNumberFormat="1" applyFont="1" applyBorder="1" applyAlignment="1"/>
    <xf numFmtId="0" fontId="11" fillId="0" borderId="19" xfId="0" applyFont="1" applyFill="1" applyBorder="1" applyAlignment="1"/>
    <xf numFmtId="0" fontId="11" fillId="0" borderId="0" xfId="0" applyFont="1" applyFill="1" applyBorder="1" applyAlignment="1"/>
    <xf numFmtId="0" fontId="11" fillId="0" borderId="1" xfId="0" applyFont="1" applyFill="1" applyBorder="1" applyAlignment="1"/>
    <xf numFmtId="164" fontId="12" fillId="0" borderId="1" xfId="1" applyFont="1" applyFill="1" applyBorder="1" applyAlignment="1"/>
    <xf numFmtId="164" fontId="12" fillId="0" borderId="11" xfId="1" applyFont="1" applyFill="1" applyBorder="1" applyAlignment="1"/>
    <xf numFmtId="0" fontId="12" fillId="0" borderId="10" xfId="0" applyFont="1" applyFill="1" applyBorder="1" applyAlignment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2" fontId="6" fillId="0" borderId="1" xfId="0" applyNumberFormat="1" applyFont="1" applyBorder="1" applyAlignment="1"/>
    <xf numFmtId="164" fontId="4" fillId="0" borderId="1" xfId="1" applyFont="1" applyFill="1" applyBorder="1" applyAlignment="1"/>
    <xf numFmtId="164" fontId="4" fillId="0" borderId="10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4" fontId="8" fillId="0" borderId="10" xfId="0" applyNumberFormat="1" applyFont="1" applyFill="1" applyBorder="1" applyAlignment="1"/>
    <xf numFmtId="2" fontId="4" fillId="0" borderId="10" xfId="0" applyNumberFormat="1" applyFont="1" applyBorder="1" applyAlignment="1"/>
    <xf numFmtId="164" fontId="4" fillId="0" borderId="1" xfId="3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Fill="1" applyBorder="1" applyAlignment="1">
      <alignment horizontal="left"/>
    </xf>
    <xf numFmtId="4" fontId="4" fillId="0" borderId="10" xfId="0" applyNumberFormat="1" applyFont="1" applyFill="1" applyBorder="1" applyAlignment="1"/>
    <xf numFmtId="0" fontId="4" fillId="0" borderId="10" xfId="1" applyNumberFormat="1" applyFont="1" applyFill="1" applyBorder="1" applyAlignment="1"/>
    <xf numFmtId="4" fontId="5" fillId="0" borderId="10" xfId="0" applyNumberFormat="1" applyFont="1" applyFill="1" applyBorder="1" applyAlignment="1"/>
    <xf numFmtId="1" fontId="6" fillId="0" borderId="1" xfId="0" applyNumberFormat="1" applyFont="1" applyBorder="1" applyAlignment="1"/>
    <xf numFmtId="1" fontId="8" fillId="0" borderId="4" xfId="1" applyNumberFormat="1" applyFont="1" applyFill="1" applyBorder="1" applyAlignment="1"/>
    <xf numFmtId="1" fontId="8" fillId="0" borderId="10" xfId="0" applyNumberFormat="1" applyFont="1" applyBorder="1" applyAlignment="1"/>
    <xf numFmtId="1" fontId="4" fillId="0" borderId="4" xfId="1" applyNumberFormat="1" applyFont="1" applyFill="1" applyBorder="1" applyAlignment="1"/>
    <xf numFmtId="1" fontId="8" fillId="0" borderId="10" xfId="0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1" fontId="4" fillId="0" borderId="41" xfId="1" applyNumberFormat="1" applyFont="1" applyFill="1" applyBorder="1" applyAlignment="1"/>
    <xf numFmtId="1" fontId="4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1" fontId="8" fillId="0" borderId="1" xfId="0" applyNumberFormat="1" applyFont="1" applyFill="1" applyBorder="1" applyAlignment="1"/>
    <xf numFmtId="1" fontId="4" fillId="0" borderId="1" xfId="0" applyNumberFormat="1" applyFont="1" applyFill="1" applyBorder="1" applyAlignment="1"/>
    <xf numFmtId="1" fontId="8" fillId="0" borderId="22" xfId="0" applyNumberFormat="1" applyFont="1" applyFill="1" applyBorder="1" applyAlignment="1"/>
    <xf numFmtId="1" fontId="4" fillId="0" borderId="22" xfId="0" applyNumberFormat="1" applyFont="1" applyFill="1" applyBorder="1" applyAlignment="1"/>
    <xf numFmtId="1" fontId="8" fillId="0" borderId="42" xfId="0" applyNumberFormat="1" applyFont="1" applyFill="1" applyBorder="1" applyAlignment="1"/>
    <xf numFmtId="1" fontId="8" fillId="0" borderId="7" xfId="0" applyNumberFormat="1" applyFont="1" applyFill="1" applyBorder="1" applyAlignment="1"/>
    <xf numFmtId="1" fontId="4" fillId="0" borderId="7" xfId="0" applyNumberFormat="1" applyFont="1" applyFill="1" applyBorder="1" applyAlignment="1"/>
    <xf numFmtId="1" fontId="8" fillId="0" borderId="43" xfId="0" applyNumberFormat="1" applyFont="1" applyFill="1" applyBorder="1" applyAlignment="1"/>
    <xf numFmtId="0" fontId="9" fillId="0" borderId="13" xfId="0" applyFont="1" applyFill="1" applyBorder="1" applyAlignment="1">
      <alignment horizontal="left" vertical="center"/>
    </xf>
    <xf numFmtId="0" fontId="6" fillId="0" borderId="22" xfId="0" applyFont="1" applyFill="1" applyBorder="1" applyAlignment="1"/>
    <xf numFmtId="1" fontId="4" fillId="0" borderId="39" xfId="0" applyNumberFormat="1" applyFont="1" applyFill="1" applyBorder="1" applyAlignment="1"/>
    <xf numFmtId="1" fontId="4" fillId="0" borderId="42" xfId="0" applyNumberFormat="1" applyFont="1" applyFill="1" applyBorder="1" applyAlignment="1"/>
    <xf numFmtId="0" fontId="9" fillId="0" borderId="12" xfId="0" applyFont="1" applyFill="1" applyBorder="1" applyAlignment="1">
      <alignment horizontal="left" vertical="center"/>
    </xf>
    <xf numFmtId="0" fontId="6" fillId="0" borderId="4" xfId="0" applyFont="1" applyFill="1" applyBorder="1" applyAlignment="1"/>
    <xf numFmtId="165" fontId="4" fillId="0" borderId="38" xfId="1" applyNumberFormat="1" applyFont="1" applyFill="1" applyBorder="1" applyAlignment="1"/>
    <xf numFmtId="1" fontId="4" fillId="0" borderId="38" xfId="0" applyNumberFormat="1" applyFont="1" applyFill="1" applyBorder="1" applyAlignment="1"/>
    <xf numFmtId="1" fontId="4" fillId="0" borderId="40" xfId="0" applyNumberFormat="1" applyFont="1" applyFill="1" applyBorder="1" applyAlignment="1"/>
    <xf numFmtId="1" fontId="4" fillId="0" borderId="44" xfId="0" applyNumberFormat="1" applyFont="1" applyFill="1" applyBorder="1" applyAlignment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0" fillId="0" borderId="0" xfId="0" applyNumberFormat="1" applyAlignment="1"/>
    <xf numFmtId="165" fontId="4" fillId="0" borderId="11" xfId="1" applyNumberFormat="1" applyFont="1" applyFill="1" applyBorder="1" applyAlignment="1"/>
    <xf numFmtId="0" fontId="10" fillId="0" borderId="3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/>
    </xf>
    <xf numFmtId="165" fontId="0" fillId="0" borderId="0" xfId="0" applyNumberFormat="1" applyFill="1" applyAlignment="1"/>
    <xf numFmtId="165" fontId="4" fillId="0" borderId="11" xfId="3" applyNumberFormat="1" applyFont="1" applyFill="1" applyBorder="1" applyAlignment="1"/>
    <xf numFmtId="167" fontId="8" fillId="0" borderId="10" xfId="0" applyNumberFormat="1" applyFont="1" applyBorder="1" applyAlignment="1"/>
    <xf numFmtId="0" fontId="6" fillId="0" borderId="22" xfId="0" applyFont="1" applyBorder="1" applyAlignment="1"/>
    <xf numFmtId="166" fontId="4" fillId="0" borderId="22" xfId="2" applyNumberFormat="1" applyFont="1" applyFill="1" applyBorder="1" applyAlignment="1"/>
    <xf numFmtId="166" fontId="4" fillId="0" borderId="42" xfId="2" applyNumberFormat="1" applyFont="1" applyFill="1" applyBorder="1" applyAlignment="1"/>
    <xf numFmtId="1" fontId="5" fillId="0" borderId="10" xfId="0" applyNumberFormat="1" applyFont="1" applyBorder="1" applyAlignment="1"/>
    <xf numFmtId="1" fontId="5" fillId="0" borderId="10" xfId="0" applyNumberFormat="1" applyFont="1" applyFill="1" applyBorder="1" applyAlignment="1"/>
    <xf numFmtId="0" fontId="6" fillId="0" borderId="1" xfId="0" applyFont="1" applyFill="1" applyBorder="1" applyAlignment="1">
      <alignment horizontal="left"/>
    </xf>
    <xf numFmtId="0" fontId="6" fillId="3" borderId="1" xfId="0" applyFont="1" applyFill="1" applyBorder="1" applyAlignment="1"/>
    <xf numFmtId="1" fontId="0" fillId="0" borderId="0" xfId="0" applyNumberFormat="1" applyAlignment="1"/>
    <xf numFmtId="1" fontId="8" fillId="0" borderId="10" xfId="3" applyNumberFormat="1" applyFont="1" applyFill="1" applyBorder="1" applyAlignment="1"/>
    <xf numFmtId="164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/>
    </xf>
    <xf numFmtId="164" fontId="8" fillId="0" borderId="1" xfId="1" applyFont="1" applyFill="1" applyBorder="1" applyAlignment="1"/>
    <xf numFmtId="0" fontId="9" fillId="0" borderId="1" xfId="0" applyFont="1" applyBorder="1" applyAlignment="1"/>
    <xf numFmtId="0" fontId="6" fillId="0" borderId="12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2" fontId="8" fillId="0" borderId="10" xfId="0" applyNumberFormat="1" applyFont="1" applyFill="1" applyBorder="1" applyAlignment="1"/>
    <xf numFmtId="0" fontId="5" fillId="0" borderId="3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164" fontId="8" fillId="0" borderId="1" xfId="3" applyFont="1" applyFill="1" applyBorder="1" applyAlignment="1"/>
    <xf numFmtId="164" fontId="8" fillId="0" borderId="11" xfId="1" applyFont="1" applyFill="1" applyBorder="1" applyAlignment="1"/>
    <xf numFmtId="0" fontId="5" fillId="0" borderId="6" xfId="0" applyFont="1" applyFill="1" applyBorder="1" applyAlignment="1">
      <alignment horizontal="left"/>
    </xf>
    <xf numFmtId="164" fontId="0" fillId="0" borderId="0" xfId="0" applyNumberFormat="1" applyAlignment="1"/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4" fontId="8" fillId="0" borderId="1" xfId="1" applyFont="1" applyFill="1" applyBorder="1" applyAlignment="1">
      <alignment horizontal="center"/>
    </xf>
    <xf numFmtId="164" fontId="8" fillId="0" borderId="1" xfId="1" applyFont="1" applyFill="1" applyBorder="1" applyAlignment="1">
      <alignment horizontal="left"/>
    </xf>
    <xf numFmtId="166" fontId="4" fillId="0" borderId="1" xfId="2" applyNumberFormat="1" applyFont="1" applyFill="1" applyBorder="1" applyAlignment="1"/>
    <xf numFmtId="166" fontId="4" fillId="0" borderId="10" xfId="2" applyNumberFormat="1" applyFont="1" applyFill="1" applyBorder="1" applyAlignment="1"/>
    <xf numFmtId="166" fontId="4" fillId="0" borderId="7" xfId="2" applyNumberFormat="1" applyFont="1" applyFill="1" applyBorder="1" applyAlignment="1"/>
    <xf numFmtId="166" fontId="4" fillId="0" borderId="43" xfId="2" applyNumberFormat="1" applyFont="1" applyFill="1" applyBorder="1" applyAlignment="1"/>
    <xf numFmtId="164" fontId="4" fillId="0" borderId="10" xfId="3" applyFont="1" applyFill="1" applyBorder="1" applyAlignment="1"/>
    <xf numFmtId="165" fontId="4" fillId="0" borderId="1" xfId="3" applyNumberFormat="1" applyFont="1" applyFill="1" applyBorder="1" applyAlignment="1"/>
    <xf numFmtId="2" fontId="4" fillId="0" borderId="1" xfId="3" applyNumberFormat="1" applyFont="1" applyFill="1" applyBorder="1" applyAlignment="1"/>
    <xf numFmtId="2" fontId="4" fillId="0" borderId="10" xfId="3" applyNumberFormat="1" applyFont="1" applyFill="1" applyBorder="1" applyAlignment="1"/>
    <xf numFmtId="0" fontId="0" fillId="0" borderId="7" xfId="0" applyBorder="1" applyAlignment="1"/>
    <xf numFmtId="165" fontId="4" fillId="0" borderId="7" xfId="3" applyNumberFormat="1" applyFont="1" applyFill="1" applyBorder="1" applyAlignment="1"/>
    <xf numFmtId="2" fontId="20" fillId="0" borderId="43" xfId="0" applyNumberFormat="1" applyFont="1" applyBorder="1" applyAlignment="1"/>
    <xf numFmtId="0" fontId="11" fillId="9" borderId="3" xfId="0" applyFont="1" applyFill="1" applyBorder="1" applyAlignment="1"/>
    <xf numFmtId="0" fontId="11" fillId="9" borderId="6" xfId="0" applyFont="1" applyFill="1" applyBorder="1" applyAlignment="1"/>
    <xf numFmtId="0" fontId="11" fillId="9" borderId="5" xfId="0" applyFont="1" applyFill="1" applyBorder="1" applyAlignment="1"/>
    <xf numFmtId="0" fontId="6" fillId="0" borderId="19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8" fillId="5" borderId="30" xfId="0" applyFont="1" applyFill="1" applyBorder="1" applyAlignment="1"/>
    <xf numFmtId="0" fontId="8" fillId="5" borderId="32" xfId="0" applyFont="1" applyFill="1" applyBorder="1" applyAlignment="1"/>
    <xf numFmtId="0" fontId="7" fillId="9" borderId="3" xfId="0" applyFont="1" applyFill="1" applyBorder="1" applyAlignment="1"/>
    <xf numFmtId="0" fontId="7" fillId="9" borderId="6" xfId="0" applyFont="1" applyFill="1" applyBorder="1" applyAlignment="1"/>
    <xf numFmtId="0" fontId="7" fillId="9" borderId="5" xfId="0" applyFont="1" applyFill="1" applyBorder="1" applyAlignment="1"/>
    <xf numFmtId="0" fontId="6" fillId="0" borderId="3" xfId="0" applyFont="1" applyFill="1" applyBorder="1" applyAlignment="1"/>
    <xf numFmtId="0" fontId="6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2" xfId="0" applyFont="1" applyFill="1" applyBorder="1" applyAlignment="1"/>
    <xf numFmtId="0" fontId="6" fillId="0" borderId="14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3" xfId="0" applyFont="1" applyFill="1" applyBorder="1" applyAlignment="1">
      <alignment vertical="top"/>
    </xf>
    <xf numFmtId="0" fontId="6" fillId="0" borderId="2" xfId="0" applyFont="1" applyFill="1" applyBorder="1" applyAlignment="1">
      <alignment vertical="top"/>
    </xf>
    <xf numFmtId="0" fontId="6" fillId="0" borderId="18" xfId="0" applyFont="1" applyFill="1" applyBorder="1" applyAlignment="1">
      <alignment vertical="center"/>
    </xf>
    <xf numFmtId="0" fontId="5" fillId="0" borderId="9" xfId="0" applyFont="1" applyFill="1" applyBorder="1" applyAlignment="1"/>
    <xf numFmtId="0" fontId="5" fillId="0" borderId="8" xfId="0" applyFont="1" applyFill="1" applyBorder="1" applyAlignment="1"/>
    <xf numFmtId="0" fontId="6" fillId="0" borderId="3" xfId="0" applyFont="1" applyBorder="1" applyAlignment="1"/>
    <xf numFmtId="0" fontId="6" fillId="0" borderId="2" xfId="0" applyFont="1" applyBorder="1" applyAlignment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7" fillId="9" borderId="27" xfId="0" applyFont="1" applyFill="1" applyBorder="1" applyAlignment="1">
      <alignment vertical="center"/>
    </xf>
    <xf numFmtId="0" fontId="10" fillId="0" borderId="3" xfId="0" applyFont="1" applyFill="1" applyBorder="1" applyAlignment="1"/>
    <xf numFmtId="0" fontId="10" fillId="0" borderId="2" xfId="0" applyFont="1" applyFill="1" applyBorder="1" applyAlignment="1"/>
    <xf numFmtId="0" fontId="19" fillId="0" borderId="3" xfId="0" applyFont="1" applyFill="1" applyBorder="1" applyAlignment="1"/>
    <xf numFmtId="0" fontId="19" fillId="0" borderId="2" xfId="0" applyFont="1" applyFill="1" applyBorder="1" applyAlignment="1"/>
    <xf numFmtId="0" fontId="18" fillId="0" borderId="3" xfId="0" applyFont="1" applyFill="1" applyBorder="1" applyAlignment="1"/>
    <xf numFmtId="0" fontId="18" fillId="0" borderId="2" xfId="0" applyFont="1" applyFill="1" applyBorder="1" applyAlignment="1"/>
    <xf numFmtId="0" fontId="6" fillId="0" borderId="34" xfId="0" applyFont="1" applyBorder="1" applyAlignment="1"/>
    <xf numFmtId="0" fontId="6" fillId="0" borderId="45" xfId="0" applyFont="1" applyBorder="1" applyAlignment="1"/>
    <xf numFmtId="0" fontId="7" fillId="9" borderId="12" xfId="0" applyFont="1" applyFill="1" applyBorder="1" applyAlignment="1"/>
    <xf numFmtId="0" fontId="7" fillId="9" borderId="21" xfId="0" applyFont="1" applyFill="1" applyBorder="1" applyAlignment="1"/>
    <xf numFmtId="0" fontId="7" fillId="9" borderId="20" xfId="0" applyFont="1" applyFill="1" applyBorder="1" applyAlignment="1"/>
    <xf numFmtId="0" fontId="10" fillId="0" borderId="19" xfId="0" applyFont="1" applyFill="1" applyBorder="1" applyAlignment="1">
      <alignment vertical="center"/>
    </xf>
    <xf numFmtId="0" fontId="10" fillId="0" borderId="18" xfId="0" applyFont="1" applyFill="1" applyBorder="1" applyAlignment="1">
      <alignment vertical="center"/>
    </xf>
    <xf numFmtId="0" fontId="10" fillId="0" borderId="17" xfId="0" applyFont="1" applyFill="1" applyBorder="1" applyAlignment="1">
      <alignment vertical="center"/>
    </xf>
    <xf numFmtId="0" fontId="6" fillId="0" borderId="16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4" xfId="0" applyFont="1" applyBorder="1" applyAlignment="1"/>
    <xf numFmtId="0" fontId="6" fillId="0" borderId="16" xfId="0" applyFont="1" applyBorder="1" applyAlignment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5" xfId="0" applyFont="1" applyFill="1" applyBorder="1" applyAlignment="1">
      <alignment vertical="top"/>
    </xf>
    <xf numFmtId="0" fontId="10" fillId="9" borderId="3" xfId="0" applyFont="1" applyFill="1" applyBorder="1" applyAlignment="1"/>
    <xf numFmtId="0" fontId="10" fillId="9" borderId="6" xfId="0" applyFont="1" applyFill="1" applyBorder="1" applyAlignment="1"/>
    <xf numFmtId="0" fontId="10" fillId="9" borderId="5" xfId="0" applyFont="1" applyFill="1" applyBorder="1" applyAlignment="1"/>
    <xf numFmtId="1" fontId="6" fillId="0" borderId="3" xfId="0" applyNumberFormat="1" applyFont="1" applyFill="1" applyBorder="1" applyAlignment="1"/>
    <xf numFmtId="1" fontId="6" fillId="0" borderId="2" xfId="0" applyNumberFormat="1" applyFont="1" applyFill="1" applyBorder="1" applyAlignment="1"/>
    <xf numFmtId="1" fontId="5" fillId="9" borderId="3" xfId="0" applyNumberFormat="1" applyFont="1" applyFill="1" applyBorder="1" applyAlignment="1"/>
    <xf numFmtId="1" fontId="5" fillId="9" borderId="6" xfId="0" applyNumberFormat="1" applyFont="1" applyFill="1" applyBorder="1" applyAlignment="1"/>
    <xf numFmtId="1" fontId="5" fillId="9" borderId="5" xfId="0" applyNumberFormat="1" applyFont="1" applyFill="1" applyBorder="1" applyAlignment="1"/>
    <xf numFmtId="0" fontId="11" fillId="2" borderId="3" xfId="0" applyFont="1" applyFill="1" applyBorder="1" applyAlignment="1"/>
    <xf numFmtId="0" fontId="11" fillId="2" borderId="6" xfId="0" applyFont="1" applyFill="1" applyBorder="1" applyAlignment="1"/>
    <xf numFmtId="0" fontId="11" fillId="2" borderId="5" xfId="0" applyFont="1" applyFill="1" applyBorder="1" applyAlignment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9" xfId="0" applyFont="1" applyFill="1" applyBorder="1" applyAlignment="1">
      <alignment vertical="center"/>
    </xf>
    <xf numFmtId="0" fontId="9" fillId="0" borderId="18" xfId="0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0" fontId="10" fillId="0" borderId="3" xfId="0" applyFont="1" applyFill="1" applyBorder="1" applyAlignment="1">
      <alignment vertical="top"/>
    </xf>
    <xf numFmtId="0" fontId="10" fillId="0" borderId="2" xfId="0" applyFont="1" applyFill="1" applyBorder="1" applyAlignment="1">
      <alignment vertical="top"/>
    </xf>
    <xf numFmtId="2" fontId="6" fillId="0" borderId="3" xfId="0" applyNumberFormat="1" applyFont="1" applyBorder="1" applyAlignment="1"/>
    <xf numFmtId="2" fontId="6" fillId="0" borderId="2" xfId="0" applyNumberFormat="1" applyFont="1" applyBorder="1" applyAlignment="1"/>
    <xf numFmtId="0" fontId="7" fillId="0" borderId="3" xfId="0" applyFont="1" applyFill="1" applyBorder="1" applyAlignment="1"/>
    <xf numFmtId="0" fontId="7" fillId="0" borderId="6" xfId="0" applyFont="1" applyFill="1" applyBorder="1" applyAlignment="1"/>
    <xf numFmtId="0" fontId="7" fillId="0" borderId="5" xfId="0" applyFont="1" applyFill="1" applyBorder="1" applyAlignment="1"/>
    <xf numFmtId="0" fontId="7" fillId="9" borderId="26" xfId="0" applyFont="1" applyFill="1" applyBorder="1" applyAlignment="1"/>
    <xf numFmtId="0" fontId="7" fillId="9" borderId="47" xfId="0" applyFont="1" applyFill="1" applyBorder="1" applyAlignment="1"/>
    <xf numFmtId="0" fontId="7" fillId="9" borderId="48" xfId="0" applyFont="1" applyFill="1" applyBorder="1" applyAlignment="1"/>
    <xf numFmtId="0" fontId="7" fillId="9" borderId="30" xfId="0" applyFont="1" applyFill="1" applyBorder="1" applyAlignment="1"/>
    <xf numFmtId="0" fontId="7" fillId="9" borderId="29" xfId="0" applyFont="1" applyFill="1" applyBorder="1" applyAlignment="1"/>
    <xf numFmtId="0" fontId="7" fillId="9" borderId="27" xfId="0" applyFont="1" applyFill="1" applyBorder="1" applyAlignment="1"/>
    <xf numFmtId="0" fontId="6" fillId="0" borderId="26" xfId="0" applyFont="1" applyFill="1" applyBorder="1" applyAlignment="1"/>
    <xf numFmtId="0" fontId="6" fillId="0" borderId="25" xfId="0" applyFont="1" applyFill="1" applyBorder="1" applyAlignment="1"/>
    <xf numFmtId="9" fontId="6" fillId="0" borderId="1" xfId="2" applyFont="1" applyBorder="1" applyAlignment="1"/>
    <xf numFmtId="166" fontId="8" fillId="0" borderId="1" xfId="2" applyNumberFormat="1" applyFont="1" applyBorder="1" applyAlignment="1"/>
    <xf numFmtId="166" fontId="4" fillId="0" borderId="10" xfId="2" applyNumberFormat="1" applyFont="1" applyBorder="1" applyAlignment="1"/>
    <xf numFmtId="0" fontId="4" fillId="0" borderId="1" xfId="3" applyNumberFormat="1" applyFont="1" applyFill="1" applyBorder="1" applyAlignment="1"/>
    <xf numFmtId="0" fontId="4" fillId="0" borderId="10" xfId="3" applyNumberFormat="1" applyFont="1" applyFill="1" applyBorder="1" applyAlignment="1"/>
    <xf numFmtId="3" fontId="21" fillId="0" borderId="24" xfId="3" applyNumberFormat="1" applyFont="1" applyFill="1" applyBorder="1"/>
    <xf numFmtId="164" fontId="21" fillId="0" borderId="1" xfId="3" applyFont="1" applyFill="1" applyBorder="1"/>
    <xf numFmtId="165" fontId="21" fillId="0" borderId="1" xfId="3" applyNumberFormat="1" applyFont="1" applyFill="1" applyBorder="1"/>
    <xf numFmtId="164" fontId="22" fillId="0" borderId="1" xfId="0" applyNumberFormat="1" applyFont="1" applyBorder="1" applyAlignment="1">
      <alignment horizontal="center"/>
    </xf>
    <xf numFmtId="1" fontId="4" fillId="0" borderId="1" xfId="0" applyNumberFormat="1" applyFont="1" applyBorder="1"/>
    <xf numFmtId="3" fontId="21" fillId="0" borderId="1" xfId="3" applyNumberFormat="1" applyFont="1" applyFill="1" applyBorder="1"/>
    <xf numFmtId="164" fontId="21" fillId="0" borderId="1" xfId="0" applyNumberFormat="1" applyFont="1" applyBorder="1" applyAlignment="1">
      <alignment horizontal="center"/>
    </xf>
    <xf numFmtId="3" fontId="4" fillId="0" borderId="24" xfId="3" applyNumberFormat="1" applyFont="1" applyFill="1" applyBorder="1"/>
    <xf numFmtId="1" fontId="8" fillId="0" borderId="1" xfId="0" applyNumberFormat="1" applyFont="1" applyBorder="1"/>
    <xf numFmtId="9" fontId="4" fillId="0" borderId="22" xfId="2" applyFont="1" applyFill="1" applyBorder="1"/>
    <xf numFmtId="167" fontId="4" fillId="0" borderId="1" xfId="3" applyNumberFormat="1" applyFont="1" applyFill="1" applyBorder="1"/>
    <xf numFmtId="1" fontId="4" fillId="0" borderId="38" xfId="0" applyNumberFormat="1" applyFont="1" applyBorder="1"/>
    <xf numFmtId="164" fontId="21" fillId="0" borderId="11" xfId="3" applyFont="1" applyFill="1" applyBorder="1"/>
    <xf numFmtId="165" fontId="21" fillId="0" borderId="1" xfId="3" applyNumberFormat="1" applyFont="1" applyBorder="1"/>
    <xf numFmtId="0" fontId="11" fillId="9" borderId="6" xfId="0" applyFont="1" applyFill="1" applyBorder="1" applyAlignment="1">
      <alignment wrapText="1"/>
    </xf>
    <xf numFmtId="164" fontId="8" fillId="5" borderId="29" xfId="1" applyFont="1" applyFill="1" applyBorder="1"/>
    <xf numFmtId="165" fontId="8" fillId="0" borderId="51" xfId="1" applyNumberFormat="1" applyFont="1" applyFill="1" applyBorder="1"/>
    <xf numFmtId="164" fontId="4" fillId="0" borderId="52" xfId="1" applyFont="1" applyFill="1" applyBorder="1"/>
    <xf numFmtId="165" fontId="4" fillId="0" borderId="40" xfId="1" applyNumberFormat="1" applyFont="1" applyFill="1" applyBorder="1"/>
    <xf numFmtId="0" fontId="4" fillId="0" borderId="52" xfId="1" applyNumberFormat="1" applyFont="1" applyFill="1" applyBorder="1"/>
    <xf numFmtId="167" fontId="4" fillId="0" borderId="11" xfId="1" applyNumberFormat="1" applyFont="1" applyFill="1" applyBorder="1"/>
    <xf numFmtId="164" fontId="8" fillId="0" borderId="11" xfId="3" applyFont="1" applyFill="1" applyBorder="1"/>
    <xf numFmtId="165" fontId="8" fillId="0" borderId="10" xfId="0" applyNumberFormat="1" applyFont="1" applyBorder="1"/>
    <xf numFmtId="165" fontId="8" fillId="0" borderId="10" xfId="0" applyNumberFormat="1" applyFont="1" applyFill="1" applyBorder="1"/>
    <xf numFmtId="164" fontId="9" fillId="4" borderId="22" xfId="1" applyFont="1" applyFill="1" applyBorder="1" applyAlignment="1"/>
    <xf numFmtId="164" fontId="9" fillId="4" borderId="4" xfId="1" applyFont="1" applyFill="1" applyBorder="1" applyAlignment="1"/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164" fontId="9" fillId="4" borderId="22" xfId="1" applyFont="1" applyFill="1" applyBorder="1" applyAlignment="1"/>
    <xf numFmtId="164" fontId="9" fillId="4" borderId="4" xfId="1" applyFont="1" applyFill="1" applyBorder="1" applyAlignment="1"/>
    <xf numFmtId="0" fontId="6" fillId="0" borderId="19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Fill="1" applyBorder="1" applyAlignment="1">
      <alignment horizontal="left" wrapText="1"/>
    </xf>
    <xf numFmtId="0" fontId="6" fillId="0" borderId="25" xfId="0" applyFont="1" applyFill="1" applyBorder="1" applyAlignment="1">
      <alignment horizontal="left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wrapText="1"/>
    </xf>
    <xf numFmtId="0" fontId="7" fillId="0" borderId="6" xfId="0" applyFont="1" applyFill="1" applyBorder="1" applyAlignment="1">
      <alignment horizontal="left" wrapText="1"/>
    </xf>
    <xf numFmtId="0" fontId="7" fillId="0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1" fontId="6" fillId="0" borderId="3" xfId="0" applyNumberFormat="1" applyFont="1" applyFill="1" applyBorder="1" applyAlignment="1">
      <alignment horizontal="left" wrapText="1"/>
    </xf>
    <xf numFmtId="1" fontId="6" fillId="0" borderId="2" xfId="0" applyNumberFormat="1" applyFont="1" applyFill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left" wrapText="1"/>
    </xf>
    <xf numFmtId="1" fontId="5" fillId="9" borderId="6" xfId="0" applyNumberFormat="1" applyFont="1" applyFill="1" applyBorder="1" applyAlignment="1">
      <alignment horizontal="left" wrapText="1"/>
    </xf>
    <xf numFmtId="1" fontId="5" fillId="9" borderId="5" xfId="0" applyNumberFormat="1" applyFont="1" applyFill="1" applyBorder="1" applyAlignment="1">
      <alignment horizontal="left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left" wrapText="1"/>
    </xf>
    <xf numFmtId="0" fontId="5" fillId="0" borderId="9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</cellXfs>
  <cellStyles count="4">
    <cellStyle name="Comma" xfId="1" builtinId="3"/>
    <cellStyle name="Comma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63"/>
  <sheetViews>
    <sheetView zoomScale="110" zoomScaleNormal="110" workbookViewId="0">
      <pane xSplit="2" ySplit="8" topLeftCell="N9" activePane="bottomRight" state="frozen"/>
      <selection pane="topRight" activeCell="C1" sqref="C1"/>
      <selection pane="bottomLeft" activeCell="A9" sqref="A9"/>
      <selection pane="bottomRight" activeCell="W3" sqref="W3"/>
    </sheetView>
  </sheetViews>
  <sheetFormatPr defaultRowHeight="14.4" x14ac:dyDescent="0.3"/>
  <cols>
    <col min="1" max="1" width="39" style="341" customWidth="1"/>
    <col min="2" max="2" width="16.88671875" style="341" customWidth="1"/>
    <col min="3" max="3" width="12.5546875" style="341" customWidth="1"/>
    <col min="4" max="4" width="20.109375" style="341" bestFit="1" customWidth="1"/>
    <col min="5" max="9" width="19.88671875" style="341" bestFit="1" customWidth="1"/>
    <col min="10" max="10" width="19.109375" style="341" customWidth="1"/>
    <col min="11" max="11" width="23.109375" style="341" customWidth="1"/>
    <col min="12" max="12" width="22.6640625" style="341" customWidth="1"/>
    <col min="13" max="13" width="20.109375" style="341" bestFit="1" customWidth="1"/>
    <col min="14" max="15" width="19.109375" style="341" customWidth="1"/>
    <col min="16" max="16" width="20.109375" style="341" bestFit="1" customWidth="1"/>
    <col min="17" max="17" width="14.88671875" style="341" bestFit="1" customWidth="1"/>
    <col min="18" max="18" width="6" style="341" bestFit="1" customWidth="1"/>
    <col min="19" max="16384" width="8.88671875" style="341"/>
  </cols>
  <sheetData>
    <row r="1" spans="1:16" customFormat="1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16" customFormat="1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16" customFormat="1" ht="18" thickBot="1" x14ac:dyDescent="0.35">
      <c r="A3" s="315" t="s">
        <v>217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16" customFormat="1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16" customFormat="1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3"/>
    </row>
    <row r="6" spans="1:16" customFormat="1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16" ht="16.2" thickBot="1" x14ac:dyDescent="0.35">
      <c r="A7" s="470" t="s">
        <v>174</v>
      </c>
      <c r="B7" s="471"/>
      <c r="C7" s="338" t="s">
        <v>173</v>
      </c>
      <c r="D7" s="339" t="s">
        <v>163</v>
      </c>
      <c r="E7" s="339" t="s">
        <v>162</v>
      </c>
      <c r="F7" s="339" t="s">
        <v>161</v>
      </c>
      <c r="G7" s="339" t="s">
        <v>172</v>
      </c>
      <c r="H7" s="339" t="s">
        <v>171</v>
      </c>
      <c r="I7" s="339" t="s">
        <v>170</v>
      </c>
      <c r="J7" s="339" t="s">
        <v>169</v>
      </c>
      <c r="K7" s="339" t="s">
        <v>168</v>
      </c>
      <c r="L7" s="339" t="s">
        <v>167</v>
      </c>
      <c r="M7" s="339" t="s">
        <v>166</v>
      </c>
      <c r="N7" s="339" t="s">
        <v>165</v>
      </c>
      <c r="O7" s="339" t="s">
        <v>164</v>
      </c>
      <c r="P7" s="340" t="s">
        <v>160</v>
      </c>
    </row>
    <row r="8" spans="1:16" ht="15" thickBot="1" x14ac:dyDescent="0.35">
      <c r="A8" s="540" t="s">
        <v>159</v>
      </c>
      <c r="B8" s="541"/>
      <c r="C8" s="541"/>
      <c r="D8" s="541"/>
      <c r="E8" s="541"/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2"/>
    </row>
    <row r="9" spans="1:16" ht="15.6" x14ac:dyDescent="0.3">
      <c r="A9" s="543" t="s">
        <v>176</v>
      </c>
      <c r="B9" s="544"/>
      <c r="C9" s="342" t="s">
        <v>152</v>
      </c>
      <c r="D9" s="550">
        <v>11837</v>
      </c>
      <c r="E9" s="176">
        <v>11868</v>
      </c>
      <c r="F9" s="176">
        <v>11498</v>
      </c>
      <c r="G9" s="176">
        <v>11420</v>
      </c>
      <c r="H9" s="176">
        <v>11560</v>
      </c>
      <c r="I9" s="176">
        <v>11251</v>
      </c>
      <c r="J9" s="176">
        <v>11739</v>
      </c>
      <c r="K9" s="176">
        <v>11906</v>
      </c>
      <c r="L9" s="343">
        <v>10701</v>
      </c>
      <c r="M9" s="343">
        <v>8807</v>
      </c>
      <c r="N9" s="343">
        <v>8766</v>
      </c>
      <c r="O9" s="343">
        <v>7883</v>
      </c>
      <c r="P9" s="344">
        <f>SUM(D9:O9)</f>
        <v>129236</v>
      </c>
    </row>
    <row r="10" spans="1:16" x14ac:dyDescent="0.3">
      <c r="A10" s="472" t="s">
        <v>177</v>
      </c>
      <c r="B10" s="473"/>
      <c r="C10" s="473"/>
      <c r="D10" s="473"/>
      <c r="E10" s="473"/>
      <c r="F10" s="473"/>
      <c r="G10" s="473"/>
      <c r="H10" s="473"/>
      <c r="I10" s="473"/>
      <c r="J10" s="473"/>
      <c r="K10" s="473"/>
      <c r="L10" s="473"/>
      <c r="M10" s="473"/>
      <c r="N10" s="473"/>
      <c r="O10" s="473"/>
      <c r="P10" s="474"/>
    </row>
    <row r="11" spans="1:16" ht="15.6" x14ac:dyDescent="0.3">
      <c r="A11" s="482" t="s">
        <v>157</v>
      </c>
      <c r="B11" s="483"/>
      <c r="C11" s="345" t="s">
        <v>152</v>
      </c>
      <c r="D11" s="346">
        <v>5274</v>
      </c>
      <c r="E11" s="26">
        <f>27+661+4051</f>
        <v>4739</v>
      </c>
      <c r="F11" s="26">
        <f>33+705+3999</f>
        <v>4737</v>
      </c>
      <c r="G11" s="26">
        <f>41+697+3719</f>
        <v>4457</v>
      </c>
      <c r="H11" s="26">
        <f>28+839+3952</f>
        <v>4819</v>
      </c>
      <c r="I11" s="26">
        <f>31+821+4291</f>
        <v>5143</v>
      </c>
      <c r="J11" s="26">
        <f>37+825+4739</f>
        <v>5601</v>
      </c>
      <c r="K11" s="26">
        <f>42+830+4718</f>
        <v>5590</v>
      </c>
      <c r="L11" s="346">
        <v>5132</v>
      </c>
      <c r="M11" s="346">
        <v>4517</v>
      </c>
      <c r="N11" s="346">
        <v>4557</v>
      </c>
      <c r="O11" s="346">
        <v>3742</v>
      </c>
      <c r="P11" s="347">
        <f>SUM(D11:O11)</f>
        <v>58308</v>
      </c>
    </row>
    <row r="12" spans="1:16" ht="15.6" x14ac:dyDescent="0.3">
      <c r="A12" s="482" t="s">
        <v>156</v>
      </c>
      <c r="B12" s="483"/>
      <c r="C12" s="345" t="s">
        <v>152</v>
      </c>
      <c r="D12" s="346">
        <v>2253</v>
      </c>
      <c r="E12" s="26">
        <v>1750</v>
      </c>
      <c r="F12" s="26">
        <v>1597</v>
      </c>
      <c r="G12" s="26">
        <v>1696</v>
      </c>
      <c r="H12" s="26">
        <v>1782</v>
      </c>
      <c r="I12" s="26">
        <v>1175</v>
      </c>
      <c r="J12" s="26">
        <v>1291</v>
      </c>
      <c r="K12" s="26">
        <v>1319</v>
      </c>
      <c r="L12" s="346">
        <v>1208</v>
      </c>
      <c r="M12" s="346">
        <v>1029</v>
      </c>
      <c r="N12" s="346">
        <v>1005</v>
      </c>
      <c r="O12" s="346">
        <v>930</v>
      </c>
      <c r="P12" s="347">
        <f>SUM(D12:O12)</f>
        <v>17035</v>
      </c>
    </row>
    <row r="13" spans="1:16" ht="15.6" x14ac:dyDescent="0.3">
      <c r="A13" s="482" t="s">
        <v>155</v>
      </c>
      <c r="B13" s="483"/>
      <c r="C13" s="345" t="s">
        <v>152</v>
      </c>
      <c r="D13" s="346">
        <v>67</v>
      </c>
      <c r="E13" s="26">
        <v>55</v>
      </c>
      <c r="F13" s="26">
        <v>58</v>
      </c>
      <c r="G13" s="26">
        <v>67</v>
      </c>
      <c r="H13" s="26">
        <v>53</v>
      </c>
      <c r="I13" s="26">
        <v>55</v>
      </c>
      <c r="J13" s="26">
        <v>33</v>
      </c>
      <c r="K13" s="26">
        <v>61</v>
      </c>
      <c r="L13" s="346">
        <v>177</v>
      </c>
      <c r="M13" s="346">
        <v>56</v>
      </c>
      <c r="N13" s="346">
        <v>39</v>
      </c>
      <c r="O13" s="346">
        <v>33</v>
      </c>
      <c r="P13" s="347">
        <f>SUM(D13:O13)</f>
        <v>754</v>
      </c>
    </row>
    <row r="14" spans="1:16" ht="15.6" x14ac:dyDescent="0.3">
      <c r="A14" s="475" t="s">
        <v>154</v>
      </c>
      <c r="B14" s="476"/>
      <c r="C14" s="345" t="s">
        <v>152</v>
      </c>
      <c r="D14" s="346">
        <v>5</v>
      </c>
      <c r="E14" s="26">
        <v>7</v>
      </c>
      <c r="F14" s="26">
        <v>13</v>
      </c>
      <c r="G14" s="26">
        <v>1</v>
      </c>
      <c r="H14" s="346"/>
      <c r="I14" s="26">
        <v>26</v>
      </c>
      <c r="J14" s="346"/>
      <c r="K14" s="346"/>
      <c r="L14" s="346"/>
      <c r="M14" s="346"/>
      <c r="N14" s="346"/>
      <c r="O14" s="346"/>
      <c r="P14" s="347">
        <f>SUM(D14:O14)</f>
        <v>52</v>
      </c>
    </row>
    <row r="15" spans="1:16" s="350" customFormat="1" ht="15.6" x14ac:dyDescent="0.3">
      <c r="A15" s="492" t="s">
        <v>158</v>
      </c>
      <c r="B15" s="493"/>
      <c r="C15" s="348" t="s">
        <v>152</v>
      </c>
      <c r="D15" s="349">
        <f t="shared" ref="D15" si="0">SUM(D11:D14)</f>
        <v>7599</v>
      </c>
      <c r="E15" s="349">
        <f t="shared" ref="E15" si="1">SUM(E11:E14)</f>
        <v>6551</v>
      </c>
      <c r="F15" s="349">
        <f t="shared" ref="F15" si="2">SUM(F11:F14)</f>
        <v>6405</v>
      </c>
      <c r="G15" s="349">
        <f t="shared" ref="G15" si="3">SUM(G11:G14)</f>
        <v>6221</v>
      </c>
      <c r="H15" s="349">
        <f t="shared" ref="H15" si="4">SUM(H11:H14)</f>
        <v>6654</v>
      </c>
      <c r="I15" s="349">
        <f t="shared" ref="I15" si="5">SUM(I11:I14)</f>
        <v>6399</v>
      </c>
      <c r="J15" s="349">
        <f t="shared" ref="J15" si="6">SUM(J11:J14)</f>
        <v>6925</v>
      </c>
      <c r="K15" s="349">
        <f t="shared" ref="K15" si="7">SUM(K11:K14)</f>
        <v>6970</v>
      </c>
      <c r="L15" s="349">
        <f t="shared" ref="L15" si="8">SUM(L11:L14)</f>
        <v>6517</v>
      </c>
      <c r="M15" s="349">
        <f t="shared" ref="M15" si="9">SUM(M11:M14)</f>
        <v>5602</v>
      </c>
      <c r="N15" s="349">
        <f t="shared" ref="N15" si="10">SUM(N11:N14)</f>
        <v>5601</v>
      </c>
      <c r="O15" s="349">
        <v>4705</v>
      </c>
      <c r="P15" s="347">
        <f t="shared" ref="P15" si="11">SUM(P11:P14)</f>
        <v>76149</v>
      </c>
    </row>
    <row r="16" spans="1:16" s="351" customFormat="1" x14ac:dyDescent="0.3">
      <c r="A16" s="472" t="s">
        <v>178</v>
      </c>
      <c r="B16" s="473"/>
      <c r="C16" s="473"/>
      <c r="D16" s="473"/>
      <c r="E16" s="473"/>
      <c r="F16" s="473"/>
      <c r="G16" s="473"/>
      <c r="H16" s="473"/>
      <c r="I16" s="473"/>
      <c r="J16" s="473"/>
      <c r="K16" s="473"/>
      <c r="L16" s="473"/>
      <c r="M16" s="473"/>
      <c r="N16" s="473"/>
      <c r="O16" s="473"/>
      <c r="P16" s="474"/>
    </row>
    <row r="17" spans="1:18" s="351" customFormat="1" ht="15.6" x14ac:dyDescent="0.3">
      <c r="A17" s="482" t="s">
        <v>180</v>
      </c>
      <c r="B17" s="483"/>
      <c r="C17" s="345" t="s">
        <v>152</v>
      </c>
      <c r="D17" s="346">
        <v>0</v>
      </c>
      <c r="E17" s="26"/>
      <c r="F17" s="26">
        <v>1796</v>
      </c>
      <c r="G17" s="26">
        <v>1646</v>
      </c>
      <c r="H17" s="346"/>
      <c r="I17" s="26">
        <v>1604</v>
      </c>
      <c r="J17" s="26">
        <v>1034</v>
      </c>
      <c r="K17" s="26">
        <v>1436</v>
      </c>
      <c r="L17" s="346">
        <v>1556</v>
      </c>
      <c r="M17" s="346">
        <v>1711</v>
      </c>
      <c r="N17" s="346">
        <v>1465</v>
      </c>
      <c r="O17" s="346">
        <v>1044</v>
      </c>
      <c r="P17" s="347">
        <f>SUM(D17:O17)</f>
        <v>13292</v>
      </c>
      <c r="Q17" s="352"/>
    </row>
    <row r="18" spans="1:18" s="351" customFormat="1" ht="15.6" x14ac:dyDescent="0.3">
      <c r="A18" s="482" t="s">
        <v>181</v>
      </c>
      <c r="B18" s="483"/>
      <c r="C18" s="345" t="s">
        <v>152</v>
      </c>
      <c r="D18" s="346">
        <v>0</v>
      </c>
      <c r="E18" s="26"/>
      <c r="F18" s="26"/>
      <c r="G18" s="26"/>
      <c r="H18" s="346"/>
      <c r="I18" s="26">
        <v>57</v>
      </c>
      <c r="J18" s="26"/>
      <c r="K18" s="26">
        <v>1</v>
      </c>
      <c r="L18" s="346">
        <v>1</v>
      </c>
      <c r="M18" s="346"/>
      <c r="N18" s="346"/>
      <c r="O18" s="346"/>
      <c r="P18" s="347">
        <f>SUM(D18:O18)</f>
        <v>59</v>
      </c>
      <c r="Q18" s="352"/>
    </row>
    <row r="19" spans="1:18" s="351" customFormat="1" ht="15.6" x14ac:dyDescent="0.3">
      <c r="A19" s="482" t="s">
        <v>182</v>
      </c>
      <c r="B19" s="483"/>
      <c r="C19" s="345" t="s">
        <v>152</v>
      </c>
      <c r="D19" s="346">
        <v>2139</v>
      </c>
      <c r="E19" s="26">
        <v>3686.9</v>
      </c>
      <c r="F19" s="26">
        <v>583</v>
      </c>
      <c r="G19" s="26">
        <v>981</v>
      </c>
      <c r="H19" s="26">
        <v>3018.5</v>
      </c>
      <c r="I19" s="26">
        <v>309</v>
      </c>
      <c r="J19" s="26">
        <v>583</v>
      </c>
      <c r="K19" s="26">
        <v>614</v>
      </c>
      <c r="L19" s="346">
        <v>463</v>
      </c>
      <c r="M19" s="346">
        <v>165</v>
      </c>
      <c r="N19" s="346">
        <v>389</v>
      </c>
      <c r="O19" s="346">
        <v>180</v>
      </c>
      <c r="P19" s="347">
        <f>SUM(D19:O19)</f>
        <v>13111.4</v>
      </c>
      <c r="Q19" s="352"/>
    </row>
    <row r="20" spans="1:18" s="351" customFormat="1" ht="15.6" x14ac:dyDescent="0.3">
      <c r="A20" s="475" t="s">
        <v>183</v>
      </c>
      <c r="B20" s="476"/>
      <c r="C20" s="345" t="s">
        <v>152</v>
      </c>
      <c r="D20" s="346">
        <v>0</v>
      </c>
      <c r="E20" s="26"/>
      <c r="F20" s="26">
        <v>264</v>
      </c>
      <c r="G20" s="26">
        <v>392</v>
      </c>
      <c r="H20" s="346"/>
      <c r="I20" s="26">
        <v>286</v>
      </c>
      <c r="J20" s="26">
        <v>416</v>
      </c>
      <c r="K20" s="26">
        <v>387</v>
      </c>
      <c r="L20" s="346">
        <v>327</v>
      </c>
      <c r="M20" s="346">
        <v>187</v>
      </c>
      <c r="N20" s="346">
        <v>192</v>
      </c>
      <c r="O20" s="346">
        <v>217</v>
      </c>
      <c r="P20" s="347">
        <f>SUM(D20:O20)</f>
        <v>2668</v>
      </c>
      <c r="Q20" s="352"/>
    </row>
    <row r="21" spans="1:18" s="353" customFormat="1" ht="15.6" x14ac:dyDescent="0.3">
      <c r="A21" s="492" t="s">
        <v>184</v>
      </c>
      <c r="B21" s="493"/>
      <c r="C21" s="348" t="s">
        <v>152</v>
      </c>
      <c r="D21" s="349">
        <f>SUM(D17:D20)</f>
        <v>2139</v>
      </c>
      <c r="E21" s="349">
        <f t="shared" ref="E21:P21" si="12">SUM(E17:E20)</f>
        <v>3686.9</v>
      </c>
      <c r="F21" s="349">
        <f t="shared" si="12"/>
        <v>2643</v>
      </c>
      <c r="G21" s="349">
        <f t="shared" si="12"/>
        <v>3019</v>
      </c>
      <c r="H21" s="349">
        <f t="shared" si="12"/>
        <v>3018.5</v>
      </c>
      <c r="I21" s="349">
        <f t="shared" si="12"/>
        <v>2256</v>
      </c>
      <c r="J21" s="349">
        <f t="shared" si="12"/>
        <v>2033</v>
      </c>
      <c r="K21" s="349">
        <f t="shared" si="12"/>
        <v>2438</v>
      </c>
      <c r="L21" s="349">
        <f t="shared" si="12"/>
        <v>2347</v>
      </c>
      <c r="M21" s="349">
        <f t="shared" si="12"/>
        <v>2063</v>
      </c>
      <c r="N21" s="349">
        <f t="shared" si="12"/>
        <v>2046</v>
      </c>
      <c r="O21" s="349">
        <v>1441</v>
      </c>
      <c r="P21" s="347">
        <f t="shared" si="12"/>
        <v>29130.400000000001</v>
      </c>
      <c r="Q21" s="352"/>
    </row>
    <row r="22" spans="1:18" s="351" customFormat="1" ht="15.6" x14ac:dyDescent="0.3">
      <c r="A22" s="354" t="s">
        <v>185</v>
      </c>
      <c r="B22" s="355"/>
      <c r="C22" s="345" t="s">
        <v>152</v>
      </c>
      <c r="D22" s="349">
        <f>D21+D15</f>
        <v>9738</v>
      </c>
      <c r="E22" s="349">
        <f t="shared" ref="E22:P22" si="13">E21+E15</f>
        <v>10237.9</v>
      </c>
      <c r="F22" s="349">
        <f t="shared" si="13"/>
        <v>9048</v>
      </c>
      <c r="G22" s="349">
        <f t="shared" si="13"/>
        <v>9240</v>
      </c>
      <c r="H22" s="349">
        <f t="shared" si="13"/>
        <v>9672.5</v>
      </c>
      <c r="I22" s="349">
        <f t="shared" si="13"/>
        <v>8655</v>
      </c>
      <c r="J22" s="349">
        <f t="shared" si="13"/>
        <v>8958</v>
      </c>
      <c r="K22" s="349">
        <f t="shared" si="13"/>
        <v>9408</v>
      </c>
      <c r="L22" s="349">
        <f t="shared" si="13"/>
        <v>8864</v>
      </c>
      <c r="M22" s="349">
        <f t="shared" si="13"/>
        <v>7665</v>
      </c>
      <c r="N22" s="349">
        <f t="shared" si="13"/>
        <v>7647</v>
      </c>
      <c r="O22" s="349">
        <v>6146</v>
      </c>
      <c r="P22" s="347">
        <f t="shared" si="13"/>
        <v>105279.4</v>
      </c>
      <c r="R22" s="352"/>
    </row>
    <row r="23" spans="1:18" x14ac:dyDescent="0.3">
      <c r="A23" s="534"/>
      <c r="B23" s="535"/>
      <c r="C23" s="535"/>
      <c r="D23" s="535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6"/>
    </row>
    <row r="24" spans="1:18" ht="15.6" x14ac:dyDescent="0.3">
      <c r="A24" s="467" t="s">
        <v>179</v>
      </c>
      <c r="B24" s="356" t="s">
        <v>153</v>
      </c>
      <c r="C24" s="356" t="s">
        <v>152</v>
      </c>
      <c r="D24" s="357">
        <f>D9-D22</f>
        <v>2099</v>
      </c>
      <c r="E24" s="54">
        <f t="shared" ref="E24:G24" si="14">E9-E22</f>
        <v>1630.1000000000004</v>
      </c>
      <c r="F24" s="54">
        <f t="shared" si="14"/>
        <v>2450</v>
      </c>
      <c r="G24" s="54">
        <f t="shared" si="14"/>
        <v>2180</v>
      </c>
      <c r="H24" s="357">
        <f t="shared" ref="H24:P24" si="15">H9-H22</f>
        <v>1887.5</v>
      </c>
      <c r="I24" s="357">
        <f t="shared" si="15"/>
        <v>2596</v>
      </c>
      <c r="J24" s="357">
        <f t="shared" si="15"/>
        <v>2781</v>
      </c>
      <c r="K24" s="357">
        <f t="shared" si="15"/>
        <v>2498</v>
      </c>
      <c r="L24" s="357">
        <f t="shared" si="15"/>
        <v>1837</v>
      </c>
      <c r="M24" s="357">
        <f t="shared" si="15"/>
        <v>1142</v>
      </c>
      <c r="N24" s="357">
        <f t="shared" si="15"/>
        <v>1119</v>
      </c>
      <c r="O24" s="357">
        <v>1737</v>
      </c>
      <c r="P24" s="358">
        <f t="shared" si="15"/>
        <v>23956.600000000006</v>
      </c>
    </row>
    <row r="25" spans="1:18" ht="16.2" thickBot="1" x14ac:dyDescent="0.35">
      <c r="A25" s="468"/>
      <c r="B25" s="359" t="s">
        <v>151</v>
      </c>
      <c r="C25" s="360" t="s">
        <v>6</v>
      </c>
      <c r="D25" s="361">
        <f t="shared" ref="D25:P25" si="16">D24/D9</f>
        <v>0.17732533581143872</v>
      </c>
      <c r="E25" s="361">
        <f t="shared" si="16"/>
        <v>0.13735254465790364</v>
      </c>
      <c r="F25" s="361">
        <f t="shared" si="16"/>
        <v>0.21308053574534702</v>
      </c>
      <c r="G25" s="361">
        <f t="shared" si="16"/>
        <v>0.19089316987740806</v>
      </c>
      <c r="H25" s="361">
        <f t="shared" si="16"/>
        <v>0.16327854671280276</v>
      </c>
      <c r="I25" s="361">
        <f t="shared" si="16"/>
        <v>0.23073504577370901</v>
      </c>
      <c r="J25" s="361">
        <f t="shared" si="16"/>
        <v>0.23690263225146946</v>
      </c>
      <c r="K25" s="361">
        <f t="shared" si="16"/>
        <v>0.20981017974130689</v>
      </c>
      <c r="L25" s="361">
        <f t="shared" si="16"/>
        <v>0.1716661994206149</v>
      </c>
      <c r="M25" s="361">
        <f t="shared" si="16"/>
        <v>0.12966958101510162</v>
      </c>
      <c r="N25" s="361">
        <f t="shared" si="16"/>
        <v>0.12765229295003422</v>
      </c>
      <c r="O25" s="361">
        <v>0.22034758340733224</v>
      </c>
      <c r="P25" s="362">
        <f t="shared" si="16"/>
        <v>0.18537094927110098</v>
      </c>
    </row>
    <row r="26" spans="1:18" x14ac:dyDescent="0.3">
      <c r="A26" s="537" t="s">
        <v>150</v>
      </c>
      <c r="B26" s="538"/>
      <c r="C26" s="538"/>
      <c r="D26" s="538"/>
      <c r="E26" s="538"/>
      <c r="F26" s="538"/>
      <c r="G26" s="538"/>
      <c r="H26" s="538"/>
      <c r="I26" s="538"/>
      <c r="J26" s="538"/>
      <c r="K26" s="538"/>
      <c r="L26" s="538"/>
      <c r="M26" s="538"/>
      <c r="N26" s="538"/>
      <c r="O26" s="538"/>
      <c r="P26" s="539"/>
    </row>
    <row r="27" spans="1:18" x14ac:dyDescent="0.3">
      <c r="A27" s="464" t="s">
        <v>149</v>
      </c>
      <c r="B27" s="465"/>
      <c r="C27" s="465"/>
      <c r="D27" s="465"/>
      <c r="E27" s="465"/>
      <c r="F27" s="465"/>
      <c r="G27" s="465"/>
      <c r="H27" s="465"/>
      <c r="I27" s="465"/>
      <c r="J27" s="465"/>
      <c r="K27" s="465"/>
      <c r="L27" s="465"/>
      <c r="M27" s="465"/>
      <c r="N27" s="465"/>
      <c r="O27" s="465"/>
      <c r="P27" s="466"/>
    </row>
    <row r="28" spans="1:18" ht="15.6" x14ac:dyDescent="0.3">
      <c r="A28" s="363" t="s">
        <v>148</v>
      </c>
      <c r="B28" s="364" t="s">
        <v>147</v>
      </c>
      <c r="C28" s="365"/>
      <c r="D28" s="366"/>
      <c r="E28" s="366"/>
      <c r="F28" s="366"/>
      <c r="G28" s="366"/>
      <c r="H28" s="366"/>
      <c r="I28" s="366"/>
      <c r="J28" s="367"/>
      <c r="K28" s="367"/>
      <c r="L28" s="367"/>
      <c r="M28" s="367"/>
      <c r="N28" s="367"/>
      <c r="O28" s="366"/>
      <c r="P28" s="368"/>
    </row>
    <row r="29" spans="1:18" ht="15.6" x14ac:dyDescent="0.3">
      <c r="A29" s="587" t="s">
        <v>146</v>
      </c>
      <c r="B29" s="585">
        <v>3525.29</v>
      </c>
      <c r="C29" s="356" t="s">
        <v>140</v>
      </c>
      <c r="D29" s="4">
        <v>14</v>
      </c>
      <c r="E29" s="4">
        <v>12</v>
      </c>
      <c r="F29" s="4">
        <v>14</v>
      </c>
      <c r="G29" s="4">
        <v>14</v>
      </c>
      <c r="H29" s="4">
        <v>16</v>
      </c>
      <c r="I29" s="4">
        <v>18</v>
      </c>
      <c r="J29" s="4">
        <v>18</v>
      </c>
      <c r="K29" s="4">
        <v>16</v>
      </c>
      <c r="L29" s="369">
        <v>16</v>
      </c>
      <c r="M29" s="369">
        <v>16</v>
      </c>
      <c r="N29" s="369">
        <v>12</v>
      </c>
      <c r="O29" s="369">
        <v>12</v>
      </c>
      <c r="P29" s="370">
        <f>SUM(D29:O29)</f>
        <v>178</v>
      </c>
    </row>
    <row r="30" spans="1:18" ht="15.6" x14ac:dyDescent="0.3">
      <c r="A30" s="588"/>
      <c r="B30" s="586"/>
      <c r="C30" s="371" t="s">
        <v>139</v>
      </c>
      <c r="D30" s="15">
        <f t="shared" ref="D30:K30" si="17">D29/(D9/1000)</f>
        <v>1.1827321111768185</v>
      </c>
      <c r="E30" s="15">
        <f t="shared" si="17"/>
        <v>1.0111223458038423</v>
      </c>
      <c r="F30" s="15">
        <f t="shared" si="17"/>
        <v>1.217603061401983</v>
      </c>
      <c r="G30" s="15">
        <f t="shared" si="17"/>
        <v>1.2259194395796849</v>
      </c>
      <c r="H30" s="15">
        <f t="shared" si="17"/>
        <v>1.3840830449826989</v>
      </c>
      <c r="I30" s="15">
        <f t="shared" si="17"/>
        <v>1.5998577904186295</v>
      </c>
      <c r="J30" s="15">
        <f t="shared" si="17"/>
        <v>1.5333503705596727</v>
      </c>
      <c r="K30" s="15">
        <f t="shared" si="17"/>
        <v>1.3438602385351923</v>
      </c>
      <c r="L30" s="372">
        <v>1.49518736566676</v>
      </c>
      <c r="M30" s="372">
        <v>1.8167366867264676</v>
      </c>
      <c r="N30" s="372">
        <f t="shared" ref="N30:P30" si="18">N29/(N9/1000)</f>
        <v>1.3689253935660506</v>
      </c>
      <c r="O30" s="372">
        <v>1.5222630978054041</v>
      </c>
      <c r="P30" s="373">
        <f t="shared" si="18"/>
        <v>1.3773252035036678</v>
      </c>
    </row>
    <row r="31" spans="1:18" ht="15.6" x14ac:dyDescent="0.3">
      <c r="A31" s="245" t="s">
        <v>145</v>
      </c>
      <c r="B31" s="243"/>
      <c r="C31" s="356" t="s">
        <v>140</v>
      </c>
      <c r="D31" s="43"/>
      <c r="E31" s="43"/>
      <c r="F31" s="43"/>
      <c r="G31" s="369"/>
      <c r="H31" s="369"/>
      <c r="I31" s="369"/>
      <c r="J31" s="369"/>
      <c r="K31" s="369"/>
      <c r="L31" s="369"/>
      <c r="M31" s="369"/>
      <c r="N31" s="369"/>
      <c r="O31" s="369"/>
      <c r="P31" s="370">
        <f>SUM(D31:O31)</f>
        <v>0</v>
      </c>
    </row>
    <row r="32" spans="1:18" ht="15.6" x14ac:dyDescent="0.3">
      <c r="A32" s="246"/>
      <c r="B32" s="244">
        <v>1060.01</v>
      </c>
      <c r="C32" s="371" t="s">
        <v>139</v>
      </c>
      <c r="D32" s="15">
        <f t="shared" ref="D32:F32" si="19">D31/(D9/1000)</f>
        <v>0</v>
      </c>
      <c r="E32" s="15">
        <f t="shared" si="19"/>
        <v>0</v>
      </c>
      <c r="F32" s="15">
        <f t="shared" si="19"/>
        <v>0</v>
      </c>
      <c r="G32" s="372">
        <f t="shared" ref="G32:P32" si="20">G31/(G9/1000)</f>
        <v>0</v>
      </c>
      <c r="H32" s="372">
        <f t="shared" si="20"/>
        <v>0</v>
      </c>
      <c r="I32" s="372">
        <f t="shared" si="20"/>
        <v>0</v>
      </c>
      <c r="J32" s="372">
        <f t="shared" si="20"/>
        <v>0</v>
      </c>
      <c r="K32" s="372">
        <f t="shared" si="20"/>
        <v>0</v>
      </c>
      <c r="L32" s="372">
        <f t="shared" si="20"/>
        <v>0</v>
      </c>
      <c r="M32" s="372">
        <f t="shared" si="20"/>
        <v>0</v>
      </c>
      <c r="N32" s="372">
        <f t="shared" si="20"/>
        <v>0</v>
      </c>
      <c r="O32" s="372">
        <v>0</v>
      </c>
      <c r="P32" s="373">
        <f t="shared" si="20"/>
        <v>0</v>
      </c>
    </row>
    <row r="33" spans="1:16" ht="15.6" x14ac:dyDescent="0.3">
      <c r="A33" s="245" t="s">
        <v>144</v>
      </c>
      <c r="B33" s="243"/>
      <c r="C33" s="356" t="s">
        <v>140</v>
      </c>
      <c r="D33" s="43"/>
      <c r="E33" s="43"/>
      <c r="F33" s="43"/>
      <c r="G33" s="369"/>
      <c r="H33" s="369"/>
      <c r="I33" s="369"/>
      <c r="J33" s="369"/>
      <c r="K33" s="369"/>
      <c r="L33" s="369"/>
      <c r="M33" s="369"/>
      <c r="N33" s="369"/>
      <c r="O33" s="369"/>
      <c r="P33" s="370">
        <f>SUM(D33:O33)</f>
        <v>0</v>
      </c>
    </row>
    <row r="34" spans="1:16" ht="15.6" x14ac:dyDescent="0.3">
      <c r="A34" s="246"/>
      <c r="B34" s="244">
        <v>1228.29</v>
      </c>
      <c r="C34" s="371" t="s">
        <v>139</v>
      </c>
      <c r="D34" s="15">
        <f t="shared" ref="D34:F34" si="21">D33/(D9/1000)</f>
        <v>0</v>
      </c>
      <c r="E34" s="15">
        <f t="shared" si="21"/>
        <v>0</v>
      </c>
      <c r="F34" s="15">
        <f t="shared" si="21"/>
        <v>0</v>
      </c>
      <c r="G34" s="372">
        <f t="shared" ref="G34:P34" si="22">G33/(G9/1000)</f>
        <v>0</v>
      </c>
      <c r="H34" s="372">
        <f t="shared" si="22"/>
        <v>0</v>
      </c>
      <c r="I34" s="372">
        <f t="shared" si="22"/>
        <v>0</v>
      </c>
      <c r="J34" s="372">
        <f t="shared" si="22"/>
        <v>0</v>
      </c>
      <c r="K34" s="372">
        <f t="shared" si="22"/>
        <v>0</v>
      </c>
      <c r="L34" s="372">
        <f t="shared" si="22"/>
        <v>0</v>
      </c>
      <c r="M34" s="372">
        <f t="shared" si="22"/>
        <v>0</v>
      </c>
      <c r="N34" s="372">
        <f t="shared" si="22"/>
        <v>0</v>
      </c>
      <c r="O34" s="372">
        <v>0</v>
      </c>
      <c r="P34" s="373">
        <f t="shared" si="22"/>
        <v>0</v>
      </c>
    </row>
    <row r="35" spans="1:16" ht="15.6" x14ac:dyDescent="0.3">
      <c r="A35" s="245" t="s">
        <v>143</v>
      </c>
      <c r="B35" s="243"/>
      <c r="C35" s="356" t="s">
        <v>126</v>
      </c>
      <c r="D35" s="13"/>
      <c r="E35" s="43"/>
      <c r="F35" s="13"/>
      <c r="G35" s="374"/>
      <c r="H35" s="374"/>
      <c r="I35" s="374"/>
      <c r="J35" s="374"/>
      <c r="K35" s="374"/>
      <c r="L35" s="374"/>
      <c r="M35" s="374"/>
      <c r="N35" s="374"/>
      <c r="O35" s="374"/>
      <c r="P35" s="373"/>
    </row>
    <row r="36" spans="1:16" ht="15.6" x14ac:dyDescent="0.3">
      <c r="A36" s="246"/>
      <c r="B36" s="244">
        <v>3726.73</v>
      </c>
      <c r="C36" s="356" t="s">
        <v>142</v>
      </c>
      <c r="D36" s="13"/>
      <c r="E36" s="15">
        <f t="shared" ref="E36" si="23">E35/(E11/1000)</f>
        <v>0</v>
      </c>
      <c r="F36" s="13"/>
      <c r="G36" s="374"/>
      <c r="H36" s="374"/>
      <c r="I36" s="374"/>
      <c r="J36" s="374"/>
      <c r="K36" s="374"/>
      <c r="L36" s="374"/>
      <c r="M36" s="374"/>
      <c r="N36" s="374"/>
      <c r="O36" s="374"/>
      <c r="P36" s="373"/>
    </row>
    <row r="37" spans="1:16" ht="15.6" x14ac:dyDescent="0.3">
      <c r="A37" s="245" t="s">
        <v>186</v>
      </c>
      <c r="B37" s="243"/>
      <c r="C37" s="356" t="s">
        <v>126</v>
      </c>
      <c r="D37" s="43"/>
      <c r="E37" s="43"/>
      <c r="F37" s="43"/>
      <c r="G37" s="369">
        <v>0</v>
      </c>
      <c r="H37" s="369">
        <v>0</v>
      </c>
      <c r="I37" s="369">
        <v>0</v>
      </c>
      <c r="J37" s="369">
        <v>0</v>
      </c>
      <c r="K37" s="369">
        <v>0</v>
      </c>
      <c r="L37" s="369">
        <v>0</v>
      </c>
      <c r="M37" s="369">
        <v>0</v>
      </c>
      <c r="N37" s="369">
        <v>0</v>
      </c>
      <c r="O37" s="369">
        <v>0</v>
      </c>
      <c r="P37" s="370">
        <f>SUM(D37:O37)</f>
        <v>0</v>
      </c>
    </row>
    <row r="38" spans="1:16" ht="15.6" x14ac:dyDescent="0.3">
      <c r="A38" s="246"/>
      <c r="B38" s="244">
        <v>3951.59</v>
      </c>
      <c r="C38" s="356" t="s">
        <v>142</v>
      </c>
      <c r="D38" s="15">
        <f t="shared" ref="D38:F38" si="24">D37/(D13/1000)</f>
        <v>0</v>
      </c>
      <c r="E38" s="15">
        <f t="shared" si="24"/>
        <v>0</v>
      </c>
      <c r="F38" s="15">
        <f t="shared" si="24"/>
        <v>0</v>
      </c>
      <c r="G38" s="372">
        <f t="shared" ref="G38:P38" si="25">G37/(G9/1000)</f>
        <v>0</v>
      </c>
      <c r="H38" s="372">
        <f t="shared" si="25"/>
        <v>0</v>
      </c>
      <c r="I38" s="372">
        <f t="shared" si="25"/>
        <v>0</v>
      </c>
      <c r="J38" s="372">
        <f t="shared" si="25"/>
        <v>0</v>
      </c>
      <c r="K38" s="372">
        <f t="shared" si="25"/>
        <v>0</v>
      </c>
      <c r="L38" s="372">
        <f t="shared" si="25"/>
        <v>0</v>
      </c>
      <c r="M38" s="372">
        <f t="shared" si="25"/>
        <v>0</v>
      </c>
      <c r="N38" s="372">
        <f t="shared" si="25"/>
        <v>0</v>
      </c>
      <c r="O38" s="372">
        <v>0</v>
      </c>
      <c r="P38" s="373">
        <f t="shared" si="25"/>
        <v>0</v>
      </c>
    </row>
    <row r="39" spans="1:16" ht="15.6" x14ac:dyDescent="0.3">
      <c r="A39" s="245" t="s">
        <v>141</v>
      </c>
      <c r="B39" s="243"/>
      <c r="C39" s="356" t="s">
        <v>140</v>
      </c>
      <c r="D39" s="43"/>
      <c r="E39" s="43"/>
      <c r="F39" s="43"/>
      <c r="G39" s="369">
        <v>0</v>
      </c>
      <c r="H39" s="369">
        <v>0</v>
      </c>
      <c r="I39" s="369">
        <v>0</v>
      </c>
      <c r="J39" s="369">
        <v>0</v>
      </c>
      <c r="K39" s="369">
        <v>0</v>
      </c>
      <c r="L39" s="369">
        <v>0</v>
      </c>
      <c r="M39" s="369">
        <v>0</v>
      </c>
      <c r="N39" s="369">
        <v>0</v>
      </c>
      <c r="O39" s="369">
        <v>0</v>
      </c>
      <c r="P39" s="370">
        <f>SUM(D39:O39)</f>
        <v>0</v>
      </c>
    </row>
    <row r="40" spans="1:16" ht="15.6" x14ac:dyDescent="0.3">
      <c r="A40" s="246"/>
      <c r="B40" s="244">
        <v>1950</v>
      </c>
      <c r="C40" s="371" t="s">
        <v>139</v>
      </c>
      <c r="D40" s="15">
        <f t="shared" ref="D40:F40" si="26">D39/(D15/1000)</f>
        <v>0</v>
      </c>
      <c r="E40" s="15">
        <f t="shared" si="26"/>
        <v>0</v>
      </c>
      <c r="F40" s="15">
        <f t="shared" si="26"/>
        <v>0</v>
      </c>
      <c r="G40" s="372">
        <f t="shared" ref="G40:P40" si="27">G39/(G9/1000)</f>
        <v>0</v>
      </c>
      <c r="H40" s="372">
        <f t="shared" si="27"/>
        <v>0</v>
      </c>
      <c r="I40" s="372">
        <f t="shared" si="27"/>
        <v>0</v>
      </c>
      <c r="J40" s="372">
        <f t="shared" si="27"/>
        <v>0</v>
      </c>
      <c r="K40" s="372">
        <f t="shared" si="27"/>
        <v>0</v>
      </c>
      <c r="L40" s="372">
        <f t="shared" si="27"/>
        <v>0</v>
      </c>
      <c r="M40" s="372">
        <f t="shared" si="27"/>
        <v>0</v>
      </c>
      <c r="N40" s="372">
        <f t="shared" si="27"/>
        <v>0</v>
      </c>
      <c r="O40" s="372">
        <v>0</v>
      </c>
      <c r="P40" s="373">
        <f t="shared" si="27"/>
        <v>0</v>
      </c>
    </row>
    <row r="41" spans="1:16" ht="15.6" x14ac:dyDescent="0.3">
      <c r="A41" s="475" t="s">
        <v>138</v>
      </c>
      <c r="B41" s="476"/>
      <c r="C41" s="345" t="s">
        <v>31</v>
      </c>
      <c r="D41" s="41">
        <f>(D29*$B29)+(D31*$B31)+(D33*$B33)+(D35*$B35)+(D37*$B37)+(D39*$B39)</f>
        <v>49354.06</v>
      </c>
      <c r="E41" s="41">
        <f t="shared" ref="E41:N41" si="28">(E29*$B29)+(E31*$B31)+(E33*$B33)+(E35*$B35)+(E37*$B37)+(E39*$B39)</f>
        <v>42303.479999999996</v>
      </c>
      <c r="F41" s="41">
        <f t="shared" si="28"/>
        <v>49354.06</v>
      </c>
      <c r="G41" s="41">
        <f t="shared" si="28"/>
        <v>49354.06</v>
      </c>
      <c r="H41" s="41">
        <f t="shared" si="28"/>
        <v>56404.639999999999</v>
      </c>
      <c r="I41" s="41">
        <f t="shared" si="28"/>
        <v>63455.22</v>
      </c>
      <c r="J41" s="41">
        <f t="shared" si="28"/>
        <v>63455.22</v>
      </c>
      <c r="K41" s="41">
        <f t="shared" si="28"/>
        <v>56404.639999999999</v>
      </c>
      <c r="L41" s="41">
        <f t="shared" si="28"/>
        <v>56404.639999999999</v>
      </c>
      <c r="M41" s="41">
        <f t="shared" si="28"/>
        <v>56404.639999999999</v>
      </c>
      <c r="N41" s="41">
        <f t="shared" si="28"/>
        <v>42303.479999999996</v>
      </c>
      <c r="O41" s="41">
        <v>42303.479999999996</v>
      </c>
      <c r="P41" s="376">
        <f>SUM(D41:O41)</f>
        <v>627501.62</v>
      </c>
    </row>
    <row r="42" spans="1:16" ht="15.6" x14ac:dyDescent="0.3">
      <c r="A42" s="532" t="s">
        <v>137</v>
      </c>
      <c r="B42" s="533"/>
      <c r="C42" s="371" t="s">
        <v>115</v>
      </c>
      <c r="D42" s="15">
        <f>D41/D9</f>
        <v>4.1694736842105264</v>
      </c>
      <c r="E42" s="372">
        <f t="shared" ref="E42:P42" si="29">E41/E9</f>
        <v>3.5644994944388269</v>
      </c>
      <c r="F42" s="372">
        <f t="shared" si="29"/>
        <v>4.2924038963297964</v>
      </c>
      <c r="G42" s="372">
        <f t="shared" si="29"/>
        <v>4.3217215411558669</v>
      </c>
      <c r="H42" s="372">
        <f t="shared" si="29"/>
        <v>4.879294117647059</v>
      </c>
      <c r="I42" s="372">
        <f t="shared" si="29"/>
        <v>5.6399626699848904</v>
      </c>
      <c r="J42" s="372">
        <f t="shared" si="29"/>
        <v>5.4055047278303094</v>
      </c>
      <c r="K42" s="372">
        <f t="shared" si="29"/>
        <v>4.7374970603057278</v>
      </c>
      <c r="L42" s="372">
        <f t="shared" si="29"/>
        <v>5.2709690683113726</v>
      </c>
      <c r="M42" s="372">
        <f t="shared" si="29"/>
        <v>6.4045236743499485</v>
      </c>
      <c r="N42" s="372">
        <f t="shared" si="29"/>
        <v>4.8258590006844626</v>
      </c>
      <c r="O42" s="372">
        <v>5.3664188760624123</v>
      </c>
      <c r="P42" s="377">
        <f t="shared" si="29"/>
        <v>4.8554707666594448</v>
      </c>
    </row>
    <row r="43" spans="1:16" x14ac:dyDescent="0.3">
      <c r="A43" s="521" t="s">
        <v>136</v>
      </c>
      <c r="B43" s="522"/>
      <c r="C43" s="522"/>
      <c r="D43" s="522"/>
      <c r="E43" s="522"/>
      <c r="F43" s="522"/>
      <c r="G43" s="522"/>
      <c r="H43" s="522"/>
      <c r="I43" s="522"/>
      <c r="J43" s="522"/>
      <c r="K43" s="522"/>
      <c r="L43" s="522"/>
      <c r="M43" s="522"/>
      <c r="N43" s="522"/>
      <c r="O43" s="522"/>
      <c r="P43" s="523"/>
    </row>
    <row r="44" spans="1:16" ht="15.6" x14ac:dyDescent="0.3">
      <c r="A44" s="475" t="s">
        <v>135</v>
      </c>
      <c r="B44" s="476"/>
      <c r="C44" s="345" t="s">
        <v>134</v>
      </c>
      <c r="D44" s="369">
        <v>442.03</v>
      </c>
      <c r="E44" s="4">
        <v>4272.59</v>
      </c>
      <c r="F44" s="4">
        <v>4219.1499999999996</v>
      </c>
      <c r="G44" s="4">
        <v>5540.94</v>
      </c>
      <c r="H44" s="4">
        <v>4426.74</v>
      </c>
      <c r="I44" s="4">
        <v>41180.03</v>
      </c>
      <c r="J44" s="4">
        <v>4661.6899999999996</v>
      </c>
      <c r="K44" s="4">
        <v>4630.1400000000003</v>
      </c>
      <c r="L44" s="369">
        <v>4319</v>
      </c>
      <c r="M44" s="369">
        <v>2916.3</v>
      </c>
      <c r="N44" s="369">
        <v>2832.34</v>
      </c>
      <c r="O44" s="369">
        <v>2774.95</v>
      </c>
      <c r="P44" s="376">
        <f>SUM(D44:O44)</f>
        <v>82215.899999999994</v>
      </c>
    </row>
    <row r="45" spans="1:16" ht="15.6" x14ac:dyDescent="0.3">
      <c r="A45" s="532" t="s">
        <v>133</v>
      </c>
      <c r="B45" s="533"/>
      <c r="C45" s="371" t="s">
        <v>132</v>
      </c>
      <c r="D45" s="372">
        <v>3.7343076793106361E-2</v>
      </c>
      <c r="E45" s="15">
        <f t="shared" ref="E45:K45" si="30">E44/E9</f>
        <v>0.36000926862150323</v>
      </c>
      <c r="F45" s="15">
        <f t="shared" si="30"/>
        <v>0.36694642546529826</v>
      </c>
      <c r="G45" s="15">
        <f t="shared" si="30"/>
        <v>0.48519614711033271</v>
      </c>
      <c r="H45" s="15">
        <f t="shared" si="30"/>
        <v>0.38293598615916952</v>
      </c>
      <c r="I45" s="15">
        <f t="shared" si="30"/>
        <v>3.6601217669540485</v>
      </c>
      <c r="J45" s="15">
        <f t="shared" si="30"/>
        <v>0.39711133827412892</v>
      </c>
      <c r="K45" s="15">
        <f t="shared" si="30"/>
        <v>0.38889131530320847</v>
      </c>
      <c r="L45" s="372">
        <v>0.40360713951967103</v>
      </c>
      <c r="M45" s="372">
        <v>0.33113432496877487</v>
      </c>
      <c r="N45" s="372">
        <f t="shared" ref="N45:P45" si="31">N44/N9</f>
        <v>0.32310517910107234</v>
      </c>
      <c r="O45" s="372">
        <v>0.35201699860459212</v>
      </c>
      <c r="P45" s="373">
        <f t="shared" si="31"/>
        <v>0.63616871459964708</v>
      </c>
    </row>
    <row r="46" spans="1:16" ht="15.6" x14ac:dyDescent="0.3">
      <c r="A46" s="487" t="s">
        <v>131</v>
      </c>
      <c r="B46" s="488"/>
      <c r="C46" s="356" t="s">
        <v>31</v>
      </c>
      <c r="D46" s="378">
        <v>66790.732999999993</v>
      </c>
      <c r="E46" s="41">
        <f t="shared" ref="E46:I46" si="32">151.1*E44</f>
        <v>645588.34900000005</v>
      </c>
      <c r="F46" s="41">
        <f t="shared" si="32"/>
        <v>637513.56499999994</v>
      </c>
      <c r="G46" s="41">
        <f t="shared" si="32"/>
        <v>837236.03399999987</v>
      </c>
      <c r="H46" s="41">
        <f t="shared" si="32"/>
        <v>668880.41399999999</v>
      </c>
      <c r="I46" s="41">
        <f t="shared" si="32"/>
        <v>6222302.5329999998</v>
      </c>
      <c r="J46" s="378">
        <f t="shared" ref="J46:N46" si="33">1.165*(14100+(J44*119.1))</f>
        <v>663242.98003500002</v>
      </c>
      <c r="K46" s="378">
        <f t="shared" si="33"/>
        <v>658865.37020999996</v>
      </c>
      <c r="L46" s="378">
        <f t="shared" si="33"/>
        <v>615694.22849999997</v>
      </c>
      <c r="M46" s="378">
        <f t="shared" si="33"/>
        <v>421067.49945</v>
      </c>
      <c r="N46" s="378">
        <f t="shared" si="33"/>
        <v>409417.92351000005</v>
      </c>
      <c r="O46" s="378">
        <v>401454.97492499999</v>
      </c>
      <c r="P46" s="376">
        <f>SUM(D46:O46)</f>
        <v>12248054.604629997</v>
      </c>
    </row>
    <row r="47" spans="1:16" s="351" customFormat="1" ht="15.6" x14ac:dyDescent="0.3">
      <c r="A47" s="475" t="s">
        <v>130</v>
      </c>
      <c r="B47" s="476"/>
      <c r="C47" s="345" t="s">
        <v>115</v>
      </c>
      <c r="D47" s="372">
        <v>5.6425389034383704</v>
      </c>
      <c r="E47" s="15">
        <f t="shared" ref="E47:G47" si="34">E46/E9</f>
        <v>54.397400488709138</v>
      </c>
      <c r="F47" s="15">
        <f t="shared" si="34"/>
        <v>55.445604887806567</v>
      </c>
      <c r="G47" s="15">
        <f t="shared" si="34"/>
        <v>73.313137828371268</v>
      </c>
      <c r="H47" s="372">
        <f t="shared" ref="H47:P47" si="35">H46/H9</f>
        <v>57.861627508650521</v>
      </c>
      <c r="I47" s="372">
        <f t="shared" si="35"/>
        <v>553.04439898675673</v>
      </c>
      <c r="J47" s="372">
        <f t="shared" si="35"/>
        <v>56.499103844876053</v>
      </c>
      <c r="K47" s="372">
        <f t="shared" si="35"/>
        <v>55.33893584831177</v>
      </c>
      <c r="L47" s="372">
        <f t="shared" si="35"/>
        <v>57.536139472946452</v>
      </c>
      <c r="M47" s="372">
        <f t="shared" si="35"/>
        <v>47.810548364936984</v>
      </c>
      <c r="N47" s="372">
        <f t="shared" si="35"/>
        <v>46.705216006160171</v>
      </c>
      <c r="O47" s="372">
        <v>50.926674479893443</v>
      </c>
      <c r="P47" s="373">
        <f t="shared" si="35"/>
        <v>94.772776971045204</v>
      </c>
    </row>
    <row r="48" spans="1:16" x14ac:dyDescent="0.3">
      <c r="A48" s="521" t="s">
        <v>129</v>
      </c>
      <c r="B48" s="522"/>
      <c r="C48" s="522"/>
      <c r="D48" s="522"/>
      <c r="E48" s="522"/>
      <c r="F48" s="522"/>
      <c r="G48" s="522"/>
      <c r="H48" s="522"/>
      <c r="I48" s="522"/>
      <c r="J48" s="522"/>
      <c r="K48" s="522"/>
      <c r="L48" s="522"/>
      <c r="M48" s="522"/>
      <c r="N48" s="522"/>
      <c r="O48" s="522"/>
      <c r="P48" s="523"/>
    </row>
    <row r="49" spans="1:16" ht="15.6" x14ac:dyDescent="0.3">
      <c r="A49" s="475" t="s">
        <v>128</v>
      </c>
      <c r="B49" s="476"/>
      <c r="C49" s="356" t="s">
        <v>127</v>
      </c>
      <c r="D49" s="551">
        <v>346</v>
      </c>
      <c r="E49" s="4">
        <v>301</v>
      </c>
      <c r="F49" s="4">
        <v>373</v>
      </c>
      <c r="G49" s="4">
        <v>114</v>
      </c>
      <c r="H49" s="4">
        <v>238</v>
      </c>
      <c r="I49" s="4">
        <v>298</v>
      </c>
      <c r="J49" s="4">
        <v>394</v>
      </c>
      <c r="K49" s="4">
        <v>223</v>
      </c>
      <c r="L49" s="379">
        <v>278</v>
      </c>
      <c r="M49" s="379"/>
      <c r="N49" s="379"/>
      <c r="O49" s="379">
        <v>132</v>
      </c>
      <c r="P49" s="376">
        <f>SUM(D49:O49)</f>
        <v>2697</v>
      </c>
    </row>
    <row r="50" spans="1:16" ht="15.6" x14ac:dyDescent="0.3">
      <c r="A50" s="475" t="s">
        <v>187</v>
      </c>
      <c r="B50" s="476"/>
      <c r="C50" s="356" t="s">
        <v>126</v>
      </c>
      <c r="D50" s="551">
        <v>12</v>
      </c>
      <c r="E50" s="4">
        <v>10</v>
      </c>
      <c r="F50" s="4">
        <v>10</v>
      </c>
      <c r="G50" s="4">
        <v>8</v>
      </c>
      <c r="H50" s="4">
        <v>11.5</v>
      </c>
      <c r="I50" s="4">
        <v>22</v>
      </c>
      <c r="J50" s="4">
        <v>25.19</v>
      </c>
      <c r="K50" s="4">
        <v>10</v>
      </c>
      <c r="L50" s="379">
        <v>27.9</v>
      </c>
      <c r="M50" s="379"/>
      <c r="N50" s="379"/>
      <c r="O50" s="379">
        <v>14.2</v>
      </c>
      <c r="P50" s="376">
        <f>SUM(D50:O50)</f>
        <v>150.79</v>
      </c>
    </row>
    <row r="51" spans="1:16" ht="15.6" x14ac:dyDescent="0.3">
      <c r="A51" s="487" t="s">
        <v>125</v>
      </c>
      <c r="B51" s="488"/>
      <c r="C51" s="356" t="s">
        <v>31</v>
      </c>
      <c r="D51" s="13">
        <f>D50*1470</f>
        <v>17640</v>
      </c>
      <c r="E51" s="13">
        <f t="shared" ref="E51:K51" si="36">E50*1470</f>
        <v>14700</v>
      </c>
      <c r="F51" s="13">
        <f t="shared" si="36"/>
        <v>14700</v>
      </c>
      <c r="G51" s="13">
        <f t="shared" si="36"/>
        <v>11760</v>
      </c>
      <c r="H51" s="13">
        <f t="shared" si="36"/>
        <v>16905</v>
      </c>
      <c r="I51" s="13">
        <f t="shared" si="36"/>
        <v>32340</v>
      </c>
      <c r="J51" s="13">
        <f t="shared" si="36"/>
        <v>37029.300000000003</v>
      </c>
      <c r="K51" s="13">
        <f t="shared" si="36"/>
        <v>14700</v>
      </c>
      <c r="L51" s="374">
        <v>41013</v>
      </c>
      <c r="M51" s="374"/>
      <c r="N51" s="374"/>
      <c r="O51" s="374">
        <v>20874</v>
      </c>
      <c r="P51" s="380">
        <f>SUM(D51:O51)</f>
        <v>221661.3</v>
      </c>
    </row>
    <row r="52" spans="1:16" ht="15.6" x14ac:dyDescent="0.3">
      <c r="A52" s="475" t="s">
        <v>124</v>
      </c>
      <c r="B52" s="476"/>
      <c r="C52" s="356" t="s">
        <v>31</v>
      </c>
      <c r="D52" s="13">
        <v>50000</v>
      </c>
      <c r="E52" s="13">
        <v>65000</v>
      </c>
      <c r="F52" s="13"/>
      <c r="G52" s="13"/>
      <c r="H52" s="374">
        <v>0</v>
      </c>
      <c r="I52" s="374">
        <v>0</v>
      </c>
      <c r="J52" s="374">
        <v>0</v>
      </c>
      <c r="K52" s="374">
        <v>0</v>
      </c>
      <c r="L52" s="374">
        <v>0</v>
      </c>
      <c r="M52" s="374">
        <v>0</v>
      </c>
      <c r="N52" s="374">
        <v>0</v>
      </c>
      <c r="O52" s="374">
        <v>0</v>
      </c>
      <c r="P52" s="380">
        <f>SUM(D52:O52)</f>
        <v>115000</v>
      </c>
    </row>
    <row r="53" spans="1:16" x14ac:dyDescent="0.3">
      <c r="A53" s="521" t="s">
        <v>123</v>
      </c>
      <c r="B53" s="522"/>
      <c r="C53" s="522"/>
      <c r="D53" s="522"/>
      <c r="E53" s="522"/>
      <c r="F53" s="522"/>
      <c r="G53" s="522"/>
      <c r="H53" s="522"/>
      <c r="I53" s="522"/>
      <c r="J53" s="522"/>
      <c r="K53" s="522"/>
      <c r="L53" s="522"/>
      <c r="M53" s="522"/>
      <c r="N53" s="522"/>
      <c r="O53" s="522"/>
      <c r="P53" s="523"/>
    </row>
    <row r="54" spans="1:16" ht="15.6" x14ac:dyDescent="0.3">
      <c r="A54" s="475" t="s">
        <v>122</v>
      </c>
      <c r="B54" s="476"/>
      <c r="C54" s="345" t="s">
        <v>18</v>
      </c>
      <c r="D54" s="551">
        <v>836669.74600000004</v>
      </c>
      <c r="E54" s="551">
        <v>836669.74600000004</v>
      </c>
      <c r="F54" s="551">
        <v>836669.74600000004</v>
      </c>
      <c r="G54" s="551">
        <v>836669.74600000004</v>
      </c>
      <c r="H54" s="551">
        <v>836669.74600000004</v>
      </c>
      <c r="I54" s="551">
        <v>836669.74600000004</v>
      </c>
      <c r="J54" s="551">
        <v>836669.74600000004</v>
      </c>
      <c r="K54" s="551">
        <v>836669.74600000004</v>
      </c>
      <c r="L54" s="374"/>
      <c r="M54" s="374"/>
      <c r="N54" s="374"/>
      <c r="O54" s="374"/>
      <c r="P54" s="376">
        <f>SUM(D54:O54)</f>
        <v>6693357.9680000013</v>
      </c>
    </row>
    <row r="55" spans="1:16" ht="15.6" x14ac:dyDescent="0.3">
      <c r="A55" s="381" t="s">
        <v>121</v>
      </c>
      <c r="B55" s="355"/>
      <c r="C55" s="345" t="s">
        <v>18</v>
      </c>
      <c r="D55" s="551">
        <v>165475.13</v>
      </c>
      <c r="E55" s="551">
        <v>165475.13</v>
      </c>
      <c r="F55" s="551">
        <v>165475.13</v>
      </c>
      <c r="G55" s="551">
        <v>165475.13</v>
      </c>
      <c r="H55" s="551">
        <v>165475.13</v>
      </c>
      <c r="I55" s="551">
        <v>165475.13</v>
      </c>
      <c r="J55" s="551">
        <v>165475.13</v>
      </c>
      <c r="K55" s="551">
        <v>165475.13</v>
      </c>
      <c r="L55" s="374"/>
      <c r="M55" s="374"/>
      <c r="N55" s="374"/>
      <c r="O55" s="374"/>
      <c r="P55" s="376">
        <f>SUM(D55:O55)</f>
        <v>1323801.04</v>
      </c>
    </row>
    <row r="56" spans="1:16" ht="15.6" x14ac:dyDescent="0.3">
      <c r="A56" s="475" t="s">
        <v>120</v>
      </c>
      <c r="B56" s="476"/>
      <c r="C56" s="356" t="s">
        <v>18</v>
      </c>
      <c r="D56" s="374"/>
      <c r="E56" s="374"/>
      <c r="F56" s="374"/>
      <c r="G56" s="374"/>
      <c r="H56" s="374"/>
      <c r="I56" s="374"/>
      <c r="J56" s="374"/>
      <c r="K56" s="374"/>
      <c r="L56" s="374"/>
      <c r="M56" s="374"/>
      <c r="N56" s="374"/>
      <c r="O56" s="374"/>
      <c r="P56" s="376">
        <f>SUM(D56:O56)</f>
        <v>0</v>
      </c>
    </row>
    <row r="57" spans="1:16" x14ac:dyDescent="0.3">
      <c r="A57" s="521" t="s">
        <v>119</v>
      </c>
      <c r="B57" s="522"/>
      <c r="C57" s="522"/>
      <c r="D57" s="522"/>
      <c r="E57" s="522"/>
      <c r="F57" s="522"/>
      <c r="G57" s="522"/>
      <c r="H57" s="522"/>
      <c r="I57" s="522"/>
      <c r="J57" s="522"/>
      <c r="K57" s="522"/>
      <c r="L57" s="522"/>
      <c r="M57" s="522"/>
      <c r="N57" s="522"/>
      <c r="O57" s="522"/>
      <c r="P57" s="523"/>
    </row>
    <row r="58" spans="1:16" ht="15.6" x14ac:dyDescent="0.3">
      <c r="A58" s="487" t="s">
        <v>118</v>
      </c>
      <c r="B58" s="488"/>
      <c r="C58" s="356" t="s">
        <v>18</v>
      </c>
      <c r="D58" s="13">
        <f>D41+D46+D51+D52+D54+D55+D56</f>
        <v>1185929.6690000002</v>
      </c>
      <c r="E58" s="374">
        <f t="shared" ref="E58:N58" si="37">E41+E46+E51+E52+E54+E55+E56</f>
        <v>1769736.7050000001</v>
      </c>
      <c r="F58" s="374">
        <f t="shared" si="37"/>
        <v>1703712.5010000002</v>
      </c>
      <c r="G58" s="374">
        <f t="shared" si="37"/>
        <v>1900494.9699999997</v>
      </c>
      <c r="H58" s="13">
        <f t="shared" si="37"/>
        <v>1744334.9300000002</v>
      </c>
      <c r="I58" s="374">
        <f t="shared" si="37"/>
        <v>7320242.6289999997</v>
      </c>
      <c r="J58" s="374">
        <f t="shared" si="37"/>
        <v>1765872.3760350002</v>
      </c>
      <c r="K58" s="374">
        <f t="shared" si="37"/>
        <v>1732114.8862100001</v>
      </c>
      <c r="L58" s="374">
        <f t="shared" si="37"/>
        <v>713111.86849999998</v>
      </c>
      <c r="M58" s="374">
        <f t="shared" si="37"/>
        <v>477472.13945000002</v>
      </c>
      <c r="N58" s="374">
        <f t="shared" si="37"/>
        <v>451721.40351000003</v>
      </c>
      <c r="O58" s="374">
        <v>464632.45492499997</v>
      </c>
      <c r="P58" s="382">
        <f>SUM(D58:O58)</f>
        <v>21229376.53263</v>
      </c>
    </row>
    <row r="59" spans="1:16" ht="15.6" x14ac:dyDescent="0.3">
      <c r="A59" s="487" t="s">
        <v>117</v>
      </c>
      <c r="B59" s="488"/>
      <c r="C59" s="356" t="s">
        <v>115</v>
      </c>
      <c r="D59" s="15">
        <f t="shared" ref="D59:H59" si="38">D58/D9</f>
        <v>100.18836436597113</v>
      </c>
      <c r="E59" s="15">
        <f t="shared" si="38"/>
        <v>149.11836071789688</v>
      </c>
      <c r="F59" s="15">
        <f t="shared" si="38"/>
        <v>148.17468264045922</v>
      </c>
      <c r="G59" s="15">
        <f t="shared" si="38"/>
        <v>166.41812346760068</v>
      </c>
      <c r="H59" s="15">
        <f t="shared" si="38"/>
        <v>150.8940250865052</v>
      </c>
      <c r="I59" s="372">
        <f t="shared" ref="I59:P59" si="39">I58/I9</f>
        <v>650.63039987556658</v>
      </c>
      <c r="J59" s="372">
        <f t="shared" si="39"/>
        <v>150.4278367863532</v>
      </c>
      <c r="K59" s="372">
        <f t="shared" si="39"/>
        <v>145.48252025953303</v>
      </c>
      <c r="L59" s="372">
        <f t="shared" si="39"/>
        <v>66.6397410055135</v>
      </c>
      <c r="M59" s="372">
        <f t="shared" si="39"/>
        <v>54.21507203928693</v>
      </c>
      <c r="N59" s="372">
        <f t="shared" si="39"/>
        <v>51.531075006844631</v>
      </c>
      <c r="O59" s="372">
        <v>58.941070014588348</v>
      </c>
      <c r="P59" s="373">
        <f t="shared" si="39"/>
        <v>164.26828850034047</v>
      </c>
    </row>
    <row r="60" spans="1:16" ht="15.6" x14ac:dyDescent="0.3">
      <c r="A60" s="487" t="s">
        <v>116</v>
      </c>
      <c r="B60" s="488"/>
      <c r="C60" s="356" t="s">
        <v>115</v>
      </c>
      <c r="D60" s="15">
        <f>D58/D22</f>
        <v>121.78369983569524</v>
      </c>
      <c r="E60" s="15">
        <f t="shared" ref="E60:H60" si="40">E58/E22</f>
        <v>172.86130016897997</v>
      </c>
      <c r="F60" s="15">
        <f t="shared" si="40"/>
        <v>188.29713759946952</v>
      </c>
      <c r="G60" s="15">
        <f t="shared" si="40"/>
        <v>205.68127380952379</v>
      </c>
      <c r="H60" s="15">
        <f t="shared" si="40"/>
        <v>180.33961540449729</v>
      </c>
      <c r="I60" s="372">
        <f t="shared" ref="I60:N60" si="41">I58/I22</f>
        <v>845.78193287117267</v>
      </c>
      <c r="J60" s="372">
        <f t="shared" si="41"/>
        <v>197.12797231915607</v>
      </c>
      <c r="K60" s="372">
        <f t="shared" si="41"/>
        <v>184.11085100021259</v>
      </c>
      <c r="L60" s="372">
        <f t="shared" si="41"/>
        <v>80.450346175541512</v>
      </c>
      <c r="M60" s="372">
        <f t="shared" si="41"/>
        <v>62.29251656229615</v>
      </c>
      <c r="N60" s="372">
        <f t="shared" si="41"/>
        <v>59.071714856806594</v>
      </c>
      <c r="O60" s="372">
        <v>75.599162857956387</v>
      </c>
      <c r="P60" s="383">
        <f>P58/P22</f>
        <v>201.64796277932817</v>
      </c>
    </row>
    <row r="61" spans="1:16" ht="15.6" x14ac:dyDescent="0.3">
      <c r="A61" s="475" t="s">
        <v>114</v>
      </c>
      <c r="B61" s="476"/>
      <c r="C61" s="356" t="s">
        <v>3</v>
      </c>
      <c r="D61" s="4">
        <v>2</v>
      </c>
      <c r="E61" s="4">
        <v>2</v>
      </c>
      <c r="F61" s="4">
        <v>2</v>
      </c>
      <c r="G61" s="4">
        <v>3</v>
      </c>
      <c r="H61" s="4">
        <v>3</v>
      </c>
      <c r="I61" s="4">
        <v>2</v>
      </c>
      <c r="J61" s="4">
        <v>2</v>
      </c>
      <c r="K61" s="4">
        <v>2</v>
      </c>
      <c r="L61" s="379">
        <v>2</v>
      </c>
      <c r="M61" s="379">
        <v>2</v>
      </c>
      <c r="N61" s="379">
        <v>2</v>
      </c>
      <c r="O61" s="379">
        <v>2</v>
      </c>
      <c r="P61" s="384">
        <f>O61</f>
        <v>2</v>
      </c>
    </row>
    <row r="62" spans="1:16" ht="15.6" customHeight="1" x14ac:dyDescent="0.3">
      <c r="A62" s="487" t="s">
        <v>113</v>
      </c>
      <c r="B62" s="488"/>
      <c r="C62" s="356" t="s">
        <v>112</v>
      </c>
      <c r="D62" s="15">
        <f t="shared" ref="D62:G62" si="42">(D61*1000*31)/D9</f>
        <v>5.2378136352116247</v>
      </c>
      <c r="E62" s="15">
        <f t="shared" si="42"/>
        <v>5.2241321199865185</v>
      </c>
      <c r="F62" s="15">
        <f t="shared" si="42"/>
        <v>5.3922421290659246</v>
      </c>
      <c r="G62" s="15">
        <f t="shared" si="42"/>
        <v>8.1436077057793348</v>
      </c>
      <c r="H62" s="372">
        <f t="shared" ref="H62:P62" si="43">(H61*1000*31)/H9</f>
        <v>8.0449826989619382</v>
      </c>
      <c r="I62" s="15">
        <f t="shared" si="43"/>
        <v>5.5106212781086121</v>
      </c>
      <c r="J62" s="15">
        <f t="shared" si="43"/>
        <v>5.2815401652610952</v>
      </c>
      <c r="K62" s="15">
        <f t="shared" si="43"/>
        <v>5.2074584243238702</v>
      </c>
      <c r="L62" s="372">
        <f t="shared" si="43"/>
        <v>5.7938510419586953</v>
      </c>
      <c r="M62" s="372">
        <f t="shared" si="43"/>
        <v>7.0398546610650623</v>
      </c>
      <c r="N62" s="372">
        <f t="shared" si="43"/>
        <v>7.0727812000912618</v>
      </c>
      <c r="O62" s="372">
        <v>7.8650260053279206</v>
      </c>
      <c r="P62" s="373">
        <f t="shared" si="43"/>
        <v>0.47974248661363705</v>
      </c>
    </row>
    <row r="63" spans="1:16" ht="15.6" x14ac:dyDescent="0.3">
      <c r="A63" s="516" t="s">
        <v>111</v>
      </c>
      <c r="B63" s="517"/>
      <c r="C63" s="385" t="s">
        <v>3</v>
      </c>
      <c r="D63" s="4">
        <v>4</v>
      </c>
      <c r="E63" s="4">
        <v>4</v>
      </c>
      <c r="F63" s="4">
        <v>4</v>
      </c>
      <c r="G63" s="4">
        <v>4</v>
      </c>
      <c r="H63" s="4">
        <v>4</v>
      </c>
      <c r="I63" s="4">
        <v>4</v>
      </c>
      <c r="J63" s="4">
        <v>4</v>
      </c>
      <c r="K63" s="4">
        <v>4</v>
      </c>
      <c r="L63" s="379"/>
      <c r="M63" s="379">
        <v>4</v>
      </c>
      <c r="N63" s="379">
        <v>4</v>
      </c>
      <c r="O63" s="379">
        <v>5</v>
      </c>
      <c r="P63" s="384">
        <f>SUM(D63:O63)</f>
        <v>45</v>
      </c>
    </row>
    <row r="64" spans="1:16" x14ac:dyDescent="0.3">
      <c r="A64" s="518"/>
      <c r="B64" s="519"/>
      <c r="C64" s="519"/>
      <c r="D64" s="519"/>
      <c r="E64" s="519"/>
      <c r="F64" s="519"/>
      <c r="G64" s="519"/>
      <c r="H64" s="519"/>
      <c r="I64" s="519"/>
      <c r="J64" s="519"/>
      <c r="K64" s="519"/>
      <c r="L64" s="519"/>
      <c r="M64" s="519"/>
      <c r="N64" s="519"/>
      <c r="O64" s="519"/>
      <c r="P64" s="520"/>
    </row>
    <row r="65" spans="1:16" ht="14.4" customHeight="1" x14ac:dyDescent="0.3">
      <c r="A65" s="521" t="s">
        <v>110</v>
      </c>
      <c r="B65" s="522"/>
      <c r="C65" s="522"/>
      <c r="D65" s="522"/>
      <c r="E65" s="522"/>
      <c r="F65" s="522"/>
      <c r="G65" s="522"/>
      <c r="H65" s="522"/>
      <c r="I65" s="522"/>
      <c r="J65" s="522"/>
      <c r="K65" s="522"/>
      <c r="L65" s="522"/>
      <c r="M65" s="522"/>
      <c r="N65" s="522"/>
      <c r="O65" s="522"/>
      <c r="P65" s="523"/>
    </row>
    <row r="66" spans="1:16" ht="15.6" x14ac:dyDescent="0.3">
      <c r="A66" s="467" t="s">
        <v>109</v>
      </c>
      <c r="B66" s="356" t="s">
        <v>85</v>
      </c>
      <c r="C66" s="356" t="s">
        <v>3</v>
      </c>
      <c r="D66" s="551">
        <v>45</v>
      </c>
      <c r="E66" s="4">
        <f>D71</f>
        <v>46</v>
      </c>
      <c r="F66" s="4">
        <f t="shared" ref="F66:K66" si="44">E71</f>
        <v>52</v>
      </c>
      <c r="G66" s="4">
        <f t="shared" si="44"/>
        <v>50</v>
      </c>
      <c r="H66" s="4">
        <f t="shared" si="44"/>
        <v>43</v>
      </c>
      <c r="I66" s="4">
        <f t="shared" si="44"/>
        <v>30</v>
      </c>
      <c r="J66" s="4">
        <f t="shared" si="44"/>
        <v>24</v>
      </c>
      <c r="K66" s="4">
        <f t="shared" si="44"/>
        <v>21</v>
      </c>
      <c r="L66" s="386">
        <v>22</v>
      </c>
      <c r="M66" s="386">
        <v>25</v>
      </c>
      <c r="N66" s="386">
        <v>22</v>
      </c>
      <c r="O66" s="386">
        <v>21</v>
      </c>
      <c r="P66" s="387">
        <f>D66</f>
        <v>45</v>
      </c>
    </row>
    <row r="67" spans="1:16" ht="15.6" x14ac:dyDescent="0.3">
      <c r="A67" s="468"/>
      <c r="B67" s="345" t="s">
        <v>104</v>
      </c>
      <c r="C67" s="356" t="s">
        <v>3</v>
      </c>
      <c r="D67" s="551">
        <v>1</v>
      </c>
      <c r="E67" s="4">
        <v>6</v>
      </c>
      <c r="F67" s="4">
        <v>1</v>
      </c>
      <c r="G67" s="4">
        <v>1</v>
      </c>
      <c r="H67" s="4">
        <v>5</v>
      </c>
      <c r="I67" s="4">
        <v>7</v>
      </c>
      <c r="J67" s="4">
        <v>5</v>
      </c>
      <c r="K67" s="4">
        <v>7</v>
      </c>
      <c r="L67" s="388">
        <v>7</v>
      </c>
      <c r="M67" s="388">
        <v>4</v>
      </c>
      <c r="N67" s="388"/>
      <c r="O67" s="388">
        <v>2</v>
      </c>
      <c r="P67" s="387">
        <f>SUM(D67:O67)</f>
        <v>46</v>
      </c>
    </row>
    <row r="68" spans="1:16" ht="15.6" x14ac:dyDescent="0.3">
      <c r="A68" s="468"/>
      <c r="B68" s="345" t="s">
        <v>103</v>
      </c>
      <c r="C68" s="356" t="s">
        <v>3</v>
      </c>
      <c r="D68" s="388">
        <v>0</v>
      </c>
      <c r="E68" s="4"/>
      <c r="F68" s="4">
        <v>3</v>
      </c>
      <c r="G68" s="4">
        <v>8</v>
      </c>
      <c r="H68" s="4">
        <v>18</v>
      </c>
      <c r="I68" s="4">
        <v>13</v>
      </c>
      <c r="J68" s="4">
        <v>8</v>
      </c>
      <c r="K68" s="4">
        <v>6</v>
      </c>
      <c r="L68" s="388">
        <v>4</v>
      </c>
      <c r="M68" s="388">
        <v>7</v>
      </c>
      <c r="N68" s="388">
        <v>1</v>
      </c>
      <c r="O68" s="388">
        <v>6</v>
      </c>
      <c r="P68" s="387">
        <f t="shared" ref="P68:P69" si="45">SUM(D68:O68)</f>
        <v>74</v>
      </c>
    </row>
    <row r="69" spans="1:16" s="351" customFormat="1" ht="15.6" x14ac:dyDescent="0.3">
      <c r="A69" s="468"/>
      <c r="B69" s="345" t="s">
        <v>102</v>
      </c>
      <c r="C69" s="345" t="s">
        <v>3</v>
      </c>
      <c r="D69" s="388">
        <v>0</v>
      </c>
      <c r="E69" s="4"/>
      <c r="F69" s="4"/>
      <c r="G69" s="4"/>
      <c r="H69" s="4"/>
      <c r="I69" s="4"/>
      <c r="J69" s="388"/>
      <c r="K69" s="4"/>
      <c r="L69" s="388"/>
      <c r="M69" s="388"/>
      <c r="N69" s="388"/>
      <c r="O69" s="388"/>
      <c r="P69" s="389">
        <f t="shared" si="45"/>
        <v>0</v>
      </c>
    </row>
    <row r="70" spans="1:16" s="351" customFormat="1" ht="15.6" x14ac:dyDescent="0.3">
      <c r="A70" s="468"/>
      <c r="B70" s="345" t="s">
        <v>188</v>
      </c>
      <c r="C70" s="345" t="s">
        <v>3</v>
      </c>
      <c r="D70" s="388">
        <f>D68+D69</f>
        <v>0</v>
      </c>
      <c r="E70" s="4">
        <f t="shared" ref="E70:I70" si="46">E68+E69</f>
        <v>0</v>
      </c>
      <c r="F70" s="4">
        <f t="shared" si="46"/>
        <v>3</v>
      </c>
      <c r="G70" s="4">
        <f t="shared" si="46"/>
        <v>8</v>
      </c>
      <c r="H70" s="4">
        <f t="shared" si="46"/>
        <v>18</v>
      </c>
      <c r="I70" s="4">
        <f t="shared" si="46"/>
        <v>13</v>
      </c>
      <c r="J70" s="388">
        <f t="shared" ref="J70:K70" si="47">J68+J69</f>
        <v>8</v>
      </c>
      <c r="K70" s="4">
        <f t="shared" si="47"/>
        <v>6</v>
      </c>
      <c r="L70" s="388">
        <v>4</v>
      </c>
      <c r="M70" s="388">
        <v>7</v>
      </c>
      <c r="N70" s="388">
        <v>1</v>
      </c>
      <c r="O70" s="388">
        <v>6</v>
      </c>
      <c r="P70" s="390">
        <f t="shared" ref="P70" si="48">P68+P69</f>
        <v>74</v>
      </c>
    </row>
    <row r="71" spans="1:16" ht="15.6" x14ac:dyDescent="0.3">
      <c r="A71" s="469"/>
      <c r="B71" s="356" t="s">
        <v>81</v>
      </c>
      <c r="C71" s="356" t="s">
        <v>3</v>
      </c>
      <c r="D71" s="391">
        <f>D66+D67-D70</f>
        <v>46</v>
      </c>
      <c r="E71" s="26">
        <f t="shared" ref="E71:I71" si="49">E66+E67-E70</f>
        <v>52</v>
      </c>
      <c r="F71" s="26">
        <f t="shared" si="49"/>
        <v>50</v>
      </c>
      <c r="G71" s="26">
        <f t="shared" si="49"/>
        <v>43</v>
      </c>
      <c r="H71" s="26">
        <f t="shared" si="49"/>
        <v>30</v>
      </c>
      <c r="I71" s="26">
        <f t="shared" si="49"/>
        <v>24</v>
      </c>
      <c r="J71" s="391">
        <f t="shared" ref="J71:K71" si="50">J66+J67-J70</f>
        <v>21</v>
      </c>
      <c r="K71" s="26">
        <f t="shared" si="50"/>
        <v>22</v>
      </c>
      <c r="L71" s="391">
        <v>25</v>
      </c>
      <c r="M71" s="391">
        <f t="shared" ref="M71" si="51">M66+M67-M70</f>
        <v>22</v>
      </c>
      <c r="N71" s="391">
        <v>21</v>
      </c>
      <c r="O71" s="391">
        <v>17</v>
      </c>
      <c r="P71" s="392">
        <f>P66+P67-P70</f>
        <v>17</v>
      </c>
    </row>
    <row r="72" spans="1:16" ht="15.6" x14ac:dyDescent="0.3">
      <c r="A72" s="467" t="s">
        <v>108</v>
      </c>
      <c r="B72" s="356" t="s">
        <v>85</v>
      </c>
      <c r="C72" s="356" t="s">
        <v>3</v>
      </c>
      <c r="D72" s="386">
        <v>0</v>
      </c>
      <c r="E72" s="4">
        <f>D77</f>
        <v>0</v>
      </c>
      <c r="F72" s="4">
        <f t="shared" ref="F72:H72" si="52">E77</f>
        <v>0</v>
      </c>
      <c r="G72" s="4">
        <f t="shared" si="52"/>
        <v>0</v>
      </c>
      <c r="H72" s="4">
        <f t="shared" si="52"/>
        <v>0</v>
      </c>
      <c r="I72" s="386"/>
      <c r="J72" s="386"/>
      <c r="K72" s="386"/>
      <c r="L72" s="386"/>
      <c r="M72" s="386"/>
      <c r="N72" s="386"/>
      <c r="O72" s="386"/>
      <c r="P72" s="387">
        <f>D72</f>
        <v>0</v>
      </c>
    </row>
    <row r="73" spans="1:16" ht="15.6" x14ac:dyDescent="0.3">
      <c r="A73" s="468"/>
      <c r="B73" s="345" t="s">
        <v>104</v>
      </c>
      <c r="C73" s="356" t="s">
        <v>3</v>
      </c>
      <c r="D73" s="388">
        <v>0</v>
      </c>
      <c r="E73" s="4"/>
      <c r="F73" s="4"/>
      <c r="G73" s="4"/>
      <c r="H73" s="4"/>
      <c r="I73" s="388"/>
      <c r="J73" s="388"/>
      <c r="K73" s="388"/>
      <c r="L73" s="388"/>
      <c r="M73" s="388"/>
      <c r="N73" s="388"/>
      <c r="O73" s="388"/>
      <c r="P73" s="387">
        <f>SUM(D73:O73)</f>
        <v>0</v>
      </c>
    </row>
    <row r="74" spans="1:16" ht="15.6" x14ac:dyDescent="0.3">
      <c r="A74" s="468"/>
      <c r="B74" s="345" t="s">
        <v>103</v>
      </c>
      <c r="C74" s="356" t="s">
        <v>3</v>
      </c>
      <c r="D74" s="388">
        <v>0</v>
      </c>
      <c r="E74" s="4"/>
      <c r="F74" s="4"/>
      <c r="G74" s="4"/>
      <c r="H74" s="4"/>
      <c r="I74" s="388"/>
      <c r="J74" s="388"/>
      <c r="K74" s="388"/>
      <c r="L74" s="388"/>
      <c r="M74" s="388"/>
      <c r="N74" s="388"/>
      <c r="O74" s="388"/>
      <c r="P74" s="387">
        <f t="shared" ref="P74:P75" si="53">SUM(D74:O74)</f>
        <v>0</v>
      </c>
    </row>
    <row r="75" spans="1:16" s="351" customFormat="1" ht="15.6" x14ac:dyDescent="0.3">
      <c r="A75" s="468"/>
      <c r="B75" s="345" t="s">
        <v>102</v>
      </c>
      <c r="C75" s="345" t="s">
        <v>3</v>
      </c>
      <c r="D75" s="388">
        <v>0</v>
      </c>
      <c r="E75" s="4"/>
      <c r="F75" s="4"/>
      <c r="G75" s="4"/>
      <c r="H75" s="4"/>
      <c r="I75" s="388"/>
      <c r="J75" s="388"/>
      <c r="K75" s="388"/>
      <c r="L75" s="388"/>
      <c r="M75" s="388"/>
      <c r="N75" s="388"/>
      <c r="O75" s="388"/>
      <c r="P75" s="389">
        <f t="shared" si="53"/>
        <v>0</v>
      </c>
    </row>
    <row r="76" spans="1:16" s="351" customFormat="1" ht="15.6" x14ac:dyDescent="0.3">
      <c r="A76" s="468"/>
      <c r="B76" s="345" t="s">
        <v>188</v>
      </c>
      <c r="C76" s="345" t="s">
        <v>3</v>
      </c>
      <c r="D76" s="388">
        <f>D74+D75</f>
        <v>0</v>
      </c>
      <c r="E76" s="4">
        <f t="shared" ref="E76:H76" si="54">E74+E75</f>
        <v>0</v>
      </c>
      <c r="F76" s="4">
        <f t="shared" si="54"/>
        <v>0</v>
      </c>
      <c r="G76" s="4">
        <f t="shared" si="54"/>
        <v>0</v>
      </c>
      <c r="H76" s="4">
        <f t="shared" si="54"/>
        <v>0</v>
      </c>
      <c r="I76" s="388">
        <f t="shared" ref="I76:N76" si="55">I74+I75</f>
        <v>0</v>
      </c>
      <c r="J76" s="388">
        <f t="shared" si="55"/>
        <v>0</v>
      </c>
      <c r="K76" s="388">
        <f t="shared" si="55"/>
        <v>0</v>
      </c>
      <c r="L76" s="388">
        <f t="shared" si="55"/>
        <v>0</v>
      </c>
      <c r="M76" s="388">
        <f t="shared" si="55"/>
        <v>0</v>
      </c>
      <c r="N76" s="388">
        <f t="shared" si="55"/>
        <v>0</v>
      </c>
      <c r="O76" s="388">
        <v>0</v>
      </c>
      <c r="P76" s="390">
        <f t="shared" ref="P76" si="56">P74+P75</f>
        <v>0</v>
      </c>
    </row>
    <row r="77" spans="1:16" ht="15.6" x14ac:dyDescent="0.3">
      <c r="A77" s="469"/>
      <c r="B77" s="356" t="s">
        <v>81</v>
      </c>
      <c r="C77" s="356" t="s">
        <v>3</v>
      </c>
      <c r="D77" s="391">
        <f>D72+D73-D76</f>
        <v>0</v>
      </c>
      <c r="E77" s="26">
        <f t="shared" ref="E77:H77" si="57">E72+E73-E76</f>
        <v>0</v>
      </c>
      <c r="F77" s="26">
        <f t="shared" si="57"/>
        <v>0</v>
      </c>
      <c r="G77" s="26">
        <f t="shared" si="57"/>
        <v>0</v>
      </c>
      <c r="H77" s="26">
        <f t="shared" si="57"/>
        <v>0</v>
      </c>
      <c r="I77" s="391">
        <f t="shared" ref="I77:N77" si="58">I72+I73-I76</f>
        <v>0</v>
      </c>
      <c r="J77" s="391">
        <f t="shared" si="58"/>
        <v>0</v>
      </c>
      <c r="K77" s="391">
        <f t="shared" si="58"/>
        <v>0</v>
      </c>
      <c r="L77" s="391">
        <f t="shared" si="58"/>
        <v>0</v>
      </c>
      <c r="M77" s="391">
        <f t="shared" si="58"/>
        <v>0</v>
      </c>
      <c r="N77" s="391">
        <f t="shared" si="58"/>
        <v>0</v>
      </c>
      <c r="O77" s="391">
        <v>0</v>
      </c>
      <c r="P77" s="392">
        <f>P72+P73-P76</f>
        <v>0</v>
      </c>
    </row>
    <row r="78" spans="1:16" ht="15.6" customHeight="1" x14ac:dyDescent="0.3">
      <c r="A78" s="467" t="s">
        <v>107</v>
      </c>
      <c r="B78" s="356" t="s">
        <v>85</v>
      </c>
      <c r="C78" s="356" t="s">
        <v>3</v>
      </c>
      <c r="D78" s="386">
        <v>0</v>
      </c>
      <c r="E78" s="4">
        <f>D83</f>
        <v>0</v>
      </c>
      <c r="F78" s="4">
        <f t="shared" ref="F78:K78" si="59">E83</f>
        <v>1</v>
      </c>
      <c r="G78" s="4">
        <f t="shared" si="59"/>
        <v>1</v>
      </c>
      <c r="H78" s="4">
        <f t="shared" si="59"/>
        <v>1</v>
      </c>
      <c r="I78" s="4">
        <f t="shared" si="59"/>
        <v>1</v>
      </c>
      <c r="J78" s="4">
        <f t="shared" si="59"/>
        <v>1</v>
      </c>
      <c r="K78" s="4">
        <f t="shared" si="59"/>
        <v>1</v>
      </c>
      <c r="L78" s="386">
        <v>1</v>
      </c>
      <c r="M78" s="386">
        <v>1</v>
      </c>
      <c r="N78" s="386">
        <v>1</v>
      </c>
      <c r="O78" s="386">
        <v>1</v>
      </c>
      <c r="P78" s="387">
        <f>D78</f>
        <v>0</v>
      </c>
    </row>
    <row r="79" spans="1:16" ht="15.6" x14ac:dyDescent="0.3">
      <c r="A79" s="468"/>
      <c r="B79" s="345" t="s">
        <v>104</v>
      </c>
      <c r="C79" s="356" t="s">
        <v>3</v>
      </c>
      <c r="D79" s="388">
        <v>0</v>
      </c>
      <c r="E79" s="4">
        <v>1</v>
      </c>
      <c r="F79" s="4"/>
      <c r="G79" s="4"/>
      <c r="H79" s="4"/>
      <c r="I79" s="388"/>
      <c r="J79" s="388"/>
      <c r="K79" s="388"/>
      <c r="L79" s="388"/>
      <c r="M79" s="388"/>
      <c r="N79" s="388"/>
      <c r="O79" s="388"/>
      <c r="P79" s="387">
        <f>SUM(D79:O79)</f>
        <v>1</v>
      </c>
    </row>
    <row r="80" spans="1:16" ht="15.6" x14ac:dyDescent="0.3">
      <c r="A80" s="468"/>
      <c r="B80" s="345" t="s">
        <v>103</v>
      </c>
      <c r="C80" s="356" t="s">
        <v>3</v>
      </c>
      <c r="D80" s="388">
        <v>0</v>
      </c>
      <c r="E80" s="4"/>
      <c r="F80" s="4"/>
      <c r="G80" s="4"/>
      <c r="H80" s="4"/>
      <c r="I80" s="388"/>
      <c r="J80" s="388"/>
      <c r="K80" s="388"/>
      <c r="L80" s="388"/>
      <c r="M80" s="388"/>
      <c r="N80" s="388"/>
      <c r="O80" s="388"/>
      <c r="P80" s="387">
        <f>SUM(D80:O80)</f>
        <v>0</v>
      </c>
    </row>
    <row r="81" spans="1:16" s="351" customFormat="1" ht="15.6" x14ac:dyDescent="0.3">
      <c r="A81" s="468"/>
      <c r="B81" s="345" t="s">
        <v>102</v>
      </c>
      <c r="C81" s="345" t="s">
        <v>3</v>
      </c>
      <c r="D81" s="388">
        <v>0</v>
      </c>
      <c r="E81" s="4"/>
      <c r="F81" s="4"/>
      <c r="G81" s="4"/>
      <c r="H81" s="4"/>
      <c r="I81" s="388"/>
      <c r="J81" s="388"/>
      <c r="K81" s="388"/>
      <c r="L81" s="388"/>
      <c r="M81" s="388"/>
      <c r="N81" s="388"/>
      <c r="O81" s="388"/>
      <c r="P81" s="389">
        <f>SUM(D81:O81)</f>
        <v>0</v>
      </c>
    </row>
    <row r="82" spans="1:16" s="351" customFormat="1" ht="15.6" x14ac:dyDescent="0.3">
      <c r="A82" s="468"/>
      <c r="B82" s="345" t="s">
        <v>188</v>
      </c>
      <c r="C82" s="345" t="s">
        <v>3</v>
      </c>
      <c r="D82" s="388">
        <f>D80+D81</f>
        <v>0</v>
      </c>
      <c r="E82" s="4">
        <f t="shared" ref="E82:H82" si="60">E80+E81</f>
        <v>0</v>
      </c>
      <c r="F82" s="4">
        <f t="shared" si="60"/>
        <v>0</v>
      </c>
      <c r="G82" s="4">
        <f t="shared" si="60"/>
        <v>0</v>
      </c>
      <c r="H82" s="4">
        <f t="shared" si="60"/>
        <v>0</v>
      </c>
      <c r="I82" s="388">
        <f t="shared" ref="I82:J82" si="61">I80+I81</f>
        <v>0</v>
      </c>
      <c r="J82" s="388">
        <f t="shared" si="61"/>
        <v>0</v>
      </c>
      <c r="K82" s="388">
        <f t="shared" ref="K82:L82" si="62">K80+K81</f>
        <v>0</v>
      </c>
      <c r="L82" s="388">
        <f t="shared" si="62"/>
        <v>0</v>
      </c>
      <c r="M82" s="388">
        <f t="shared" ref="M82:P82" si="63">M81+M80</f>
        <v>0</v>
      </c>
      <c r="N82" s="388">
        <f t="shared" si="63"/>
        <v>0</v>
      </c>
      <c r="O82" s="388">
        <v>0</v>
      </c>
      <c r="P82" s="393">
        <f t="shared" si="63"/>
        <v>0</v>
      </c>
    </row>
    <row r="83" spans="1:16" ht="15.6" x14ac:dyDescent="0.3">
      <c r="A83" s="469"/>
      <c r="B83" s="356" t="s">
        <v>81</v>
      </c>
      <c r="C83" s="356" t="s">
        <v>3</v>
      </c>
      <c r="D83" s="391">
        <f>D78+D79-D82</f>
        <v>0</v>
      </c>
      <c r="E83" s="26">
        <f t="shared" ref="E83:H83" si="64">E78+E79-E82</f>
        <v>1</v>
      </c>
      <c r="F83" s="26">
        <f t="shared" si="64"/>
        <v>1</v>
      </c>
      <c r="G83" s="26">
        <f t="shared" si="64"/>
        <v>1</v>
      </c>
      <c r="H83" s="26">
        <f t="shared" si="64"/>
        <v>1</v>
      </c>
      <c r="I83" s="391">
        <f t="shared" ref="I83" si="65">I78+I79-I82</f>
        <v>1</v>
      </c>
      <c r="J83" s="391">
        <f t="shared" ref="J83:P83" si="66">J78+J79-J82</f>
        <v>1</v>
      </c>
      <c r="K83" s="391">
        <f t="shared" ref="K83:N83" si="67">K78+K79-K82</f>
        <v>1</v>
      </c>
      <c r="L83" s="391">
        <f t="shared" si="67"/>
        <v>1</v>
      </c>
      <c r="M83" s="391">
        <f t="shared" si="67"/>
        <v>1</v>
      </c>
      <c r="N83" s="391">
        <f t="shared" si="67"/>
        <v>1</v>
      </c>
      <c r="O83" s="391">
        <v>1</v>
      </c>
      <c r="P83" s="394">
        <f t="shared" si="66"/>
        <v>1</v>
      </c>
    </row>
    <row r="84" spans="1:16" ht="15.6" x14ac:dyDescent="0.3">
      <c r="A84" s="524" t="s">
        <v>106</v>
      </c>
      <c r="B84" s="356" t="s">
        <v>85</v>
      </c>
      <c r="C84" s="356" t="s">
        <v>3</v>
      </c>
      <c r="D84" s="386">
        <v>0</v>
      </c>
      <c r="E84" s="4">
        <f>D89</f>
        <v>0</v>
      </c>
      <c r="F84" s="4">
        <f t="shared" ref="F84:G84" si="68">E89</f>
        <v>0</v>
      </c>
      <c r="G84" s="4">
        <f t="shared" si="68"/>
        <v>0</v>
      </c>
      <c r="H84" s="386"/>
      <c r="I84" s="386"/>
      <c r="J84" s="386"/>
      <c r="K84" s="386"/>
      <c r="L84" s="386"/>
      <c r="M84" s="386"/>
      <c r="N84" s="386"/>
      <c r="O84" s="386"/>
      <c r="P84" s="387">
        <f>D84</f>
        <v>0</v>
      </c>
    </row>
    <row r="85" spans="1:16" ht="15.6" x14ac:dyDescent="0.3">
      <c r="A85" s="525"/>
      <c r="B85" s="356" t="s">
        <v>104</v>
      </c>
      <c r="C85" s="356" t="s">
        <v>3</v>
      </c>
      <c r="D85" s="388">
        <v>0</v>
      </c>
      <c r="E85" s="4"/>
      <c r="F85" s="4"/>
      <c r="G85" s="4"/>
      <c r="H85" s="388"/>
      <c r="I85" s="4">
        <v>1</v>
      </c>
      <c r="J85" s="388"/>
      <c r="K85" s="388"/>
      <c r="L85" s="388"/>
      <c r="M85" s="388"/>
      <c r="N85" s="388"/>
      <c r="O85" s="388"/>
      <c r="P85" s="387">
        <f>SUM(D85:O85)</f>
        <v>1</v>
      </c>
    </row>
    <row r="86" spans="1:16" ht="15.6" x14ac:dyDescent="0.3">
      <c r="A86" s="525"/>
      <c r="B86" s="356" t="s">
        <v>103</v>
      </c>
      <c r="C86" s="356" t="s">
        <v>3</v>
      </c>
      <c r="D86" s="388">
        <v>0</v>
      </c>
      <c r="E86" s="4"/>
      <c r="F86" s="4"/>
      <c r="G86" s="4"/>
      <c r="H86" s="388"/>
      <c r="I86" s="4">
        <v>1</v>
      </c>
      <c r="J86" s="388"/>
      <c r="K86" s="388"/>
      <c r="L86" s="388"/>
      <c r="M86" s="388"/>
      <c r="N86" s="388"/>
      <c r="O86" s="388"/>
      <c r="P86" s="387">
        <f t="shared" ref="P86:P88" si="69">SUM(D86:O86)</f>
        <v>1</v>
      </c>
    </row>
    <row r="87" spans="1:16" s="351" customFormat="1" ht="15.6" x14ac:dyDescent="0.3">
      <c r="A87" s="525"/>
      <c r="B87" s="345" t="s">
        <v>102</v>
      </c>
      <c r="C87" s="345" t="s">
        <v>3</v>
      </c>
      <c r="D87" s="388">
        <v>0</v>
      </c>
      <c r="E87" s="4"/>
      <c r="F87" s="4"/>
      <c r="G87" s="4"/>
      <c r="H87" s="388"/>
      <c r="I87" s="388"/>
      <c r="J87" s="388"/>
      <c r="K87" s="388"/>
      <c r="L87" s="388"/>
      <c r="M87" s="388"/>
      <c r="N87" s="388"/>
      <c r="O87" s="388"/>
      <c r="P87" s="387">
        <f t="shared" si="69"/>
        <v>0</v>
      </c>
    </row>
    <row r="88" spans="1:16" s="351" customFormat="1" ht="15.6" x14ac:dyDescent="0.3">
      <c r="A88" s="525"/>
      <c r="B88" s="345" t="s">
        <v>188</v>
      </c>
      <c r="C88" s="345" t="s">
        <v>3</v>
      </c>
      <c r="D88" s="388">
        <f>D86+D87</f>
        <v>0</v>
      </c>
      <c r="E88" s="4">
        <f t="shared" ref="E88:G88" si="70">E86+E87</f>
        <v>0</v>
      </c>
      <c r="F88" s="4">
        <f t="shared" si="70"/>
        <v>0</v>
      </c>
      <c r="G88" s="4">
        <f t="shared" si="70"/>
        <v>0</v>
      </c>
      <c r="H88" s="388">
        <f t="shared" ref="H88:J88" si="71">H86+H87</f>
        <v>0</v>
      </c>
      <c r="I88" s="388">
        <f t="shared" si="71"/>
        <v>1</v>
      </c>
      <c r="J88" s="388">
        <f t="shared" si="71"/>
        <v>0</v>
      </c>
      <c r="K88" s="388">
        <f t="shared" ref="K88:L88" si="72">K86+K87</f>
        <v>0</v>
      </c>
      <c r="L88" s="388">
        <f t="shared" si="72"/>
        <v>0</v>
      </c>
      <c r="M88" s="388">
        <f t="shared" ref="M88" si="73">M86+M87</f>
        <v>0</v>
      </c>
      <c r="N88" s="388">
        <v>0</v>
      </c>
      <c r="O88" s="388">
        <v>0</v>
      </c>
      <c r="P88" s="387">
        <f t="shared" si="69"/>
        <v>1</v>
      </c>
    </row>
    <row r="89" spans="1:16" ht="15.6" x14ac:dyDescent="0.3">
      <c r="A89" s="526"/>
      <c r="B89" s="395" t="s">
        <v>81</v>
      </c>
      <c r="C89" s="356" t="s">
        <v>3</v>
      </c>
      <c r="D89" s="391">
        <f>D84+D85-D88</f>
        <v>0</v>
      </c>
      <c r="E89" s="26">
        <f t="shared" ref="E89:G89" si="74">E84+E85-E88</f>
        <v>0</v>
      </c>
      <c r="F89" s="26">
        <f t="shared" si="74"/>
        <v>0</v>
      </c>
      <c r="G89" s="26">
        <f t="shared" si="74"/>
        <v>0</v>
      </c>
      <c r="H89" s="391">
        <f t="shared" ref="H89" si="75">H84+H85-H88</f>
        <v>0</v>
      </c>
      <c r="I89" s="391">
        <f t="shared" ref="I89:J89" si="76">I84+I85-I88</f>
        <v>0</v>
      </c>
      <c r="J89" s="391">
        <f t="shared" si="76"/>
        <v>0</v>
      </c>
      <c r="K89" s="391">
        <f t="shared" ref="K89:L89" si="77">K84+K85-K88</f>
        <v>0</v>
      </c>
      <c r="L89" s="391">
        <f t="shared" si="77"/>
        <v>0</v>
      </c>
      <c r="M89" s="391">
        <f t="shared" ref="M89" si="78">M84+M85-M88</f>
        <v>0</v>
      </c>
      <c r="N89" s="391">
        <f t="shared" ref="N89:P89" si="79">N84+N85-N86-N87</f>
        <v>0</v>
      </c>
      <c r="O89" s="391">
        <v>0</v>
      </c>
      <c r="P89" s="394">
        <f t="shared" si="79"/>
        <v>0</v>
      </c>
    </row>
    <row r="90" spans="1:16" ht="15.6" x14ac:dyDescent="0.3">
      <c r="A90" s="527" t="s">
        <v>105</v>
      </c>
      <c r="B90" s="345" t="s">
        <v>85</v>
      </c>
      <c r="C90" s="345" t="s">
        <v>3</v>
      </c>
      <c r="D90" s="396">
        <f t="shared" ref="D90:I94" si="80">D66+D72+D78+D84</f>
        <v>45</v>
      </c>
      <c r="E90" s="396">
        <f t="shared" si="80"/>
        <v>46</v>
      </c>
      <c r="F90" s="396">
        <f t="shared" si="80"/>
        <v>53</v>
      </c>
      <c r="G90" s="397">
        <f t="shared" si="80"/>
        <v>51</v>
      </c>
      <c r="H90" s="397">
        <f t="shared" si="80"/>
        <v>44</v>
      </c>
      <c r="I90" s="397">
        <f t="shared" si="80"/>
        <v>31</v>
      </c>
      <c r="J90" s="397">
        <f t="shared" ref="J90:K90" si="81">J66+J72+J78+J84</f>
        <v>25</v>
      </c>
      <c r="K90" s="396">
        <f t="shared" si="81"/>
        <v>22</v>
      </c>
      <c r="L90" s="396">
        <f t="shared" ref="L90:M90" si="82">L66+L72+L78+L84</f>
        <v>23</v>
      </c>
      <c r="M90" s="396">
        <f t="shared" si="82"/>
        <v>26</v>
      </c>
      <c r="N90" s="396">
        <f t="shared" ref="N90" si="83">N66+N72+N78+N84</f>
        <v>23</v>
      </c>
      <c r="O90" s="396">
        <v>22</v>
      </c>
      <c r="P90" s="387">
        <f>D90</f>
        <v>45</v>
      </c>
    </row>
    <row r="91" spans="1:16" ht="15.6" x14ac:dyDescent="0.3">
      <c r="A91" s="528"/>
      <c r="B91" s="345" t="s">
        <v>104</v>
      </c>
      <c r="C91" s="345" t="s">
        <v>3</v>
      </c>
      <c r="D91" s="396">
        <f t="shared" ref="D91:D93" si="84">D67+D73+D79+D85</f>
        <v>1</v>
      </c>
      <c r="E91" s="554">
        <f t="shared" si="80"/>
        <v>7</v>
      </c>
      <c r="F91" s="554">
        <f t="shared" si="80"/>
        <v>1</v>
      </c>
      <c r="G91" s="554">
        <f t="shared" si="80"/>
        <v>1</v>
      </c>
      <c r="H91" s="397">
        <f t="shared" ref="H91:I91" si="85">H67+H73+H79+H85</f>
        <v>5</v>
      </c>
      <c r="I91" s="397">
        <f t="shared" si="85"/>
        <v>8</v>
      </c>
      <c r="J91" s="397">
        <f t="shared" ref="J91:K91" si="86">J67+J73+J79+J85</f>
        <v>5</v>
      </c>
      <c r="K91" s="396">
        <f t="shared" si="86"/>
        <v>7</v>
      </c>
      <c r="L91" s="396">
        <f t="shared" ref="L91:M91" si="87">L67+L73+L79+L85</f>
        <v>7</v>
      </c>
      <c r="M91" s="396">
        <f t="shared" si="87"/>
        <v>4</v>
      </c>
      <c r="N91" s="396">
        <f t="shared" ref="N91" si="88">N67+N73+N79+N85</f>
        <v>0</v>
      </c>
      <c r="O91" s="396">
        <v>2</v>
      </c>
      <c r="P91" s="387">
        <f>SUM(D91:O91)</f>
        <v>48</v>
      </c>
    </row>
    <row r="92" spans="1:16" ht="15.6" x14ac:dyDescent="0.3">
      <c r="A92" s="528"/>
      <c r="B92" s="345" t="s">
        <v>103</v>
      </c>
      <c r="C92" s="345" t="s">
        <v>3</v>
      </c>
      <c r="D92" s="396">
        <f t="shared" si="84"/>
        <v>0</v>
      </c>
      <c r="E92" s="554">
        <f t="shared" si="80"/>
        <v>0</v>
      </c>
      <c r="F92" s="554">
        <f t="shared" si="80"/>
        <v>3</v>
      </c>
      <c r="G92" s="554">
        <f t="shared" si="80"/>
        <v>8</v>
      </c>
      <c r="H92" s="397">
        <f t="shared" ref="H92:I92" si="89">H68+H74+H80+H86</f>
        <v>18</v>
      </c>
      <c r="I92" s="397">
        <f t="shared" si="89"/>
        <v>14</v>
      </c>
      <c r="J92" s="397">
        <f t="shared" ref="J92:K92" si="90">J68+J74+J80+J86</f>
        <v>8</v>
      </c>
      <c r="K92" s="396">
        <f t="shared" si="90"/>
        <v>6</v>
      </c>
      <c r="L92" s="396">
        <f t="shared" ref="L92:N92" si="91">L68+L74+L80+L86</f>
        <v>4</v>
      </c>
      <c r="M92" s="396">
        <f t="shared" si="91"/>
        <v>7</v>
      </c>
      <c r="N92" s="396">
        <f t="shared" si="91"/>
        <v>1</v>
      </c>
      <c r="O92" s="396">
        <v>6</v>
      </c>
      <c r="P92" s="387">
        <f>SUM(D92:O92)</f>
        <v>75</v>
      </c>
    </row>
    <row r="93" spans="1:16" s="351" customFormat="1" ht="15.6" x14ac:dyDescent="0.3">
      <c r="A93" s="528"/>
      <c r="B93" s="345" t="s">
        <v>102</v>
      </c>
      <c r="C93" s="345"/>
      <c r="D93" s="396">
        <f t="shared" si="84"/>
        <v>0</v>
      </c>
      <c r="E93" s="554">
        <f t="shared" si="80"/>
        <v>0</v>
      </c>
      <c r="F93" s="554">
        <f t="shared" si="80"/>
        <v>0</v>
      </c>
      <c r="G93" s="554">
        <f t="shared" si="80"/>
        <v>0</v>
      </c>
      <c r="H93" s="397">
        <f t="shared" ref="H93:I93" si="92">H69+H75+H81+H87</f>
        <v>0</v>
      </c>
      <c r="I93" s="397">
        <f t="shared" si="92"/>
        <v>0</v>
      </c>
      <c r="J93" s="397">
        <f t="shared" ref="J93:K93" si="93">J69+J75+J81+J87</f>
        <v>0</v>
      </c>
      <c r="K93" s="396">
        <f t="shared" si="93"/>
        <v>0</v>
      </c>
      <c r="L93" s="396">
        <f t="shared" ref="L93:N93" si="94">L69+L75+L81+L87</f>
        <v>0</v>
      </c>
      <c r="M93" s="396">
        <f t="shared" si="94"/>
        <v>0</v>
      </c>
      <c r="N93" s="396">
        <f t="shared" si="94"/>
        <v>0</v>
      </c>
      <c r="O93" s="396">
        <v>0</v>
      </c>
      <c r="P93" s="387">
        <f>SUM(D93:O93)</f>
        <v>0</v>
      </c>
    </row>
    <row r="94" spans="1:16" s="351" customFormat="1" ht="15.6" x14ac:dyDescent="0.3">
      <c r="A94" s="528"/>
      <c r="B94" s="345" t="s">
        <v>188</v>
      </c>
      <c r="C94" s="345" t="s">
        <v>3</v>
      </c>
      <c r="D94" s="398">
        <f>D93+D92</f>
        <v>0</v>
      </c>
      <c r="E94" s="554">
        <f t="shared" si="80"/>
        <v>0</v>
      </c>
      <c r="F94" s="554">
        <f t="shared" si="80"/>
        <v>3</v>
      </c>
      <c r="G94" s="554">
        <f t="shared" si="80"/>
        <v>8</v>
      </c>
      <c r="H94" s="399">
        <f t="shared" ref="H94:P94" si="95">H93+H92</f>
        <v>18</v>
      </c>
      <c r="I94" s="399">
        <f t="shared" ref="I94:J94" si="96">I93+I92</f>
        <v>14</v>
      </c>
      <c r="J94" s="399">
        <f t="shared" si="96"/>
        <v>8</v>
      </c>
      <c r="K94" s="398">
        <f t="shared" ref="K94:L94" si="97">K93+K92</f>
        <v>6</v>
      </c>
      <c r="L94" s="398">
        <f t="shared" si="97"/>
        <v>4</v>
      </c>
      <c r="M94" s="398">
        <f t="shared" ref="M94" si="98">M93+M92</f>
        <v>7</v>
      </c>
      <c r="N94" s="398">
        <f t="shared" si="95"/>
        <v>1</v>
      </c>
      <c r="O94" s="398">
        <v>6</v>
      </c>
      <c r="P94" s="400">
        <f t="shared" si="95"/>
        <v>75</v>
      </c>
    </row>
    <row r="95" spans="1:16" ht="16.2" thickBot="1" x14ac:dyDescent="0.35">
      <c r="A95" s="529"/>
      <c r="B95" s="345" t="s">
        <v>81</v>
      </c>
      <c r="C95" s="345" t="s">
        <v>3</v>
      </c>
      <c r="D95" s="401">
        <f>D90+D91-D94</f>
        <v>46</v>
      </c>
      <c r="E95" s="401">
        <f t="shared" ref="E95:P95" si="99">E90+E91-E94</f>
        <v>53</v>
      </c>
      <c r="F95" s="401">
        <f t="shared" si="99"/>
        <v>51</v>
      </c>
      <c r="G95" s="402">
        <f t="shared" si="99"/>
        <v>44</v>
      </c>
      <c r="H95" s="402">
        <f t="shared" si="99"/>
        <v>31</v>
      </c>
      <c r="I95" s="402">
        <f t="shared" ref="I95:J95" si="100">I90+I91-I94</f>
        <v>25</v>
      </c>
      <c r="J95" s="402">
        <f t="shared" si="100"/>
        <v>22</v>
      </c>
      <c r="K95" s="401">
        <f t="shared" ref="K95:L95" si="101">K90+K91-K94</f>
        <v>23</v>
      </c>
      <c r="L95" s="401">
        <f t="shared" si="101"/>
        <v>26</v>
      </c>
      <c r="M95" s="401">
        <f t="shared" ref="M95" si="102">M90+M91-M94</f>
        <v>23</v>
      </c>
      <c r="N95" s="401">
        <f t="shared" si="99"/>
        <v>22</v>
      </c>
      <c r="O95" s="401">
        <v>18</v>
      </c>
      <c r="P95" s="403">
        <f t="shared" si="99"/>
        <v>18</v>
      </c>
    </row>
    <row r="96" spans="1:16" ht="16.2" thickBot="1" x14ac:dyDescent="0.35">
      <c r="A96" s="404"/>
      <c r="B96" s="405"/>
      <c r="C96" s="405"/>
      <c r="D96" s="399"/>
      <c r="E96" s="399"/>
      <c r="F96" s="399"/>
      <c r="G96" s="399"/>
      <c r="H96" s="399"/>
      <c r="I96" s="399"/>
      <c r="J96" s="406"/>
      <c r="K96" s="406"/>
      <c r="L96" s="406"/>
      <c r="M96" s="406"/>
      <c r="N96" s="406"/>
      <c r="O96" s="406"/>
      <c r="P96" s="407"/>
    </row>
    <row r="97" spans="1:21" s="351" customFormat="1" ht="15.75" customHeight="1" thickBot="1" x14ac:dyDescent="0.35">
      <c r="A97" s="489" t="s">
        <v>189</v>
      </c>
      <c r="B97" s="490"/>
      <c r="C97" s="490"/>
      <c r="D97" s="490"/>
      <c r="E97" s="490"/>
      <c r="F97" s="490"/>
      <c r="G97" s="490"/>
      <c r="H97" s="490"/>
      <c r="I97" s="490"/>
      <c r="J97" s="490"/>
      <c r="K97" s="490"/>
      <c r="L97" s="490"/>
      <c r="M97" s="490"/>
      <c r="N97" s="490"/>
      <c r="O97" s="490"/>
      <c r="P97" s="491"/>
    </row>
    <row r="98" spans="1:21" ht="15.6" x14ac:dyDescent="0.3">
      <c r="A98" s="408" t="s">
        <v>190</v>
      </c>
      <c r="B98" s="409"/>
      <c r="C98" s="345" t="s">
        <v>3</v>
      </c>
      <c r="D98" s="410">
        <v>0</v>
      </c>
      <c r="E98" s="411">
        <v>0</v>
      </c>
      <c r="F98" s="411">
        <v>0</v>
      </c>
      <c r="G98" s="411"/>
      <c r="H98" s="411"/>
      <c r="I98" s="411"/>
      <c r="J98" s="412"/>
      <c r="K98" s="412"/>
      <c r="L98" s="412"/>
      <c r="M98" s="412"/>
      <c r="N98" s="412"/>
      <c r="O98" s="412"/>
      <c r="P98" s="413">
        <f>SUM(D98:O98)</f>
        <v>0</v>
      </c>
    </row>
    <row r="99" spans="1:21" ht="15.6" x14ac:dyDescent="0.3">
      <c r="A99" s="408"/>
      <c r="B99" s="345"/>
      <c r="C99" s="345"/>
      <c r="D99" s="399"/>
      <c r="E99" s="399"/>
      <c r="F99" s="399"/>
      <c r="G99" s="399"/>
      <c r="H99" s="399"/>
      <c r="I99" s="399"/>
      <c r="J99" s="406"/>
      <c r="K99" s="406"/>
      <c r="L99" s="406"/>
      <c r="M99" s="406"/>
      <c r="N99" s="406"/>
      <c r="O99" s="406"/>
      <c r="P99" s="407"/>
    </row>
    <row r="100" spans="1:21" s="351" customFormat="1" x14ac:dyDescent="0.3">
      <c r="A100" s="513" t="s">
        <v>101</v>
      </c>
      <c r="B100" s="514"/>
      <c r="C100" s="514"/>
      <c r="D100" s="514"/>
      <c r="E100" s="514"/>
      <c r="F100" s="514"/>
      <c r="G100" s="514"/>
      <c r="H100" s="514"/>
      <c r="I100" s="514"/>
      <c r="J100" s="514"/>
      <c r="K100" s="514"/>
      <c r="L100" s="514"/>
      <c r="M100" s="514"/>
      <c r="N100" s="514"/>
      <c r="O100" s="514"/>
      <c r="P100" s="515"/>
    </row>
    <row r="101" spans="1:21" ht="15.6" x14ac:dyDescent="0.3">
      <c r="A101" s="475" t="s">
        <v>100</v>
      </c>
      <c r="B101" s="476"/>
      <c r="C101" s="345" t="s">
        <v>3</v>
      </c>
      <c r="D101" s="552">
        <f>194-36+10</f>
        <v>168</v>
      </c>
      <c r="E101" s="4">
        <v>190</v>
      </c>
      <c r="F101" s="4">
        <v>192</v>
      </c>
      <c r="G101" s="4">
        <v>207</v>
      </c>
      <c r="H101" s="4">
        <v>223</v>
      </c>
      <c r="I101" s="4">
        <v>219</v>
      </c>
      <c r="J101" s="4">
        <v>216</v>
      </c>
      <c r="K101" s="4">
        <v>220</v>
      </c>
      <c r="L101" s="379">
        <v>225</v>
      </c>
      <c r="M101" s="379">
        <v>254</v>
      </c>
      <c r="N101" s="379">
        <v>252</v>
      </c>
      <c r="O101" s="379">
        <v>246</v>
      </c>
      <c r="P101" s="414">
        <f t="shared" ref="P101:P116" si="103">O101</f>
        <v>246</v>
      </c>
    </row>
    <row r="102" spans="1:21" ht="15.6" x14ac:dyDescent="0.3">
      <c r="A102" s="475" t="s">
        <v>99</v>
      </c>
      <c r="B102" s="476"/>
      <c r="C102" s="345" t="s">
        <v>3</v>
      </c>
      <c r="D102" s="552">
        <v>9</v>
      </c>
      <c r="E102" s="4">
        <v>9</v>
      </c>
      <c r="F102" s="4">
        <v>9</v>
      </c>
      <c r="G102" s="4">
        <v>11</v>
      </c>
      <c r="H102" s="4">
        <v>12</v>
      </c>
      <c r="I102" s="4">
        <v>13</v>
      </c>
      <c r="J102" s="4">
        <v>13</v>
      </c>
      <c r="K102" s="4">
        <v>17</v>
      </c>
      <c r="L102" s="379">
        <v>17</v>
      </c>
      <c r="M102" s="379">
        <v>17</v>
      </c>
      <c r="N102" s="379">
        <v>17</v>
      </c>
      <c r="O102" s="379">
        <v>17</v>
      </c>
      <c r="P102" s="414">
        <f t="shared" si="103"/>
        <v>17</v>
      </c>
    </row>
    <row r="103" spans="1:21" ht="15.6" customHeight="1" x14ac:dyDescent="0.3">
      <c r="A103" s="482" t="s">
        <v>98</v>
      </c>
      <c r="B103" s="483"/>
      <c r="C103" s="345" t="s">
        <v>3</v>
      </c>
      <c r="D103" s="552">
        <v>7</v>
      </c>
      <c r="E103" s="4">
        <v>7</v>
      </c>
      <c r="F103" s="4">
        <v>8</v>
      </c>
      <c r="G103" s="4">
        <v>8</v>
      </c>
      <c r="H103" s="4">
        <v>8</v>
      </c>
      <c r="I103" s="4">
        <v>8</v>
      </c>
      <c r="J103" s="4">
        <v>8</v>
      </c>
      <c r="K103" s="4">
        <v>12</v>
      </c>
      <c r="L103" s="379">
        <v>12</v>
      </c>
      <c r="M103" s="379">
        <v>12</v>
      </c>
      <c r="N103" s="379">
        <v>12</v>
      </c>
      <c r="O103" s="379">
        <v>12</v>
      </c>
      <c r="P103" s="414">
        <f t="shared" si="103"/>
        <v>12</v>
      </c>
    </row>
    <row r="104" spans="1:21" ht="15.6" x14ac:dyDescent="0.3">
      <c r="A104" s="482" t="s">
        <v>97</v>
      </c>
      <c r="B104" s="483"/>
      <c r="C104" s="345" t="s">
        <v>3</v>
      </c>
      <c r="D104" s="552">
        <v>3</v>
      </c>
      <c r="E104" s="4">
        <v>4</v>
      </c>
      <c r="F104" s="4">
        <v>4</v>
      </c>
      <c r="G104" s="4">
        <v>4</v>
      </c>
      <c r="H104" s="4">
        <v>4</v>
      </c>
      <c r="I104" s="4">
        <v>4</v>
      </c>
      <c r="J104" s="4">
        <v>4</v>
      </c>
      <c r="K104" s="4">
        <v>4</v>
      </c>
      <c r="L104" s="379">
        <v>4</v>
      </c>
      <c r="M104" s="379">
        <v>5</v>
      </c>
      <c r="N104" s="379">
        <v>5</v>
      </c>
      <c r="O104" s="379">
        <v>5</v>
      </c>
      <c r="P104" s="414">
        <f t="shared" si="103"/>
        <v>5</v>
      </c>
    </row>
    <row r="105" spans="1:21" ht="15.6" x14ac:dyDescent="0.3">
      <c r="A105" s="530" t="s">
        <v>96</v>
      </c>
      <c r="B105" s="531"/>
      <c r="C105" s="345" t="s">
        <v>3</v>
      </c>
      <c r="D105" s="415">
        <f>SUM(D101:D104)</f>
        <v>187</v>
      </c>
      <c r="E105" s="415">
        <f t="shared" ref="E105:N105" si="104">SUM(E101:E104)</f>
        <v>210</v>
      </c>
      <c r="F105" s="415">
        <f t="shared" si="104"/>
        <v>213</v>
      </c>
      <c r="G105" s="415">
        <f t="shared" si="104"/>
        <v>230</v>
      </c>
      <c r="H105" s="415">
        <f t="shared" si="104"/>
        <v>247</v>
      </c>
      <c r="I105" s="415">
        <f t="shared" si="104"/>
        <v>244</v>
      </c>
      <c r="J105" s="415">
        <f t="shared" si="104"/>
        <v>241</v>
      </c>
      <c r="K105" s="415">
        <f t="shared" si="104"/>
        <v>253</v>
      </c>
      <c r="L105" s="415">
        <f t="shared" si="104"/>
        <v>258</v>
      </c>
      <c r="M105" s="415">
        <f t="shared" si="104"/>
        <v>288</v>
      </c>
      <c r="N105" s="415">
        <f t="shared" si="104"/>
        <v>286</v>
      </c>
      <c r="O105" s="415">
        <v>280</v>
      </c>
      <c r="P105" s="414">
        <f t="shared" si="103"/>
        <v>280</v>
      </c>
    </row>
    <row r="106" spans="1:21" s="351" customFormat="1" ht="15.6" customHeight="1" x14ac:dyDescent="0.3">
      <c r="A106" s="510" t="s">
        <v>210</v>
      </c>
      <c r="B106" s="511"/>
      <c r="C106" s="511"/>
      <c r="D106" s="511"/>
      <c r="E106" s="511"/>
      <c r="F106" s="511"/>
      <c r="G106" s="511"/>
      <c r="H106" s="511"/>
      <c r="I106" s="511"/>
      <c r="J106" s="511"/>
      <c r="K106" s="511"/>
      <c r="L106" s="511"/>
      <c r="M106" s="511"/>
      <c r="N106" s="511"/>
      <c r="O106" s="511"/>
      <c r="P106" s="512"/>
    </row>
    <row r="107" spans="1:21" ht="15.6" x14ac:dyDescent="0.3">
      <c r="A107" s="475" t="s">
        <v>193</v>
      </c>
      <c r="B107" s="476"/>
      <c r="C107" s="345" t="s">
        <v>3</v>
      </c>
      <c r="D107" s="551">
        <f>5+67+457</f>
        <v>529</v>
      </c>
      <c r="E107" s="4">
        <v>506</v>
      </c>
      <c r="F107" s="4">
        <v>506</v>
      </c>
      <c r="G107" s="4">
        <v>497</v>
      </c>
      <c r="H107" s="4">
        <v>498</v>
      </c>
      <c r="I107" s="4">
        <v>514</v>
      </c>
      <c r="J107" s="4">
        <v>525</v>
      </c>
      <c r="K107" s="4">
        <v>519</v>
      </c>
      <c r="L107" s="379">
        <v>518</v>
      </c>
      <c r="M107" s="379">
        <v>495</v>
      </c>
      <c r="N107" s="379">
        <v>498</v>
      </c>
      <c r="O107" s="379">
        <v>510</v>
      </c>
      <c r="P107" s="414">
        <f t="shared" si="103"/>
        <v>510</v>
      </c>
    </row>
    <row r="108" spans="1:21" ht="15.6" x14ac:dyDescent="0.3">
      <c r="A108" s="475" t="s">
        <v>194</v>
      </c>
      <c r="B108" s="476"/>
      <c r="C108" s="345" t="s">
        <v>3</v>
      </c>
      <c r="D108" s="551">
        <v>5</v>
      </c>
      <c r="E108" s="4">
        <v>5</v>
      </c>
      <c r="F108" s="4">
        <v>5</v>
      </c>
      <c r="G108" s="4">
        <v>5</v>
      </c>
      <c r="H108" s="4">
        <v>5</v>
      </c>
      <c r="I108" s="4">
        <v>5</v>
      </c>
      <c r="J108" s="4">
        <v>5</v>
      </c>
      <c r="K108" s="4">
        <v>5</v>
      </c>
      <c r="L108" s="379">
        <v>5</v>
      </c>
      <c r="M108" s="379">
        <v>5</v>
      </c>
      <c r="N108" s="379">
        <v>5</v>
      </c>
      <c r="O108" s="379">
        <v>5</v>
      </c>
      <c r="P108" s="414">
        <f t="shared" si="103"/>
        <v>5</v>
      </c>
    </row>
    <row r="109" spans="1:21" ht="15.6" x14ac:dyDescent="0.3">
      <c r="A109" s="475" t="s">
        <v>195</v>
      </c>
      <c r="B109" s="476"/>
      <c r="C109" s="345" t="s">
        <v>3</v>
      </c>
      <c r="D109" s="551">
        <v>2</v>
      </c>
      <c r="E109" s="4">
        <v>2</v>
      </c>
      <c r="F109" s="4">
        <v>2</v>
      </c>
      <c r="G109" s="4">
        <v>2</v>
      </c>
      <c r="H109" s="4">
        <v>2</v>
      </c>
      <c r="I109" s="4">
        <v>2</v>
      </c>
      <c r="J109" s="4">
        <v>2</v>
      </c>
      <c r="K109" s="4">
        <v>2</v>
      </c>
      <c r="L109" s="379">
        <v>2</v>
      </c>
      <c r="M109" s="379">
        <v>2</v>
      </c>
      <c r="N109" s="379">
        <v>2</v>
      </c>
      <c r="O109" s="379">
        <v>2</v>
      </c>
      <c r="P109" s="414">
        <f t="shared" si="103"/>
        <v>2</v>
      </c>
    </row>
    <row r="110" spans="1:21" ht="15.6" x14ac:dyDescent="0.3">
      <c r="A110" s="475" t="s">
        <v>196</v>
      </c>
      <c r="B110" s="476"/>
      <c r="C110" s="345" t="s">
        <v>3</v>
      </c>
      <c r="D110" s="551">
        <v>17</v>
      </c>
      <c r="E110" s="4">
        <v>17</v>
      </c>
      <c r="F110" s="4">
        <v>17</v>
      </c>
      <c r="G110" s="4">
        <v>17</v>
      </c>
      <c r="H110" s="4">
        <v>17</v>
      </c>
      <c r="I110" s="4">
        <v>18</v>
      </c>
      <c r="J110" s="4">
        <v>18</v>
      </c>
      <c r="K110" s="4">
        <v>18</v>
      </c>
      <c r="L110" s="379">
        <v>18</v>
      </c>
      <c r="M110" s="379">
        <v>18</v>
      </c>
      <c r="N110" s="379">
        <v>18</v>
      </c>
      <c r="O110" s="379">
        <v>18</v>
      </c>
      <c r="P110" s="414">
        <f t="shared" si="103"/>
        <v>18</v>
      </c>
    </row>
    <row r="111" spans="1:21" ht="15.6" x14ac:dyDescent="0.3">
      <c r="A111" s="492" t="s">
        <v>95</v>
      </c>
      <c r="B111" s="493"/>
      <c r="C111" s="345" t="s">
        <v>3</v>
      </c>
      <c r="D111" s="415">
        <f>SUM(D107:D110)</f>
        <v>553</v>
      </c>
      <c r="E111" s="415">
        <f t="shared" ref="E111:N111" si="105">SUM(E107:E110)</f>
        <v>530</v>
      </c>
      <c r="F111" s="415">
        <f t="shared" si="105"/>
        <v>530</v>
      </c>
      <c r="G111" s="415">
        <f t="shared" si="105"/>
        <v>521</v>
      </c>
      <c r="H111" s="415">
        <f t="shared" si="105"/>
        <v>522</v>
      </c>
      <c r="I111" s="415">
        <f t="shared" si="105"/>
        <v>539</v>
      </c>
      <c r="J111" s="415">
        <f t="shared" si="105"/>
        <v>550</v>
      </c>
      <c r="K111" s="415">
        <f t="shared" si="105"/>
        <v>544</v>
      </c>
      <c r="L111" s="415">
        <f t="shared" si="105"/>
        <v>543</v>
      </c>
      <c r="M111" s="415">
        <f t="shared" si="105"/>
        <v>520</v>
      </c>
      <c r="N111" s="415">
        <f t="shared" si="105"/>
        <v>523</v>
      </c>
      <c r="O111" s="415">
        <v>535</v>
      </c>
      <c r="P111" s="414">
        <f t="shared" si="103"/>
        <v>535</v>
      </c>
      <c r="Q111" s="416"/>
      <c r="R111" s="416"/>
      <c r="S111" s="416"/>
      <c r="T111" s="416"/>
      <c r="U111" s="416"/>
    </row>
    <row r="112" spans="1:21" s="351" customFormat="1" ht="15.6" customHeight="1" x14ac:dyDescent="0.3">
      <c r="A112" s="513" t="s">
        <v>216</v>
      </c>
      <c r="B112" s="514"/>
      <c r="C112" s="514"/>
      <c r="D112" s="514"/>
      <c r="E112" s="514"/>
      <c r="F112" s="514"/>
      <c r="G112" s="514"/>
      <c r="H112" s="514"/>
      <c r="I112" s="514"/>
      <c r="J112" s="514"/>
      <c r="K112" s="514"/>
      <c r="L112" s="514"/>
      <c r="M112" s="514"/>
      <c r="N112" s="514"/>
      <c r="O112" s="514"/>
      <c r="P112" s="515"/>
    </row>
    <row r="113" spans="1:18" ht="15.6" x14ac:dyDescent="0.3">
      <c r="A113" s="475" t="s">
        <v>197</v>
      </c>
      <c r="B113" s="476"/>
      <c r="C113" s="345" t="s">
        <v>3</v>
      </c>
      <c r="D113" s="33">
        <v>181</v>
      </c>
      <c r="E113" s="417">
        <v>181</v>
      </c>
      <c r="F113" s="417">
        <v>181</v>
      </c>
      <c r="G113" s="417">
        <v>181</v>
      </c>
      <c r="H113" s="4">
        <v>181</v>
      </c>
      <c r="I113" s="4">
        <v>181</v>
      </c>
      <c r="J113" s="4">
        <v>181</v>
      </c>
      <c r="K113" s="4">
        <v>181</v>
      </c>
      <c r="L113" s="417">
        <v>181</v>
      </c>
      <c r="M113" s="417">
        <v>181</v>
      </c>
      <c r="N113" s="417">
        <v>181</v>
      </c>
      <c r="O113" s="417">
        <v>181</v>
      </c>
      <c r="P113" s="414">
        <f t="shared" si="103"/>
        <v>181</v>
      </c>
    </row>
    <row r="114" spans="1:18" ht="15.6" x14ac:dyDescent="0.3">
      <c r="A114" s="475" t="s">
        <v>198</v>
      </c>
      <c r="B114" s="476"/>
      <c r="C114" s="345" t="s">
        <v>3</v>
      </c>
      <c r="D114" s="33">
        <v>32</v>
      </c>
      <c r="E114" s="417">
        <v>32</v>
      </c>
      <c r="F114" s="417">
        <v>32</v>
      </c>
      <c r="G114" s="417">
        <v>32</v>
      </c>
      <c r="H114" s="4">
        <v>32</v>
      </c>
      <c r="I114" s="4">
        <v>32</v>
      </c>
      <c r="J114" s="4">
        <v>32</v>
      </c>
      <c r="K114" s="4">
        <v>32</v>
      </c>
      <c r="L114" s="417">
        <v>32</v>
      </c>
      <c r="M114" s="417">
        <v>32</v>
      </c>
      <c r="N114" s="417">
        <v>32</v>
      </c>
      <c r="O114" s="417">
        <v>32</v>
      </c>
      <c r="P114" s="414">
        <f t="shared" si="103"/>
        <v>32</v>
      </c>
    </row>
    <row r="115" spans="1:18" ht="15.6" x14ac:dyDescent="0.3">
      <c r="A115" s="475" t="s">
        <v>199</v>
      </c>
      <c r="B115" s="476"/>
      <c r="C115" s="345" t="s">
        <v>3</v>
      </c>
      <c r="D115" s="33">
        <v>25</v>
      </c>
      <c r="E115" s="417">
        <v>25</v>
      </c>
      <c r="F115" s="417">
        <v>25</v>
      </c>
      <c r="G115" s="417">
        <v>25</v>
      </c>
      <c r="H115" s="4">
        <v>25</v>
      </c>
      <c r="I115" s="4">
        <v>25</v>
      </c>
      <c r="J115" s="4">
        <v>25</v>
      </c>
      <c r="K115" s="4">
        <v>25</v>
      </c>
      <c r="L115" s="417">
        <v>25</v>
      </c>
      <c r="M115" s="417">
        <v>25</v>
      </c>
      <c r="N115" s="417">
        <v>25</v>
      </c>
      <c r="O115" s="417">
        <v>25</v>
      </c>
      <c r="P115" s="414">
        <f t="shared" si="103"/>
        <v>25</v>
      </c>
    </row>
    <row r="116" spans="1:18" ht="15.6" x14ac:dyDescent="0.3">
      <c r="A116" s="475" t="s">
        <v>200</v>
      </c>
      <c r="B116" s="476"/>
      <c r="C116" s="345" t="s">
        <v>3</v>
      </c>
      <c r="D116" s="33">
        <v>1</v>
      </c>
      <c r="E116" s="417">
        <v>1</v>
      </c>
      <c r="F116" s="417">
        <v>1</v>
      </c>
      <c r="G116" s="417">
        <v>1</v>
      </c>
      <c r="H116" s="4">
        <v>1</v>
      </c>
      <c r="I116" s="4">
        <v>1</v>
      </c>
      <c r="J116" s="4">
        <v>1</v>
      </c>
      <c r="K116" s="4">
        <v>1</v>
      </c>
      <c r="L116" s="417">
        <v>1</v>
      </c>
      <c r="M116" s="417">
        <v>1</v>
      </c>
      <c r="N116" s="417">
        <v>1</v>
      </c>
      <c r="O116" s="417">
        <v>1</v>
      </c>
      <c r="P116" s="414">
        <f t="shared" si="103"/>
        <v>1</v>
      </c>
    </row>
    <row r="117" spans="1:18" ht="15.6" x14ac:dyDescent="0.3">
      <c r="A117" s="492" t="s">
        <v>94</v>
      </c>
      <c r="B117" s="493"/>
      <c r="C117" s="345" t="s">
        <v>3</v>
      </c>
      <c r="D117" s="415">
        <f>SUM(D113:D116)</f>
        <v>239</v>
      </c>
      <c r="E117" s="415">
        <v>239</v>
      </c>
      <c r="F117" s="415">
        <v>239</v>
      </c>
      <c r="G117" s="415">
        <v>239</v>
      </c>
      <c r="H117" s="415">
        <f t="shared" ref="H117" si="106">SUM(H113:H116)</f>
        <v>239</v>
      </c>
      <c r="I117" s="415">
        <f t="shared" ref="I117:P117" si="107">SUM(I113:I116)</f>
        <v>239</v>
      </c>
      <c r="J117" s="415">
        <f t="shared" si="107"/>
        <v>239</v>
      </c>
      <c r="K117" s="415">
        <f t="shared" ref="K117" si="108">SUM(K113:K116)</f>
        <v>239</v>
      </c>
      <c r="L117" s="415">
        <f t="shared" si="107"/>
        <v>239</v>
      </c>
      <c r="M117" s="415">
        <f t="shared" ref="M117:N117" si="109">SUM(M113:M116)</f>
        <v>239</v>
      </c>
      <c r="N117" s="415">
        <f t="shared" si="109"/>
        <v>239</v>
      </c>
      <c r="O117" s="415">
        <v>239</v>
      </c>
      <c r="P117" s="347">
        <f t="shared" si="107"/>
        <v>239</v>
      </c>
    </row>
    <row r="118" spans="1:18" s="351" customFormat="1" ht="15.6" x14ac:dyDescent="0.3">
      <c r="A118" s="418" t="s">
        <v>191</v>
      </c>
      <c r="B118" s="419"/>
      <c r="C118" s="345" t="s">
        <v>3</v>
      </c>
      <c r="D118" s="415">
        <f t="shared" ref="D118:I118" si="110">D111+D117</f>
        <v>792</v>
      </c>
      <c r="E118" s="415">
        <v>769</v>
      </c>
      <c r="F118" s="415">
        <v>769</v>
      </c>
      <c r="G118" s="415">
        <v>760</v>
      </c>
      <c r="H118" s="415">
        <f t="shared" si="110"/>
        <v>761</v>
      </c>
      <c r="I118" s="415">
        <f t="shared" si="110"/>
        <v>778</v>
      </c>
      <c r="J118" s="415">
        <f t="shared" ref="J118:K118" si="111">J111+J117</f>
        <v>789</v>
      </c>
      <c r="K118" s="415">
        <f t="shared" si="111"/>
        <v>783</v>
      </c>
      <c r="L118" s="415">
        <f t="shared" ref="L118:M118" si="112">L111+L117</f>
        <v>782</v>
      </c>
      <c r="M118" s="415">
        <f t="shared" si="112"/>
        <v>759</v>
      </c>
      <c r="N118" s="415">
        <f t="shared" ref="N118:P118" si="113">N111+N117</f>
        <v>762</v>
      </c>
      <c r="O118" s="415">
        <v>774</v>
      </c>
      <c r="P118" s="415">
        <f t="shared" si="113"/>
        <v>774</v>
      </c>
      <c r="R118" s="420"/>
    </row>
    <row r="119" spans="1:18" ht="15.6" x14ac:dyDescent="0.3">
      <c r="A119" s="492" t="s">
        <v>192</v>
      </c>
      <c r="B119" s="493"/>
      <c r="C119" s="345" t="s">
        <v>3</v>
      </c>
      <c r="D119" s="415">
        <f t="shared" ref="D119:I119" si="114">D105+D118</f>
        <v>979</v>
      </c>
      <c r="E119" s="415">
        <v>979</v>
      </c>
      <c r="F119" s="415">
        <v>982</v>
      </c>
      <c r="G119" s="415">
        <v>990</v>
      </c>
      <c r="H119" s="415">
        <f t="shared" si="114"/>
        <v>1008</v>
      </c>
      <c r="I119" s="415">
        <f t="shared" si="114"/>
        <v>1022</v>
      </c>
      <c r="J119" s="415">
        <f t="shared" ref="J119:K119" si="115">J105+J118</f>
        <v>1030</v>
      </c>
      <c r="K119" s="415">
        <f t="shared" si="115"/>
        <v>1036</v>
      </c>
      <c r="L119" s="415">
        <f t="shared" ref="L119:M119" si="116">L105+L118</f>
        <v>1040</v>
      </c>
      <c r="M119" s="415">
        <f t="shared" si="116"/>
        <v>1047</v>
      </c>
      <c r="N119" s="415">
        <f t="shared" ref="N119:P119" si="117">N105+N118</f>
        <v>1048</v>
      </c>
      <c r="O119" s="415">
        <v>1054</v>
      </c>
      <c r="P119" s="415">
        <f t="shared" si="117"/>
        <v>1054</v>
      </c>
    </row>
    <row r="120" spans="1:18" x14ac:dyDescent="0.3">
      <c r="A120" s="472" t="s">
        <v>201</v>
      </c>
      <c r="B120" s="473"/>
      <c r="C120" s="473"/>
      <c r="D120" s="473"/>
      <c r="E120" s="473"/>
      <c r="F120" s="473"/>
      <c r="G120" s="473"/>
      <c r="H120" s="473"/>
      <c r="I120" s="473"/>
      <c r="J120" s="473"/>
      <c r="K120" s="473"/>
      <c r="L120" s="473"/>
      <c r="M120" s="473"/>
      <c r="N120" s="473"/>
      <c r="O120" s="473"/>
      <c r="P120" s="474"/>
      <c r="R120" s="416"/>
    </row>
    <row r="121" spans="1:18" ht="15.6" x14ac:dyDescent="0.3">
      <c r="A121" s="475" t="s">
        <v>93</v>
      </c>
      <c r="B121" s="476"/>
      <c r="C121" s="356" t="s">
        <v>3</v>
      </c>
      <c r="D121" s="551">
        <v>11422</v>
      </c>
      <c r="E121" s="4">
        <f>D121*1.0017</f>
        <v>11441.4174</v>
      </c>
      <c r="F121" s="4">
        <f t="shared" ref="F121:H121" si="118">E121*1.0017</f>
        <v>11460.867809580001</v>
      </c>
      <c r="G121" s="4">
        <f t="shared" si="118"/>
        <v>11480.351284856288</v>
      </c>
      <c r="H121" s="4">
        <f t="shared" si="118"/>
        <v>11499.867882040544</v>
      </c>
      <c r="I121" s="421">
        <v>11519.417657440013</v>
      </c>
      <c r="J121" s="4">
        <f t="shared" ref="J121:L121" si="119">I121*1.0017</f>
        <v>11539.000667457662</v>
      </c>
      <c r="K121" s="4">
        <f t="shared" si="119"/>
        <v>11558.61696859234</v>
      </c>
      <c r="L121" s="4">
        <f t="shared" si="119"/>
        <v>11578.266617438947</v>
      </c>
      <c r="M121" s="4">
        <f t="shared" ref="M121" si="120">L121*1.0017</f>
        <v>11597.949670688593</v>
      </c>
      <c r="N121" s="421">
        <v>11617.666185128764</v>
      </c>
      <c r="O121" s="421">
        <v>11637.416217643484</v>
      </c>
      <c r="P121" s="422">
        <f>O121</f>
        <v>11637.416217643484</v>
      </c>
    </row>
    <row r="122" spans="1:18" ht="15.6" x14ac:dyDescent="0.3">
      <c r="A122" s="475" t="s">
        <v>92</v>
      </c>
      <c r="B122" s="476"/>
      <c r="C122" s="356" t="s">
        <v>3</v>
      </c>
      <c r="D122" s="551">
        <v>7098</v>
      </c>
      <c r="E122" s="4">
        <f>D122+(2*E96)</f>
        <v>7098</v>
      </c>
      <c r="F122" s="4">
        <f t="shared" ref="F122:H122" si="121">E122+(2*F96)</f>
        <v>7098</v>
      </c>
      <c r="G122" s="4">
        <f t="shared" si="121"/>
        <v>7098</v>
      </c>
      <c r="H122" s="4">
        <f t="shared" si="121"/>
        <v>7098</v>
      </c>
      <c r="I122" s="421">
        <v>7184</v>
      </c>
      <c r="J122" s="4">
        <f t="shared" ref="J122:L122" si="122">I122+(2*J96)</f>
        <v>7184</v>
      </c>
      <c r="K122" s="4">
        <f t="shared" si="122"/>
        <v>7184</v>
      </c>
      <c r="L122" s="4">
        <f t="shared" si="122"/>
        <v>7184</v>
      </c>
      <c r="M122" s="4">
        <f t="shared" ref="M122" si="123">L122+(2*M96)</f>
        <v>7184</v>
      </c>
      <c r="N122" s="421">
        <v>7236</v>
      </c>
      <c r="O122" s="421">
        <v>7248</v>
      </c>
      <c r="P122" s="422">
        <f>O122</f>
        <v>7248</v>
      </c>
    </row>
    <row r="123" spans="1:18" ht="15.6" x14ac:dyDescent="0.3">
      <c r="A123" s="508" t="s">
        <v>91</v>
      </c>
      <c r="B123" s="509"/>
      <c r="C123" s="423" t="s">
        <v>6</v>
      </c>
      <c r="D123" s="424">
        <f t="shared" ref="D123:P123" si="124">D122/D121</f>
        <v>0.62143232358606204</v>
      </c>
      <c r="E123" s="29">
        <f t="shared" si="124"/>
        <v>0.62037768152746531</v>
      </c>
      <c r="F123" s="29">
        <f t="shared" si="124"/>
        <v>0.61932482931762534</v>
      </c>
      <c r="G123" s="29">
        <f t="shared" si="124"/>
        <v>0.61827376391896305</v>
      </c>
      <c r="H123" s="424">
        <f t="shared" si="124"/>
        <v>0.61722448229905458</v>
      </c>
      <c r="I123" s="424">
        <f t="shared" si="124"/>
        <v>0.62364263660152042</v>
      </c>
      <c r="J123" s="424">
        <f t="shared" si="124"/>
        <v>0.62258424338776119</v>
      </c>
      <c r="K123" s="424">
        <f t="shared" si="124"/>
        <v>0.62152764638890012</v>
      </c>
      <c r="L123" s="424">
        <f t="shared" si="124"/>
        <v>0.62047284255655388</v>
      </c>
      <c r="M123" s="424">
        <f t="shared" si="124"/>
        <v>0.61941982884751312</v>
      </c>
      <c r="N123" s="424">
        <f t="shared" si="124"/>
        <v>0.62284454422201152</v>
      </c>
      <c r="O123" s="424">
        <v>0.62281866218820192</v>
      </c>
      <c r="P123" s="425">
        <f t="shared" si="124"/>
        <v>0.62281866218820192</v>
      </c>
    </row>
    <row r="124" spans="1:18" x14ac:dyDescent="0.3">
      <c r="A124" s="500" t="s">
        <v>90</v>
      </c>
      <c r="B124" s="501"/>
      <c r="C124" s="501"/>
      <c r="D124" s="501"/>
      <c r="E124" s="501"/>
      <c r="F124" s="501"/>
      <c r="G124" s="501"/>
      <c r="H124" s="501"/>
      <c r="I124" s="501"/>
      <c r="J124" s="501"/>
      <c r="K124" s="501"/>
      <c r="L124" s="501"/>
      <c r="M124" s="501"/>
      <c r="N124" s="501"/>
      <c r="O124" s="501"/>
      <c r="P124" s="502"/>
    </row>
    <row r="125" spans="1:18" ht="15.6" x14ac:dyDescent="0.3">
      <c r="A125" s="245" t="s">
        <v>227</v>
      </c>
      <c r="B125" s="345" t="s">
        <v>85</v>
      </c>
      <c r="C125" s="345" t="s">
        <v>3</v>
      </c>
      <c r="D125" s="386">
        <v>0</v>
      </c>
      <c r="E125" s="4">
        <f>D129</f>
        <v>0</v>
      </c>
      <c r="F125" s="4">
        <f t="shared" ref="F125:G125" si="125">E129</f>
        <v>0</v>
      </c>
      <c r="G125" s="4">
        <f t="shared" si="125"/>
        <v>0</v>
      </c>
      <c r="H125" s="386"/>
      <c r="I125" s="386"/>
      <c r="J125" s="386"/>
      <c r="K125" s="386"/>
      <c r="L125" s="386"/>
      <c r="M125" s="386"/>
      <c r="N125" s="386"/>
      <c r="O125" s="386"/>
      <c r="P125" s="426">
        <f>D125</f>
        <v>0</v>
      </c>
    </row>
    <row r="126" spans="1:18" ht="15.6" x14ac:dyDescent="0.3">
      <c r="A126" s="484"/>
      <c r="B126" s="345" t="s">
        <v>84</v>
      </c>
      <c r="C126" s="345" t="s">
        <v>3</v>
      </c>
      <c r="D126" s="388">
        <v>0</v>
      </c>
      <c r="E126" s="4"/>
      <c r="F126" s="4"/>
      <c r="G126" s="4"/>
      <c r="H126" s="388"/>
      <c r="I126" s="388"/>
      <c r="J126" s="388"/>
      <c r="K126" s="388"/>
      <c r="L126" s="388"/>
      <c r="M126" s="388"/>
      <c r="N126" s="388"/>
      <c r="O126" s="388"/>
      <c r="P126" s="427">
        <f>SUM(D126:O126)</f>
        <v>0</v>
      </c>
    </row>
    <row r="127" spans="1:18" ht="15.6" x14ac:dyDescent="0.3">
      <c r="A127" s="484"/>
      <c r="B127" s="428" t="s">
        <v>88</v>
      </c>
      <c r="C127" s="345" t="s">
        <v>3</v>
      </c>
      <c r="D127" s="388">
        <v>0</v>
      </c>
      <c r="E127" s="4"/>
      <c r="F127" s="4"/>
      <c r="G127" s="4"/>
      <c r="H127" s="388"/>
      <c r="I127" s="388"/>
      <c r="J127" s="388"/>
      <c r="K127" s="388"/>
      <c r="L127" s="388"/>
      <c r="M127" s="388"/>
      <c r="N127" s="388"/>
      <c r="O127" s="388"/>
      <c r="P127" s="427">
        <f>SUM(D127:O127)</f>
        <v>0</v>
      </c>
    </row>
    <row r="128" spans="1:18" ht="15.6" x14ac:dyDescent="0.3">
      <c r="A128" s="484"/>
      <c r="B128" s="345" t="s">
        <v>82</v>
      </c>
      <c r="C128" s="345" t="s">
        <v>3</v>
      </c>
      <c r="D128" s="388">
        <v>0</v>
      </c>
      <c r="E128" s="4"/>
      <c r="F128" s="4"/>
      <c r="G128" s="4"/>
      <c r="H128" s="388"/>
      <c r="I128" s="388"/>
      <c r="J128" s="388"/>
      <c r="K128" s="388"/>
      <c r="L128" s="388"/>
      <c r="M128" s="388"/>
      <c r="N128" s="388"/>
      <c r="O128" s="388"/>
      <c r="P128" s="427">
        <f>SUM(D128:O128)</f>
        <v>0</v>
      </c>
    </row>
    <row r="129" spans="1:18" ht="15.6" x14ac:dyDescent="0.3">
      <c r="A129" s="246"/>
      <c r="B129" s="345" t="s">
        <v>81</v>
      </c>
      <c r="C129" s="345" t="s">
        <v>3</v>
      </c>
      <c r="D129" s="386">
        <f t="shared" ref="D129:I129" si="126">D125+D126-D127-D128</f>
        <v>0</v>
      </c>
      <c r="E129" s="4">
        <f t="shared" si="126"/>
        <v>0</v>
      </c>
      <c r="F129" s="4">
        <f t="shared" si="126"/>
        <v>0</v>
      </c>
      <c r="G129" s="4">
        <f t="shared" si="126"/>
        <v>0</v>
      </c>
      <c r="H129" s="386">
        <f t="shared" si="126"/>
        <v>0</v>
      </c>
      <c r="I129" s="386">
        <f t="shared" si="126"/>
        <v>0</v>
      </c>
      <c r="J129" s="386">
        <f t="shared" ref="J129:K129" si="127">J125+J126-J127-J128</f>
        <v>0</v>
      </c>
      <c r="K129" s="386">
        <f t="shared" si="127"/>
        <v>0</v>
      </c>
      <c r="L129" s="386">
        <f t="shared" ref="L129:N129" si="128">L125+L126-L127-L128</f>
        <v>0</v>
      </c>
      <c r="M129" s="386">
        <f t="shared" si="128"/>
        <v>0</v>
      </c>
      <c r="N129" s="386">
        <f t="shared" si="128"/>
        <v>0</v>
      </c>
      <c r="O129" s="386">
        <v>0</v>
      </c>
      <c r="P129" s="426">
        <f>P125+P126-P127-P128</f>
        <v>0</v>
      </c>
    </row>
    <row r="130" spans="1:18" ht="15.6" x14ac:dyDescent="0.3">
      <c r="A130" s="245" t="s">
        <v>228</v>
      </c>
      <c r="B130" s="429" t="s">
        <v>85</v>
      </c>
      <c r="C130" s="429" t="s">
        <v>3</v>
      </c>
      <c r="D130" s="386">
        <v>0</v>
      </c>
      <c r="E130" s="4">
        <f>D134</f>
        <v>0</v>
      </c>
      <c r="F130" s="4">
        <f t="shared" ref="F130:G130" si="129">E134</f>
        <v>0</v>
      </c>
      <c r="G130" s="4">
        <f t="shared" si="129"/>
        <v>0</v>
      </c>
      <c r="H130" s="386"/>
      <c r="I130" s="386"/>
      <c r="J130" s="386"/>
      <c r="K130" s="386"/>
      <c r="L130" s="386"/>
      <c r="M130" s="386"/>
      <c r="N130" s="386"/>
      <c r="O130" s="386"/>
      <c r="P130" s="426">
        <f>D130</f>
        <v>0</v>
      </c>
    </row>
    <row r="131" spans="1:18" ht="15.6" x14ac:dyDescent="0.3">
      <c r="A131" s="484"/>
      <c r="B131" s="345" t="s">
        <v>84</v>
      </c>
      <c r="C131" s="345" t="s">
        <v>3</v>
      </c>
      <c r="D131" s="388">
        <v>0</v>
      </c>
      <c r="E131" s="4"/>
      <c r="F131" s="4"/>
      <c r="G131" s="4"/>
      <c r="H131" s="388"/>
      <c r="I131" s="388"/>
      <c r="J131" s="388"/>
      <c r="K131" s="388"/>
      <c r="L131" s="388"/>
      <c r="M131" s="388"/>
      <c r="N131" s="388"/>
      <c r="O131" s="388"/>
      <c r="P131" s="427">
        <f>SUM(D131:O131)</f>
        <v>0</v>
      </c>
    </row>
    <row r="132" spans="1:18" ht="15.6" x14ac:dyDescent="0.3">
      <c r="A132" s="484"/>
      <c r="B132" s="428" t="s">
        <v>88</v>
      </c>
      <c r="C132" s="345" t="s">
        <v>3</v>
      </c>
      <c r="D132" s="388">
        <v>0</v>
      </c>
      <c r="E132" s="4"/>
      <c r="F132" s="4"/>
      <c r="G132" s="4"/>
      <c r="H132" s="388"/>
      <c r="I132" s="388"/>
      <c r="J132" s="388"/>
      <c r="K132" s="388"/>
      <c r="L132" s="388"/>
      <c r="M132" s="388"/>
      <c r="N132" s="388"/>
      <c r="O132" s="388"/>
      <c r="P132" s="427">
        <f>SUM(D132:O132)</f>
        <v>0</v>
      </c>
    </row>
    <row r="133" spans="1:18" ht="15.6" x14ac:dyDescent="0.3">
      <c r="A133" s="484"/>
      <c r="B133" s="345" t="s">
        <v>82</v>
      </c>
      <c r="C133" s="345" t="s">
        <v>3</v>
      </c>
      <c r="D133" s="388">
        <v>0</v>
      </c>
      <c r="E133" s="4"/>
      <c r="F133" s="4"/>
      <c r="G133" s="4"/>
      <c r="H133" s="388"/>
      <c r="I133" s="388"/>
      <c r="J133" s="388"/>
      <c r="K133" s="388"/>
      <c r="L133" s="388"/>
      <c r="M133" s="388"/>
      <c r="N133" s="388"/>
      <c r="O133" s="388"/>
      <c r="P133" s="427">
        <f>SUM(D133:O133)</f>
        <v>0</v>
      </c>
    </row>
    <row r="134" spans="1:18" ht="15.6" x14ac:dyDescent="0.3">
      <c r="A134" s="246"/>
      <c r="B134" s="345" t="s">
        <v>81</v>
      </c>
      <c r="C134" s="345" t="s">
        <v>3</v>
      </c>
      <c r="D134" s="386">
        <f t="shared" ref="D134:I134" si="130">D130+D131-D132-D133</f>
        <v>0</v>
      </c>
      <c r="E134" s="4">
        <f t="shared" si="130"/>
        <v>0</v>
      </c>
      <c r="F134" s="4">
        <f t="shared" si="130"/>
        <v>0</v>
      </c>
      <c r="G134" s="4">
        <f t="shared" si="130"/>
        <v>0</v>
      </c>
      <c r="H134" s="386">
        <f t="shared" si="130"/>
        <v>0</v>
      </c>
      <c r="I134" s="386">
        <f t="shared" si="130"/>
        <v>0</v>
      </c>
      <c r="J134" s="386">
        <f t="shared" ref="J134:K134" si="131">J130+J131-J132-J133</f>
        <v>0</v>
      </c>
      <c r="K134" s="386">
        <f t="shared" si="131"/>
        <v>0</v>
      </c>
      <c r="L134" s="386">
        <f t="shared" ref="L134:N134" si="132">L130+L131-L132-L133</f>
        <v>0</v>
      </c>
      <c r="M134" s="386">
        <f t="shared" si="132"/>
        <v>0</v>
      </c>
      <c r="N134" s="386">
        <f t="shared" si="132"/>
        <v>0</v>
      </c>
      <c r="O134" s="386">
        <v>0</v>
      </c>
      <c r="P134" s="426">
        <f>P130+P131-P132-P133</f>
        <v>0</v>
      </c>
    </row>
    <row r="135" spans="1:18" ht="15.6" x14ac:dyDescent="0.3">
      <c r="A135" s="245" t="s">
        <v>89</v>
      </c>
      <c r="B135" s="345" t="s">
        <v>85</v>
      </c>
      <c r="C135" s="345" t="s">
        <v>3</v>
      </c>
      <c r="D135" s="386">
        <v>1</v>
      </c>
      <c r="E135" s="4">
        <f>D139</f>
        <v>1</v>
      </c>
      <c r="F135" s="4">
        <f t="shared" ref="F135:K135" si="133">E139</f>
        <v>1</v>
      </c>
      <c r="G135" s="4">
        <f t="shared" si="133"/>
        <v>1</v>
      </c>
      <c r="H135" s="4">
        <f t="shared" si="133"/>
        <v>1</v>
      </c>
      <c r="I135" s="4">
        <f t="shared" si="133"/>
        <v>2</v>
      </c>
      <c r="J135" s="4">
        <f t="shared" si="133"/>
        <v>2</v>
      </c>
      <c r="K135" s="4">
        <f t="shared" si="133"/>
        <v>2</v>
      </c>
      <c r="L135" s="386">
        <v>2</v>
      </c>
      <c r="M135" s="4">
        <f t="shared" ref="M135" si="134">L139</f>
        <v>2</v>
      </c>
      <c r="N135" s="386">
        <v>2</v>
      </c>
      <c r="O135" s="386">
        <v>2</v>
      </c>
      <c r="P135" s="426">
        <f>D135</f>
        <v>1</v>
      </c>
    </row>
    <row r="136" spans="1:18" ht="15.6" x14ac:dyDescent="0.3">
      <c r="A136" s="484"/>
      <c r="B136" s="345" t="s">
        <v>84</v>
      </c>
      <c r="C136" s="345" t="s">
        <v>3</v>
      </c>
      <c r="D136" s="388">
        <v>0</v>
      </c>
      <c r="E136" s="4"/>
      <c r="F136" s="4"/>
      <c r="G136" s="4"/>
      <c r="H136" s="4">
        <v>1</v>
      </c>
      <c r="I136" s="388"/>
      <c r="J136" s="388"/>
      <c r="K136" s="388"/>
      <c r="L136" s="388"/>
      <c r="M136" s="388"/>
      <c r="N136" s="388"/>
      <c r="O136" s="388"/>
      <c r="P136" s="427">
        <f>SUM(D136:O136)</f>
        <v>1</v>
      </c>
    </row>
    <row r="137" spans="1:18" ht="15.6" x14ac:dyDescent="0.3">
      <c r="A137" s="484"/>
      <c r="B137" s="428" t="s">
        <v>88</v>
      </c>
      <c r="C137" s="345" t="s">
        <v>3</v>
      </c>
      <c r="D137" s="388">
        <v>0</v>
      </c>
      <c r="E137" s="4"/>
      <c r="F137" s="4"/>
      <c r="G137" s="4"/>
      <c r="H137" s="4"/>
      <c r="I137" s="388"/>
      <c r="J137" s="388"/>
      <c r="K137" s="388"/>
      <c r="L137" s="388"/>
      <c r="M137" s="388"/>
      <c r="N137" s="388"/>
      <c r="O137" s="388"/>
      <c r="P137" s="427">
        <f>SUM(D137:O137)</f>
        <v>0</v>
      </c>
    </row>
    <row r="138" spans="1:18" ht="15.6" x14ac:dyDescent="0.3">
      <c r="A138" s="484"/>
      <c r="B138" s="345" t="s">
        <v>82</v>
      </c>
      <c r="C138" s="345" t="s">
        <v>3</v>
      </c>
      <c r="D138" s="388">
        <v>0</v>
      </c>
      <c r="E138" s="4"/>
      <c r="F138" s="4"/>
      <c r="G138" s="4"/>
      <c r="H138" s="4"/>
      <c r="I138" s="388"/>
      <c r="J138" s="388"/>
      <c r="K138" s="388"/>
      <c r="L138" s="388"/>
      <c r="M138" s="388"/>
      <c r="N138" s="388"/>
      <c r="O138" s="388"/>
      <c r="P138" s="427">
        <f>SUM(D138:O138)</f>
        <v>0</v>
      </c>
    </row>
    <row r="139" spans="1:18" ht="15.6" x14ac:dyDescent="0.3">
      <c r="A139" s="246"/>
      <c r="B139" s="345" t="s">
        <v>81</v>
      </c>
      <c r="C139" s="345" t="s">
        <v>3</v>
      </c>
      <c r="D139" s="386">
        <v>1</v>
      </c>
      <c r="E139" s="4">
        <f t="shared" ref="E139:H139" si="135">E135+E136-E137-E138</f>
        <v>1</v>
      </c>
      <c r="F139" s="4">
        <f t="shared" si="135"/>
        <v>1</v>
      </c>
      <c r="G139" s="4">
        <f t="shared" si="135"/>
        <v>1</v>
      </c>
      <c r="H139" s="4">
        <f t="shared" si="135"/>
        <v>2</v>
      </c>
      <c r="I139" s="386">
        <f t="shared" ref="I139" si="136">I135+I136-I137-I138</f>
        <v>2</v>
      </c>
      <c r="J139" s="386">
        <f t="shared" ref="J139:K139" si="137">J135+J136-J137-J138</f>
        <v>2</v>
      </c>
      <c r="K139" s="386">
        <f t="shared" si="137"/>
        <v>2</v>
      </c>
      <c r="L139" s="386">
        <f t="shared" ref="L139:N139" si="138">L135+L136-L137-L138</f>
        <v>2</v>
      </c>
      <c r="M139" s="386">
        <f t="shared" si="138"/>
        <v>2</v>
      </c>
      <c r="N139" s="386">
        <f t="shared" si="138"/>
        <v>2</v>
      </c>
      <c r="O139" s="386">
        <v>2</v>
      </c>
      <c r="P139" s="426">
        <f>P135+P136-P137-P138</f>
        <v>2</v>
      </c>
    </row>
    <row r="140" spans="1:18" ht="15.6" x14ac:dyDescent="0.3">
      <c r="A140" s="245" t="s">
        <v>87</v>
      </c>
      <c r="B140" s="345" t="s">
        <v>85</v>
      </c>
      <c r="C140" s="345" t="s">
        <v>3</v>
      </c>
      <c r="D140" s="386">
        <v>41</v>
      </c>
      <c r="E140" s="4">
        <f>D144</f>
        <v>46</v>
      </c>
      <c r="F140" s="4">
        <f t="shared" ref="F140:K140" si="139">E144</f>
        <v>51</v>
      </c>
      <c r="G140" s="4">
        <f t="shared" si="139"/>
        <v>44</v>
      </c>
      <c r="H140" s="4">
        <f t="shared" si="139"/>
        <v>47</v>
      </c>
      <c r="I140" s="4">
        <f t="shared" si="139"/>
        <v>47</v>
      </c>
      <c r="J140" s="4">
        <f t="shared" si="139"/>
        <v>57</v>
      </c>
      <c r="K140" s="4">
        <f t="shared" si="139"/>
        <v>62</v>
      </c>
      <c r="L140" s="386">
        <v>56</v>
      </c>
      <c r="M140" s="386">
        <v>58</v>
      </c>
      <c r="N140" s="386">
        <v>9</v>
      </c>
      <c r="O140" s="388">
        <v>9</v>
      </c>
      <c r="P140" s="426">
        <f>D140</f>
        <v>41</v>
      </c>
    </row>
    <row r="141" spans="1:18" ht="15.6" x14ac:dyDescent="0.3">
      <c r="A141" s="484"/>
      <c r="B141" s="345" t="s">
        <v>84</v>
      </c>
      <c r="C141" s="345" t="s">
        <v>3</v>
      </c>
      <c r="D141" s="388">
        <v>5</v>
      </c>
      <c r="E141" s="4">
        <v>5</v>
      </c>
      <c r="F141" s="4"/>
      <c r="G141" s="4">
        <v>8</v>
      </c>
      <c r="H141" s="4"/>
      <c r="I141" s="4">
        <v>10</v>
      </c>
      <c r="J141" s="4">
        <v>5</v>
      </c>
      <c r="K141" s="4">
        <v>4</v>
      </c>
      <c r="L141" s="388">
        <v>4</v>
      </c>
      <c r="M141" s="388">
        <v>4</v>
      </c>
      <c r="N141" s="388">
        <v>6</v>
      </c>
      <c r="O141" s="388"/>
      <c r="P141" s="427">
        <f>SUM(D141:O141)</f>
        <v>51</v>
      </c>
    </row>
    <row r="142" spans="1:18" ht="15.6" x14ac:dyDescent="0.3">
      <c r="A142" s="484"/>
      <c r="B142" s="345" t="s">
        <v>83</v>
      </c>
      <c r="C142" s="345" t="s">
        <v>3</v>
      </c>
      <c r="D142" s="388">
        <v>0</v>
      </c>
      <c r="E142" s="4"/>
      <c r="F142" s="4"/>
      <c r="G142" s="4"/>
      <c r="H142" s="4"/>
      <c r="I142" s="388"/>
      <c r="J142" s="388"/>
      <c r="K142" s="4">
        <v>10</v>
      </c>
      <c r="L142" s="388">
        <v>2</v>
      </c>
      <c r="M142" s="388">
        <v>7</v>
      </c>
      <c r="N142" s="388">
        <v>6</v>
      </c>
      <c r="O142" s="388"/>
      <c r="P142" s="427">
        <f>SUM(D142:O142)</f>
        <v>25</v>
      </c>
    </row>
    <row r="143" spans="1:18" ht="15.6" x14ac:dyDescent="0.3">
      <c r="A143" s="484"/>
      <c r="B143" s="345" t="s">
        <v>82</v>
      </c>
      <c r="C143" s="345" t="s">
        <v>3</v>
      </c>
      <c r="D143" s="388">
        <v>0</v>
      </c>
      <c r="E143" s="4"/>
      <c r="F143" s="4">
        <v>7</v>
      </c>
      <c r="G143" s="4">
        <v>5</v>
      </c>
      <c r="H143" s="4"/>
      <c r="I143" s="388"/>
      <c r="J143" s="388"/>
      <c r="K143" s="388"/>
      <c r="L143" s="388"/>
      <c r="M143" s="388">
        <v>46</v>
      </c>
      <c r="N143" s="388"/>
      <c r="O143" s="388"/>
      <c r="P143" s="427">
        <f>SUM(D143:O143)</f>
        <v>58</v>
      </c>
    </row>
    <row r="144" spans="1:18" ht="15.6" x14ac:dyDescent="0.3">
      <c r="A144" s="246"/>
      <c r="B144" s="345" t="s">
        <v>81</v>
      </c>
      <c r="C144" s="345" t="s">
        <v>3</v>
      </c>
      <c r="D144" s="386">
        <f t="shared" ref="D144:I144" si="140">D140+D141-D142-D143</f>
        <v>46</v>
      </c>
      <c r="E144" s="4">
        <f t="shared" si="140"/>
        <v>51</v>
      </c>
      <c r="F144" s="4">
        <f t="shared" si="140"/>
        <v>44</v>
      </c>
      <c r="G144" s="4">
        <f t="shared" si="140"/>
        <v>47</v>
      </c>
      <c r="H144" s="4">
        <f t="shared" si="140"/>
        <v>47</v>
      </c>
      <c r="I144" s="386">
        <f t="shared" si="140"/>
        <v>57</v>
      </c>
      <c r="J144" s="386">
        <f t="shared" ref="J144:K144" si="141">J140+J141-J142-J143</f>
        <v>62</v>
      </c>
      <c r="K144" s="386">
        <f t="shared" si="141"/>
        <v>56</v>
      </c>
      <c r="L144" s="386">
        <v>58</v>
      </c>
      <c r="M144" s="386">
        <v>9</v>
      </c>
      <c r="N144" s="386">
        <v>9</v>
      </c>
      <c r="O144" s="386">
        <v>9</v>
      </c>
      <c r="P144" s="426">
        <f>P140+P141-P142-P143</f>
        <v>9</v>
      </c>
      <c r="R144" s="430"/>
    </row>
    <row r="145" spans="1:16" s="351" customFormat="1" ht="15.6" x14ac:dyDescent="0.3">
      <c r="A145" s="245" t="s">
        <v>86</v>
      </c>
      <c r="B145" s="345" t="s">
        <v>85</v>
      </c>
      <c r="C145" s="345" t="s">
        <v>3</v>
      </c>
      <c r="D145" s="391">
        <f t="shared" ref="D145:I148" si="142">D125+D130+D135+D140</f>
        <v>42</v>
      </c>
      <c r="E145" s="391">
        <f t="shared" si="142"/>
        <v>47</v>
      </c>
      <c r="F145" s="391">
        <f t="shared" si="142"/>
        <v>52</v>
      </c>
      <c r="G145" s="391">
        <f t="shared" si="142"/>
        <v>45</v>
      </c>
      <c r="H145" s="391">
        <f t="shared" si="142"/>
        <v>48</v>
      </c>
      <c r="I145" s="391">
        <f t="shared" si="142"/>
        <v>49</v>
      </c>
      <c r="J145" s="391">
        <f t="shared" ref="J145:K145" si="143">J125+J130+J135+J140</f>
        <v>59</v>
      </c>
      <c r="K145" s="391">
        <f t="shared" si="143"/>
        <v>64</v>
      </c>
      <c r="L145" s="391">
        <f t="shared" ref="L145:N145" si="144">L125+L130+L135+L140</f>
        <v>58</v>
      </c>
      <c r="M145" s="391">
        <f t="shared" si="144"/>
        <v>60</v>
      </c>
      <c r="N145" s="391">
        <f t="shared" si="144"/>
        <v>11</v>
      </c>
      <c r="O145" s="391">
        <v>11</v>
      </c>
      <c r="P145" s="431">
        <f t="shared" ref="P145" si="145">P125+P130+P135+P140</f>
        <v>42</v>
      </c>
    </row>
    <row r="146" spans="1:16" ht="15.6" x14ac:dyDescent="0.3">
      <c r="A146" s="484"/>
      <c r="B146" s="345" t="s">
        <v>84</v>
      </c>
      <c r="C146" s="345" t="s">
        <v>3</v>
      </c>
      <c r="D146" s="391">
        <f t="shared" ref="D146:D148" si="146">D126+D131+D136+D141</f>
        <v>5</v>
      </c>
      <c r="E146" s="23">
        <f t="shared" si="142"/>
        <v>5</v>
      </c>
      <c r="F146" s="23">
        <f t="shared" si="142"/>
        <v>0</v>
      </c>
      <c r="G146" s="23">
        <f t="shared" si="142"/>
        <v>8</v>
      </c>
      <c r="H146" s="391">
        <f t="shared" ref="H146:I146" si="147">H126+H131+H136+H141</f>
        <v>1</v>
      </c>
      <c r="I146" s="391">
        <f t="shared" si="147"/>
        <v>10</v>
      </c>
      <c r="J146" s="391">
        <f t="shared" ref="J146:K146" si="148">J126+J131+J136+J141</f>
        <v>5</v>
      </c>
      <c r="K146" s="391">
        <f t="shared" si="148"/>
        <v>4</v>
      </c>
      <c r="L146" s="391">
        <f t="shared" ref="L146:N146" si="149">L126+L131+L136+L141</f>
        <v>4</v>
      </c>
      <c r="M146" s="391">
        <f t="shared" si="149"/>
        <v>4</v>
      </c>
      <c r="N146" s="391">
        <f t="shared" si="149"/>
        <v>6</v>
      </c>
      <c r="O146" s="391">
        <v>0</v>
      </c>
      <c r="P146" s="431">
        <f t="shared" ref="P146" si="150">P126+P131+P136+P141</f>
        <v>52</v>
      </c>
    </row>
    <row r="147" spans="1:16" ht="15.6" x14ac:dyDescent="0.3">
      <c r="A147" s="484"/>
      <c r="B147" s="345" t="s">
        <v>83</v>
      </c>
      <c r="C147" s="345" t="s">
        <v>3</v>
      </c>
      <c r="D147" s="391">
        <f t="shared" si="146"/>
        <v>0</v>
      </c>
      <c r="E147" s="23">
        <f t="shared" si="142"/>
        <v>0</v>
      </c>
      <c r="F147" s="23">
        <f t="shared" si="142"/>
        <v>0</v>
      </c>
      <c r="G147" s="23">
        <f t="shared" si="142"/>
        <v>0</v>
      </c>
      <c r="H147" s="391">
        <f t="shared" ref="H147:I147" si="151">H127+H132+H137+H142</f>
        <v>0</v>
      </c>
      <c r="I147" s="391">
        <f t="shared" si="151"/>
        <v>0</v>
      </c>
      <c r="J147" s="391">
        <f t="shared" ref="J147:K147" si="152">J127+J132+J137+J142</f>
        <v>0</v>
      </c>
      <c r="K147" s="391">
        <f t="shared" si="152"/>
        <v>10</v>
      </c>
      <c r="L147" s="391">
        <f t="shared" ref="L147:N147" si="153">L127+L132+L137+L142</f>
        <v>2</v>
      </c>
      <c r="M147" s="391">
        <f t="shared" si="153"/>
        <v>7</v>
      </c>
      <c r="N147" s="391">
        <f t="shared" si="153"/>
        <v>6</v>
      </c>
      <c r="O147" s="391">
        <v>0</v>
      </c>
      <c r="P147" s="431">
        <f t="shared" ref="P147" si="154">P127+P132+P137+P142</f>
        <v>25</v>
      </c>
    </row>
    <row r="148" spans="1:16" ht="15.6" x14ac:dyDescent="0.3">
      <c r="A148" s="484"/>
      <c r="B148" s="345" t="s">
        <v>82</v>
      </c>
      <c r="C148" s="345" t="s">
        <v>3</v>
      </c>
      <c r="D148" s="391">
        <f t="shared" si="146"/>
        <v>0</v>
      </c>
      <c r="E148" s="23">
        <f t="shared" si="142"/>
        <v>0</v>
      </c>
      <c r="F148" s="23">
        <f t="shared" si="142"/>
        <v>7</v>
      </c>
      <c r="G148" s="23">
        <f t="shared" si="142"/>
        <v>5</v>
      </c>
      <c r="H148" s="391">
        <f t="shared" ref="H148:I148" si="155">H128+H133+H138+H143</f>
        <v>0</v>
      </c>
      <c r="I148" s="391">
        <f t="shared" si="155"/>
        <v>0</v>
      </c>
      <c r="J148" s="391">
        <f t="shared" ref="J148:K148" si="156">J128+J133+J138+J143</f>
        <v>0</v>
      </c>
      <c r="K148" s="391">
        <f t="shared" si="156"/>
        <v>0</v>
      </c>
      <c r="L148" s="391">
        <f t="shared" ref="L148:N148" si="157">L128+L133+L138+L143</f>
        <v>0</v>
      </c>
      <c r="M148" s="391">
        <f t="shared" si="157"/>
        <v>46</v>
      </c>
      <c r="N148" s="391">
        <f t="shared" si="157"/>
        <v>0</v>
      </c>
      <c r="O148" s="391">
        <v>0</v>
      </c>
      <c r="P148" s="431">
        <f t="shared" ref="P148" si="158">P128+P133+P138+P143</f>
        <v>58</v>
      </c>
    </row>
    <row r="149" spans="1:16" ht="15.6" x14ac:dyDescent="0.3">
      <c r="A149" s="246"/>
      <c r="B149" s="345" t="s">
        <v>81</v>
      </c>
      <c r="C149" s="345" t="s">
        <v>3</v>
      </c>
      <c r="D149" s="386">
        <f t="shared" ref="D149:I149" si="159">D145+D146-D147-D148</f>
        <v>47</v>
      </c>
      <c r="E149" s="386">
        <f t="shared" si="159"/>
        <v>52</v>
      </c>
      <c r="F149" s="386">
        <f t="shared" si="159"/>
        <v>45</v>
      </c>
      <c r="G149" s="386">
        <f t="shared" si="159"/>
        <v>48</v>
      </c>
      <c r="H149" s="386">
        <f t="shared" si="159"/>
        <v>49</v>
      </c>
      <c r="I149" s="386">
        <f t="shared" si="159"/>
        <v>59</v>
      </c>
      <c r="J149" s="386">
        <f t="shared" ref="J149:K149" si="160">J145+J146-J147-J148</f>
        <v>64</v>
      </c>
      <c r="K149" s="386">
        <f t="shared" si="160"/>
        <v>58</v>
      </c>
      <c r="L149" s="386">
        <f t="shared" ref="L149:N149" si="161">L145+L146-L147-L148</f>
        <v>60</v>
      </c>
      <c r="M149" s="386">
        <f t="shared" si="161"/>
        <v>11</v>
      </c>
      <c r="N149" s="386">
        <f t="shared" si="161"/>
        <v>11</v>
      </c>
      <c r="O149" s="386">
        <v>11</v>
      </c>
      <c r="P149" s="431">
        <f t="shared" ref="P149" si="162">P129+P134+P139+P144</f>
        <v>11</v>
      </c>
    </row>
    <row r="150" spans="1:16" x14ac:dyDescent="0.3">
      <c r="A150" s="472" t="s">
        <v>80</v>
      </c>
      <c r="B150" s="473"/>
      <c r="C150" s="473"/>
      <c r="D150" s="473"/>
      <c r="E150" s="473"/>
      <c r="F150" s="473"/>
      <c r="G150" s="473"/>
      <c r="H150" s="473"/>
      <c r="I150" s="473"/>
      <c r="J150" s="473"/>
      <c r="K150" s="473"/>
      <c r="L150" s="473"/>
      <c r="M150" s="473"/>
      <c r="N150" s="473"/>
      <c r="O150" s="473"/>
      <c r="P150" s="474"/>
    </row>
    <row r="151" spans="1:16" ht="15.6" x14ac:dyDescent="0.3">
      <c r="A151" s="475" t="s">
        <v>79</v>
      </c>
      <c r="B151" s="476"/>
      <c r="C151" s="345"/>
      <c r="D151" s="372"/>
      <c r="E151" s="372"/>
      <c r="F151" s="372"/>
      <c r="G151" s="372"/>
      <c r="H151" s="372"/>
      <c r="I151" s="372"/>
      <c r="J151" s="432"/>
      <c r="K151" s="432"/>
      <c r="L151" s="432"/>
      <c r="M151" s="432"/>
      <c r="N151" s="432"/>
      <c r="O151" s="432"/>
      <c r="P151" s="384"/>
    </row>
    <row r="152" spans="1:16" ht="15.6" x14ac:dyDescent="0.3">
      <c r="A152" s="503" t="s">
        <v>78</v>
      </c>
      <c r="B152" s="433" t="s">
        <v>63</v>
      </c>
      <c r="C152" s="345"/>
      <c r="D152" s="372"/>
      <c r="E152" s="372"/>
      <c r="F152" s="372"/>
      <c r="G152" s="372"/>
      <c r="H152" s="372"/>
      <c r="I152" s="372"/>
      <c r="J152" s="432"/>
      <c r="K152" s="432"/>
      <c r="L152" s="432"/>
      <c r="M152" s="432"/>
      <c r="N152" s="432"/>
      <c r="O152" s="432"/>
      <c r="P152" s="384"/>
    </row>
    <row r="153" spans="1:16" ht="15.6" x14ac:dyDescent="0.3">
      <c r="A153" s="504"/>
      <c r="B153" s="20" t="s">
        <v>73</v>
      </c>
      <c r="C153" s="345" t="s">
        <v>57</v>
      </c>
      <c r="D153" s="553">
        <v>25</v>
      </c>
      <c r="E153" s="4">
        <v>17</v>
      </c>
      <c r="F153" s="4">
        <v>11</v>
      </c>
      <c r="G153" s="4">
        <v>18</v>
      </c>
      <c r="H153" s="4">
        <v>8</v>
      </c>
      <c r="I153" s="4">
        <v>11</v>
      </c>
      <c r="J153" s="4">
        <v>9</v>
      </c>
      <c r="K153" s="4">
        <v>14</v>
      </c>
      <c r="L153" s="379">
        <v>15</v>
      </c>
      <c r="M153" s="379">
        <v>10</v>
      </c>
      <c r="N153" s="379">
        <v>17</v>
      </c>
      <c r="O153" s="379">
        <v>19</v>
      </c>
      <c r="P153" s="427">
        <f t="shared" ref="P153:P165" si="163">SUM(D153:O153)</f>
        <v>174</v>
      </c>
    </row>
    <row r="154" spans="1:16" ht="15.6" x14ac:dyDescent="0.3">
      <c r="A154" s="504"/>
      <c r="B154" s="20" t="s">
        <v>72</v>
      </c>
      <c r="C154" s="345" t="s">
        <v>57</v>
      </c>
      <c r="D154" s="553">
        <v>9</v>
      </c>
      <c r="E154" s="4">
        <v>9</v>
      </c>
      <c r="F154" s="4">
        <v>8</v>
      </c>
      <c r="G154" s="4">
        <v>54</v>
      </c>
      <c r="H154" s="4">
        <v>4</v>
      </c>
      <c r="I154" s="4">
        <v>3</v>
      </c>
      <c r="J154" s="4">
        <v>1</v>
      </c>
      <c r="K154" s="4">
        <v>1</v>
      </c>
      <c r="L154" s="379">
        <v>1</v>
      </c>
      <c r="M154" s="379">
        <v>5</v>
      </c>
      <c r="N154" s="379">
        <v>3</v>
      </c>
      <c r="O154" s="379">
        <v>4</v>
      </c>
      <c r="P154" s="427">
        <f t="shared" si="163"/>
        <v>102</v>
      </c>
    </row>
    <row r="155" spans="1:16" ht="15.6" x14ac:dyDescent="0.3">
      <c r="A155" s="504"/>
      <c r="B155" s="20" t="s">
        <v>53</v>
      </c>
      <c r="C155" s="345" t="s">
        <v>57</v>
      </c>
      <c r="D155" s="379">
        <v>0</v>
      </c>
      <c r="E155" s="4"/>
      <c r="F155" s="4"/>
      <c r="G155" s="4"/>
      <c r="H155" s="4"/>
      <c r="I155" s="4"/>
      <c r="J155" s="379"/>
      <c r="K155" s="4">
        <v>1</v>
      </c>
      <c r="L155" s="379"/>
      <c r="M155" s="379">
        <v>1</v>
      </c>
      <c r="N155" s="379">
        <v>2</v>
      </c>
      <c r="O155" s="379">
        <v>4</v>
      </c>
      <c r="P155" s="427">
        <f t="shared" si="163"/>
        <v>8</v>
      </c>
    </row>
    <row r="156" spans="1:16" ht="15.6" x14ac:dyDescent="0.3">
      <c r="A156" s="504"/>
      <c r="B156" s="20" t="s">
        <v>71</v>
      </c>
      <c r="C156" s="345" t="s">
        <v>57</v>
      </c>
      <c r="D156" s="379">
        <v>0</v>
      </c>
      <c r="E156" s="4">
        <v>1</v>
      </c>
      <c r="F156" s="4">
        <v>1</v>
      </c>
      <c r="G156" s="4">
        <v>3</v>
      </c>
      <c r="H156" s="4">
        <v>2</v>
      </c>
      <c r="I156" s="4">
        <v>2</v>
      </c>
      <c r="J156" s="379"/>
      <c r="K156" s="4"/>
      <c r="L156" s="379">
        <v>1</v>
      </c>
      <c r="M156" s="379">
        <v>1</v>
      </c>
      <c r="N156" s="379">
        <v>2</v>
      </c>
      <c r="O156" s="379">
        <v>5</v>
      </c>
      <c r="P156" s="427">
        <f t="shared" si="163"/>
        <v>18</v>
      </c>
    </row>
    <row r="157" spans="1:16" ht="15.6" x14ac:dyDescent="0.3">
      <c r="A157" s="504"/>
      <c r="B157" s="20" t="s">
        <v>52</v>
      </c>
      <c r="C157" s="345" t="s">
        <v>57</v>
      </c>
      <c r="D157" s="379">
        <v>0</v>
      </c>
      <c r="E157" s="4"/>
      <c r="F157" s="4">
        <v>1</v>
      </c>
      <c r="G157" s="4"/>
      <c r="H157" s="4"/>
      <c r="I157" s="4"/>
      <c r="J157" s="379"/>
      <c r="K157" s="4"/>
      <c r="L157" s="379">
        <v>1</v>
      </c>
      <c r="M157" s="379">
        <v>1</v>
      </c>
      <c r="N157" s="379"/>
      <c r="O157" s="379"/>
      <c r="P157" s="427">
        <f t="shared" si="163"/>
        <v>3</v>
      </c>
    </row>
    <row r="158" spans="1:16" ht="15.6" x14ac:dyDescent="0.3">
      <c r="A158" s="504"/>
      <c r="B158" s="20" t="s">
        <v>51</v>
      </c>
      <c r="C158" s="345" t="s">
        <v>57</v>
      </c>
      <c r="D158" s="379">
        <v>0</v>
      </c>
      <c r="E158" s="4">
        <v>6</v>
      </c>
      <c r="F158" s="4">
        <v>6</v>
      </c>
      <c r="G158" s="4"/>
      <c r="H158" s="4">
        <v>2</v>
      </c>
      <c r="I158" s="4">
        <v>3</v>
      </c>
      <c r="J158" s="4">
        <v>2</v>
      </c>
      <c r="K158" s="4">
        <v>2</v>
      </c>
      <c r="L158" s="379"/>
      <c r="M158" s="379"/>
      <c r="N158" s="379">
        <v>1</v>
      </c>
      <c r="O158" s="379"/>
      <c r="P158" s="427">
        <f t="shared" si="163"/>
        <v>22</v>
      </c>
    </row>
    <row r="159" spans="1:16" ht="15.6" x14ac:dyDescent="0.3">
      <c r="A159" s="504"/>
      <c r="B159" s="20" t="s">
        <v>62</v>
      </c>
      <c r="C159" s="345" t="s">
        <v>57</v>
      </c>
      <c r="D159" s="379">
        <v>0</v>
      </c>
      <c r="E159" s="4"/>
      <c r="F159" s="4"/>
      <c r="G159" s="4"/>
      <c r="H159" s="4"/>
      <c r="I159" s="4"/>
      <c r="J159" s="379"/>
      <c r="K159" s="4"/>
      <c r="L159" s="379"/>
      <c r="M159" s="379"/>
      <c r="N159" s="379"/>
      <c r="O159" s="379"/>
      <c r="P159" s="427">
        <f t="shared" si="163"/>
        <v>0</v>
      </c>
    </row>
    <row r="160" spans="1:16" ht="15.6" x14ac:dyDescent="0.3">
      <c r="A160" s="504"/>
      <c r="B160" s="20" t="s">
        <v>50</v>
      </c>
      <c r="C160" s="345" t="s">
        <v>57</v>
      </c>
      <c r="D160" s="379">
        <v>0</v>
      </c>
      <c r="E160" s="4"/>
      <c r="F160" s="4"/>
      <c r="G160" s="4"/>
      <c r="H160" s="4"/>
      <c r="I160" s="4"/>
      <c r="J160" s="379"/>
      <c r="K160" s="4"/>
      <c r="L160" s="379"/>
      <c r="M160" s="379"/>
      <c r="N160" s="379"/>
      <c r="O160" s="379"/>
      <c r="P160" s="427">
        <f t="shared" si="163"/>
        <v>0</v>
      </c>
    </row>
    <row r="161" spans="1:16" ht="15.6" x14ac:dyDescent="0.3">
      <c r="A161" s="504"/>
      <c r="B161" s="20" t="s">
        <v>49</v>
      </c>
      <c r="C161" s="345" t="s">
        <v>57</v>
      </c>
      <c r="D161" s="379">
        <v>0</v>
      </c>
      <c r="E161" s="4">
        <v>2</v>
      </c>
      <c r="F161" s="4">
        <v>1</v>
      </c>
      <c r="G161" s="4">
        <v>3</v>
      </c>
      <c r="H161" s="4">
        <v>1</v>
      </c>
      <c r="I161" s="4">
        <v>1</v>
      </c>
      <c r="J161" s="4">
        <v>1</v>
      </c>
      <c r="K161" s="4">
        <v>1</v>
      </c>
      <c r="L161" s="379"/>
      <c r="M161" s="379"/>
      <c r="N161" s="379"/>
      <c r="O161" s="379"/>
      <c r="P161" s="427">
        <f t="shared" si="163"/>
        <v>10</v>
      </c>
    </row>
    <row r="162" spans="1:16" ht="15.6" x14ac:dyDescent="0.3">
      <c r="A162" s="504"/>
      <c r="B162" s="20" t="s">
        <v>77</v>
      </c>
      <c r="C162" s="345" t="s">
        <v>57</v>
      </c>
      <c r="D162" s="379">
        <v>0</v>
      </c>
      <c r="E162" s="4"/>
      <c r="F162" s="4"/>
      <c r="G162" s="4"/>
      <c r="H162" s="4"/>
      <c r="I162" s="379"/>
      <c r="J162" s="379"/>
      <c r="K162" s="379"/>
      <c r="L162" s="379"/>
      <c r="M162" s="379"/>
      <c r="N162" s="379"/>
      <c r="O162" s="379"/>
      <c r="P162" s="427">
        <f t="shared" si="163"/>
        <v>0</v>
      </c>
    </row>
    <row r="163" spans="1:16" ht="15.6" x14ac:dyDescent="0.3">
      <c r="A163" s="504"/>
      <c r="B163" s="20" t="s">
        <v>69</v>
      </c>
      <c r="C163" s="345" t="s">
        <v>57</v>
      </c>
      <c r="D163" s="379"/>
      <c r="E163" s="4"/>
      <c r="F163" s="4"/>
      <c r="G163" s="4"/>
      <c r="H163" s="4"/>
      <c r="I163" s="379"/>
      <c r="J163" s="379"/>
      <c r="K163" s="379"/>
      <c r="L163" s="379"/>
      <c r="M163" s="379"/>
      <c r="N163" s="379"/>
      <c r="O163" s="379"/>
      <c r="P163" s="427">
        <f t="shared" si="163"/>
        <v>0</v>
      </c>
    </row>
    <row r="164" spans="1:16" ht="15.6" x14ac:dyDescent="0.3">
      <c r="A164" s="504"/>
      <c r="B164" s="20" t="s">
        <v>68</v>
      </c>
      <c r="C164" s="345" t="s">
        <v>57</v>
      </c>
      <c r="D164" s="379"/>
      <c r="E164" s="4"/>
      <c r="F164" s="4"/>
      <c r="G164" s="4"/>
      <c r="H164" s="4"/>
      <c r="I164" s="379"/>
      <c r="J164" s="379"/>
      <c r="K164" s="379"/>
      <c r="L164" s="379"/>
      <c r="M164" s="379"/>
      <c r="N164" s="379"/>
      <c r="O164" s="379"/>
      <c r="P164" s="427">
        <f t="shared" si="163"/>
        <v>0</v>
      </c>
    </row>
    <row r="165" spans="1:16" ht="15.6" x14ac:dyDescent="0.3">
      <c r="A165" s="505"/>
      <c r="B165" s="20" t="s">
        <v>76</v>
      </c>
      <c r="C165" s="345" t="s">
        <v>57</v>
      </c>
      <c r="D165" s="379"/>
      <c r="E165" s="4"/>
      <c r="F165" s="4"/>
      <c r="G165" s="4"/>
      <c r="H165" s="4"/>
      <c r="I165" s="379"/>
      <c r="J165" s="379"/>
      <c r="K165" s="379"/>
      <c r="L165" s="379"/>
      <c r="M165" s="379"/>
      <c r="N165" s="379"/>
      <c r="O165" s="379"/>
      <c r="P165" s="427">
        <f t="shared" si="163"/>
        <v>0</v>
      </c>
    </row>
    <row r="166" spans="1:16" ht="15.6" x14ac:dyDescent="0.3">
      <c r="A166" s="503" t="s">
        <v>75</v>
      </c>
      <c r="B166" s="434" t="s">
        <v>63</v>
      </c>
      <c r="C166" s="345"/>
      <c r="D166" s="379"/>
      <c r="E166" s="379"/>
      <c r="F166" s="379"/>
      <c r="G166" s="379"/>
      <c r="H166" s="379"/>
      <c r="I166" s="379"/>
      <c r="J166" s="379"/>
      <c r="K166" s="379"/>
      <c r="L166" s="379"/>
      <c r="M166" s="379"/>
      <c r="N166" s="379"/>
      <c r="O166" s="379"/>
      <c r="P166" s="427"/>
    </row>
    <row r="167" spans="1:16" ht="15.6" x14ac:dyDescent="0.3">
      <c r="A167" s="504"/>
      <c r="B167" s="20" t="s">
        <v>74</v>
      </c>
      <c r="C167" s="345" t="s">
        <v>57</v>
      </c>
      <c r="D167" s="4">
        <v>1</v>
      </c>
      <c r="E167" s="4">
        <v>3</v>
      </c>
      <c r="F167" s="4">
        <v>1</v>
      </c>
      <c r="G167" s="4">
        <v>1</v>
      </c>
      <c r="H167" s="4">
        <v>2</v>
      </c>
      <c r="I167" s="4">
        <v>2</v>
      </c>
      <c r="J167" s="4">
        <v>3</v>
      </c>
      <c r="K167" s="4">
        <v>4</v>
      </c>
      <c r="L167" s="379"/>
      <c r="M167" s="388">
        <v>4</v>
      </c>
      <c r="N167" s="379">
        <v>5</v>
      </c>
      <c r="O167" s="379">
        <v>4</v>
      </c>
      <c r="P167" s="427">
        <f t="shared" ref="P167:P175" si="164">SUM(D167:O167)</f>
        <v>30</v>
      </c>
    </row>
    <row r="168" spans="1:16" ht="15.6" x14ac:dyDescent="0.3">
      <c r="A168" s="504"/>
      <c r="B168" s="20" t="s">
        <v>73</v>
      </c>
      <c r="C168" s="345" t="s">
        <v>57</v>
      </c>
      <c r="D168" s="379">
        <v>0</v>
      </c>
      <c r="E168" s="388">
        <v>0</v>
      </c>
      <c r="F168" s="388">
        <v>0</v>
      </c>
      <c r="G168" s="388"/>
      <c r="H168" s="4"/>
      <c r="I168" s="388"/>
      <c r="J168" s="388"/>
      <c r="K168" s="388"/>
      <c r="L168" s="379"/>
      <c r="M168" s="388"/>
      <c r="N168" s="379"/>
      <c r="O168" s="379">
        <v>2</v>
      </c>
      <c r="P168" s="427">
        <f t="shared" si="164"/>
        <v>2</v>
      </c>
    </row>
    <row r="169" spans="1:16" ht="15.6" x14ac:dyDescent="0.3">
      <c r="A169" s="504"/>
      <c r="B169" s="20" t="s">
        <v>72</v>
      </c>
      <c r="C169" s="345" t="s">
        <v>57</v>
      </c>
      <c r="D169" s="379">
        <v>0</v>
      </c>
      <c r="E169" s="388"/>
      <c r="F169" s="388">
        <v>0</v>
      </c>
      <c r="G169" s="388"/>
      <c r="H169" s="4"/>
      <c r="I169" s="388"/>
      <c r="J169" s="388"/>
      <c r="K169" s="388"/>
      <c r="L169" s="379"/>
      <c r="M169" s="388"/>
      <c r="N169" s="379"/>
      <c r="O169" s="379"/>
      <c r="P169" s="427">
        <f t="shared" si="164"/>
        <v>0</v>
      </c>
    </row>
    <row r="170" spans="1:16" ht="15.6" x14ac:dyDescent="0.3">
      <c r="A170" s="504"/>
      <c r="B170" s="20" t="s">
        <v>71</v>
      </c>
      <c r="C170" s="345" t="s">
        <v>57</v>
      </c>
      <c r="D170" s="379">
        <v>0</v>
      </c>
      <c r="E170" s="388"/>
      <c r="F170" s="388">
        <v>0</v>
      </c>
      <c r="G170" s="388"/>
      <c r="H170" s="4"/>
      <c r="I170" s="388"/>
      <c r="J170" s="388"/>
      <c r="K170" s="388"/>
      <c r="L170" s="379"/>
      <c r="M170" s="388"/>
      <c r="N170" s="379"/>
      <c r="O170" s="379"/>
      <c r="P170" s="427">
        <f t="shared" si="164"/>
        <v>0</v>
      </c>
    </row>
    <row r="171" spans="1:16" ht="15.6" x14ac:dyDescent="0.3">
      <c r="A171" s="504"/>
      <c r="B171" s="20" t="s">
        <v>52</v>
      </c>
      <c r="C171" s="345" t="s">
        <v>57</v>
      </c>
      <c r="D171" s="379">
        <v>0</v>
      </c>
      <c r="E171" s="388"/>
      <c r="F171" s="388">
        <v>0</v>
      </c>
      <c r="G171" s="388"/>
      <c r="H171" s="4"/>
      <c r="I171" s="388"/>
      <c r="J171" s="388"/>
      <c r="K171" s="388"/>
      <c r="L171" s="379"/>
      <c r="M171" s="388"/>
      <c r="N171" s="379"/>
      <c r="O171" s="379"/>
      <c r="P171" s="427">
        <f t="shared" si="164"/>
        <v>0</v>
      </c>
    </row>
    <row r="172" spans="1:16" ht="15.6" x14ac:dyDescent="0.3">
      <c r="A172" s="504"/>
      <c r="B172" s="20" t="s">
        <v>62</v>
      </c>
      <c r="C172" s="345" t="s">
        <v>57</v>
      </c>
      <c r="D172" s="379">
        <v>0</v>
      </c>
      <c r="E172" s="388"/>
      <c r="F172" s="388">
        <v>0</v>
      </c>
      <c r="G172" s="388"/>
      <c r="H172" s="4"/>
      <c r="I172" s="388"/>
      <c r="J172" s="388"/>
      <c r="K172" s="388"/>
      <c r="L172" s="379"/>
      <c r="M172" s="388"/>
      <c r="N172" s="379"/>
      <c r="O172" s="379"/>
      <c r="P172" s="427">
        <f t="shared" si="164"/>
        <v>0</v>
      </c>
    </row>
    <row r="173" spans="1:16" ht="15.6" x14ac:dyDescent="0.3">
      <c r="A173" s="504"/>
      <c r="B173" s="20" t="s">
        <v>61</v>
      </c>
      <c r="C173" s="345" t="s">
        <v>57</v>
      </c>
      <c r="D173" s="379"/>
      <c r="E173" s="388"/>
      <c r="F173" s="388">
        <v>0</v>
      </c>
      <c r="G173" s="388"/>
      <c r="H173" s="4"/>
      <c r="I173" s="388"/>
      <c r="J173" s="388"/>
      <c r="K173" s="388"/>
      <c r="L173" s="379"/>
      <c r="M173" s="379"/>
      <c r="N173" s="379"/>
      <c r="O173" s="379"/>
      <c r="P173" s="427">
        <f t="shared" si="164"/>
        <v>0</v>
      </c>
    </row>
    <row r="174" spans="1:16" ht="15.6" x14ac:dyDescent="0.3">
      <c r="A174" s="504"/>
      <c r="B174" s="20" t="s">
        <v>60</v>
      </c>
      <c r="C174" s="345" t="s">
        <v>57</v>
      </c>
      <c r="D174" s="379"/>
      <c r="E174" s="388"/>
      <c r="F174" s="388"/>
      <c r="G174" s="388"/>
      <c r="H174" s="4"/>
      <c r="I174" s="388"/>
      <c r="J174" s="388"/>
      <c r="K174" s="388"/>
      <c r="L174" s="379"/>
      <c r="M174" s="379"/>
      <c r="N174" s="379"/>
      <c r="O174" s="379"/>
      <c r="P174" s="427">
        <f t="shared" si="164"/>
        <v>0</v>
      </c>
    </row>
    <row r="175" spans="1:16" ht="15.6" x14ac:dyDescent="0.3">
      <c r="A175" s="505"/>
      <c r="B175" s="20" t="s">
        <v>69</v>
      </c>
      <c r="C175" s="345" t="s">
        <v>57</v>
      </c>
      <c r="D175" s="379"/>
      <c r="E175" s="388"/>
      <c r="F175" s="388"/>
      <c r="G175" s="388"/>
      <c r="H175" s="4"/>
      <c r="I175" s="388"/>
      <c r="J175" s="388"/>
      <c r="K175" s="388"/>
      <c r="L175" s="379"/>
      <c r="M175" s="379"/>
      <c r="N175" s="379"/>
      <c r="O175" s="379"/>
      <c r="P175" s="427">
        <f t="shared" si="164"/>
        <v>0</v>
      </c>
    </row>
    <row r="176" spans="1:16" ht="15.6" x14ac:dyDescent="0.3">
      <c r="A176" s="503" t="s">
        <v>70</v>
      </c>
      <c r="B176" s="434" t="s">
        <v>63</v>
      </c>
      <c r="C176" s="345"/>
      <c r="D176" s="379"/>
      <c r="E176" s="379"/>
      <c r="F176" s="379"/>
      <c r="G176" s="379"/>
      <c r="H176" s="379"/>
      <c r="I176" s="379"/>
      <c r="J176" s="379"/>
      <c r="K176" s="379"/>
      <c r="L176" s="379"/>
      <c r="M176" s="379"/>
      <c r="N176" s="379"/>
      <c r="O176" s="379"/>
      <c r="P176" s="427"/>
    </row>
    <row r="177" spans="1:16" ht="15.6" x14ac:dyDescent="0.3">
      <c r="A177" s="504"/>
      <c r="B177" s="20" t="s">
        <v>60</v>
      </c>
      <c r="C177" s="345" t="s">
        <v>57</v>
      </c>
      <c r="D177" s="379"/>
      <c r="E177" s="379"/>
      <c r="F177" s="379"/>
      <c r="G177" s="379"/>
      <c r="H177" s="379"/>
      <c r="I177" s="379"/>
      <c r="J177" s="379"/>
      <c r="K177" s="379"/>
      <c r="L177" s="379"/>
      <c r="M177" s="379"/>
      <c r="N177" s="379"/>
      <c r="O177" s="379"/>
      <c r="P177" s="427">
        <f t="shared" ref="P177:P182" si="165">SUM(D177:O177)</f>
        <v>0</v>
      </c>
    </row>
    <row r="178" spans="1:16" ht="15.6" x14ac:dyDescent="0.3">
      <c r="A178" s="504"/>
      <c r="B178" s="20" t="s">
        <v>69</v>
      </c>
      <c r="C178" s="345" t="s">
        <v>57</v>
      </c>
      <c r="D178" s="379"/>
      <c r="E178" s="379"/>
      <c r="F178" s="379"/>
      <c r="G178" s="379"/>
      <c r="H178" s="379"/>
      <c r="I178" s="379"/>
      <c r="J178" s="379"/>
      <c r="K178" s="379"/>
      <c r="L178" s="379"/>
      <c r="M178" s="379"/>
      <c r="N178" s="379"/>
      <c r="O178" s="379"/>
      <c r="P178" s="427">
        <f t="shared" si="165"/>
        <v>0</v>
      </c>
    </row>
    <row r="179" spans="1:16" ht="15.6" x14ac:dyDescent="0.3">
      <c r="A179" s="504"/>
      <c r="B179" s="20" t="s">
        <v>68</v>
      </c>
      <c r="C179" s="345" t="s">
        <v>57</v>
      </c>
      <c r="D179" s="379"/>
      <c r="E179" s="379"/>
      <c r="F179" s="379"/>
      <c r="G179" s="379"/>
      <c r="H179" s="379"/>
      <c r="I179" s="379"/>
      <c r="J179" s="379"/>
      <c r="K179" s="379"/>
      <c r="L179" s="379"/>
      <c r="M179" s="379"/>
      <c r="N179" s="379"/>
      <c r="O179" s="379"/>
      <c r="P179" s="427">
        <f t="shared" si="165"/>
        <v>0</v>
      </c>
    </row>
    <row r="180" spans="1:16" ht="15.6" x14ac:dyDescent="0.3">
      <c r="A180" s="504"/>
      <c r="B180" s="20" t="s">
        <v>67</v>
      </c>
      <c r="C180" s="345" t="s">
        <v>57</v>
      </c>
      <c r="D180" s="379"/>
      <c r="E180" s="379"/>
      <c r="F180" s="379"/>
      <c r="G180" s="379"/>
      <c r="H180" s="379"/>
      <c r="I180" s="379"/>
      <c r="J180" s="379"/>
      <c r="K180" s="379"/>
      <c r="L180" s="379"/>
      <c r="M180" s="379"/>
      <c r="N180" s="379"/>
      <c r="O180" s="379"/>
      <c r="P180" s="427">
        <f t="shared" si="165"/>
        <v>0</v>
      </c>
    </row>
    <row r="181" spans="1:16" ht="15.6" x14ac:dyDescent="0.3">
      <c r="A181" s="504"/>
      <c r="B181" s="20" t="s">
        <v>66</v>
      </c>
      <c r="C181" s="345" t="s">
        <v>57</v>
      </c>
      <c r="D181" s="379"/>
      <c r="E181" s="379">
        <v>0</v>
      </c>
      <c r="F181" s="379">
        <v>0</v>
      </c>
      <c r="G181" s="379"/>
      <c r="H181" s="379"/>
      <c r="I181" s="379"/>
      <c r="J181" s="379"/>
      <c r="K181" s="379"/>
      <c r="L181" s="379"/>
      <c r="M181" s="379"/>
      <c r="N181" s="379"/>
      <c r="O181" s="379"/>
      <c r="P181" s="427">
        <f t="shared" si="165"/>
        <v>0</v>
      </c>
    </row>
    <row r="182" spans="1:16" ht="15.6" x14ac:dyDescent="0.3">
      <c r="A182" s="505"/>
      <c r="B182" s="20" t="s">
        <v>65</v>
      </c>
      <c r="C182" s="345" t="s">
        <v>57</v>
      </c>
      <c r="D182" s="379"/>
      <c r="E182" s="379">
        <v>0</v>
      </c>
      <c r="F182" s="379">
        <v>0</v>
      </c>
      <c r="G182" s="379"/>
      <c r="H182" s="379"/>
      <c r="I182" s="379"/>
      <c r="J182" s="379"/>
      <c r="K182" s="379"/>
      <c r="L182" s="379"/>
      <c r="M182" s="379"/>
      <c r="N182" s="379"/>
      <c r="O182" s="379"/>
      <c r="P182" s="427">
        <f t="shared" si="165"/>
        <v>0</v>
      </c>
    </row>
    <row r="183" spans="1:16" ht="15.6" x14ac:dyDescent="0.3">
      <c r="A183" s="503" t="s">
        <v>209</v>
      </c>
      <c r="B183" s="434" t="s">
        <v>63</v>
      </c>
      <c r="C183" s="345"/>
      <c r="D183" s="379"/>
      <c r="E183" s="379"/>
      <c r="F183" s="379"/>
      <c r="G183" s="379"/>
      <c r="H183" s="379"/>
      <c r="I183" s="379"/>
      <c r="J183" s="379"/>
      <c r="K183" s="379"/>
      <c r="L183" s="379"/>
      <c r="M183" s="379"/>
      <c r="N183" s="379"/>
      <c r="O183" s="379"/>
      <c r="P183" s="427"/>
    </row>
    <row r="184" spans="1:16" ht="15.6" x14ac:dyDescent="0.3">
      <c r="A184" s="504"/>
      <c r="B184" s="20" t="s">
        <v>73</v>
      </c>
      <c r="C184" s="345"/>
      <c r="D184" s="379">
        <v>0</v>
      </c>
      <c r="E184" s="388"/>
      <c r="F184" s="388">
        <v>0</v>
      </c>
      <c r="G184" s="388"/>
      <c r="H184" s="388"/>
      <c r="I184" s="388"/>
      <c r="J184" s="388"/>
      <c r="K184" s="388"/>
      <c r="L184" s="379"/>
      <c r="M184" s="379"/>
      <c r="N184" s="379"/>
      <c r="O184" s="379"/>
      <c r="P184" s="427">
        <f>SUM(D184:O184)</f>
        <v>0</v>
      </c>
    </row>
    <row r="185" spans="1:16" ht="15.6" x14ac:dyDescent="0.3">
      <c r="A185" s="504"/>
      <c r="B185" s="20" t="s">
        <v>72</v>
      </c>
      <c r="C185" s="345"/>
      <c r="D185" s="379">
        <v>0</v>
      </c>
      <c r="E185" s="388">
        <v>0</v>
      </c>
      <c r="F185" s="388">
        <v>0</v>
      </c>
      <c r="G185" s="388"/>
      <c r="H185" s="388"/>
      <c r="I185" s="388"/>
      <c r="J185" s="388"/>
      <c r="K185" s="388"/>
      <c r="L185" s="379"/>
      <c r="M185" s="379"/>
      <c r="N185" s="379"/>
      <c r="O185" s="379"/>
      <c r="P185" s="427">
        <f>SUM(D185:O185)</f>
        <v>0</v>
      </c>
    </row>
    <row r="186" spans="1:16" ht="15.6" x14ac:dyDescent="0.3">
      <c r="A186" s="504"/>
      <c r="B186" s="20" t="s">
        <v>53</v>
      </c>
      <c r="C186" s="345"/>
      <c r="D186" s="379">
        <v>0</v>
      </c>
      <c r="E186" s="388">
        <v>0</v>
      </c>
      <c r="F186" s="388">
        <v>0</v>
      </c>
      <c r="G186" s="388"/>
      <c r="H186" s="388"/>
      <c r="I186" s="388"/>
      <c r="J186" s="388"/>
      <c r="K186" s="388"/>
      <c r="L186" s="379"/>
      <c r="M186" s="379"/>
      <c r="N186" s="379"/>
      <c r="O186" s="379"/>
      <c r="P186" s="427">
        <f>SUM(D186:O186)</f>
        <v>0</v>
      </c>
    </row>
    <row r="187" spans="1:16" ht="15.6" x14ac:dyDescent="0.3">
      <c r="A187" s="505"/>
      <c r="B187" s="20" t="s">
        <v>52</v>
      </c>
      <c r="C187" s="345"/>
      <c r="D187" s="379"/>
      <c r="E187" s="388"/>
      <c r="F187" s="388"/>
      <c r="G187" s="388"/>
      <c r="H187" s="388"/>
      <c r="I187" s="388"/>
      <c r="J187" s="388"/>
      <c r="K187" s="388"/>
      <c r="L187" s="379"/>
      <c r="M187" s="379"/>
      <c r="N187" s="379"/>
      <c r="O187" s="379"/>
      <c r="P187" s="427">
        <f>SUM(D187:O187)</f>
        <v>0</v>
      </c>
    </row>
    <row r="188" spans="1:16" ht="15.6" x14ac:dyDescent="0.3">
      <c r="A188" s="503" t="s">
        <v>64</v>
      </c>
      <c r="B188" s="434" t="s">
        <v>63</v>
      </c>
      <c r="C188" s="345"/>
      <c r="D188" s="379"/>
      <c r="E188" s="388"/>
      <c r="F188" s="388"/>
      <c r="G188" s="388"/>
      <c r="H188" s="388"/>
      <c r="I188" s="388"/>
      <c r="J188" s="388"/>
      <c r="K188" s="388"/>
      <c r="L188" s="379"/>
      <c r="M188" s="379"/>
      <c r="N188" s="379"/>
      <c r="O188" s="379"/>
      <c r="P188" s="427"/>
    </row>
    <row r="189" spans="1:16" ht="15.6" x14ac:dyDescent="0.3">
      <c r="A189" s="504"/>
      <c r="B189" s="20" t="s">
        <v>52</v>
      </c>
      <c r="C189" s="345" t="s">
        <v>57</v>
      </c>
      <c r="D189" s="379"/>
      <c r="E189" s="379"/>
      <c r="F189" s="379"/>
      <c r="G189" s="379"/>
      <c r="H189" s="379"/>
      <c r="I189" s="379"/>
      <c r="J189" s="379"/>
      <c r="K189" s="379"/>
      <c r="L189" s="379"/>
      <c r="M189" s="379"/>
      <c r="N189" s="379"/>
      <c r="O189" s="379"/>
      <c r="P189" s="427">
        <f>SUM(D189:O189)</f>
        <v>0</v>
      </c>
    </row>
    <row r="190" spans="1:16" ht="15.6" x14ac:dyDescent="0.3">
      <c r="A190" s="504"/>
      <c r="B190" s="20" t="s">
        <v>62</v>
      </c>
      <c r="C190" s="345" t="s">
        <v>57</v>
      </c>
      <c r="D190" s="379"/>
      <c r="E190" s="379"/>
      <c r="F190" s="379"/>
      <c r="G190" s="379"/>
      <c r="H190" s="379"/>
      <c r="I190" s="379"/>
      <c r="J190" s="379"/>
      <c r="K190" s="379"/>
      <c r="L190" s="379"/>
      <c r="M190" s="379"/>
      <c r="N190" s="379"/>
      <c r="O190" s="379"/>
      <c r="P190" s="427">
        <f>SUM(D190:O190)</f>
        <v>0</v>
      </c>
    </row>
    <row r="191" spans="1:16" ht="15.6" x14ac:dyDescent="0.3">
      <c r="A191" s="504"/>
      <c r="B191" s="20" t="s">
        <v>61</v>
      </c>
      <c r="C191" s="345" t="s">
        <v>57</v>
      </c>
      <c r="D191" s="379"/>
      <c r="E191" s="379"/>
      <c r="F191" s="379">
        <v>0</v>
      </c>
      <c r="G191" s="379"/>
      <c r="H191" s="379"/>
      <c r="I191" s="379"/>
      <c r="J191" s="379"/>
      <c r="K191" s="379"/>
      <c r="L191" s="379"/>
      <c r="M191" s="379"/>
      <c r="N191" s="379"/>
      <c r="O191" s="379"/>
      <c r="P191" s="427">
        <f>SUM(D191:O191)</f>
        <v>0</v>
      </c>
    </row>
    <row r="192" spans="1:16" ht="15.6" x14ac:dyDescent="0.3">
      <c r="A192" s="505"/>
      <c r="B192" s="20" t="s">
        <v>60</v>
      </c>
      <c r="C192" s="345" t="s">
        <v>57</v>
      </c>
      <c r="D192" s="379"/>
      <c r="E192" s="379"/>
      <c r="F192" s="379"/>
      <c r="G192" s="379"/>
      <c r="H192" s="379"/>
      <c r="I192" s="379"/>
      <c r="J192" s="379"/>
      <c r="K192" s="379"/>
      <c r="L192" s="379"/>
      <c r="M192" s="379"/>
      <c r="N192" s="379"/>
      <c r="O192" s="379"/>
      <c r="P192" s="427">
        <f>SUM(D192:O192)</f>
        <v>0</v>
      </c>
    </row>
    <row r="193" spans="1:16" ht="15.6" x14ac:dyDescent="0.3">
      <c r="A193" s="435" t="s">
        <v>59</v>
      </c>
      <c r="B193" s="436"/>
      <c r="C193" s="345"/>
      <c r="D193" s="437">
        <f>SUM(D153:D192)</f>
        <v>35</v>
      </c>
      <c r="E193" s="437">
        <f>SUM(E153:E192)</f>
        <v>38</v>
      </c>
      <c r="F193" s="437">
        <f t="shared" ref="F193:G193" si="166">SUM(F153:F192)</f>
        <v>29</v>
      </c>
      <c r="G193" s="437">
        <f t="shared" si="166"/>
        <v>79</v>
      </c>
      <c r="H193" s="437">
        <f t="shared" ref="H193:N193" si="167">SUM(H153:H192)</f>
        <v>19</v>
      </c>
      <c r="I193" s="437">
        <f t="shared" si="167"/>
        <v>22</v>
      </c>
      <c r="J193" s="437">
        <f t="shared" si="167"/>
        <v>16</v>
      </c>
      <c r="K193" s="437">
        <f t="shared" si="167"/>
        <v>23</v>
      </c>
      <c r="L193" s="437">
        <f t="shared" si="167"/>
        <v>18</v>
      </c>
      <c r="M193" s="437">
        <f t="shared" si="167"/>
        <v>22</v>
      </c>
      <c r="N193" s="437">
        <f t="shared" si="167"/>
        <v>30</v>
      </c>
      <c r="O193" s="437">
        <v>38</v>
      </c>
      <c r="P193" s="373">
        <f t="shared" ref="P193" si="168">SUM(P153:P192)</f>
        <v>369</v>
      </c>
    </row>
    <row r="194" spans="1:16" ht="15.6" x14ac:dyDescent="0.3">
      <c r="A194" s="479" t="s">
        <v>58</v>
      </c>
      <c r="B194" s="506"/>
      <c r="C194" s="345" t="s">
        <v>57</v>
      </c>
      <c r="D194" s="4">
        <v>37</v>
      </c>
      <c r="E194" s="4">
        <v>33</v>
      </c>
      <c r="F194" s="4"/>
      <c r="G194" s="4"/>
      <c r="H194" s="379"/>
      <c r="I194" s="379"/>
      <c r="J194" s="379"/>
      <c r="K194" s="379"/>
      <c r="L194" s="379"/>
      <c r="M194" s="379"/>
      <c r="N194" s="379"/>
      <c r="O194" s="379"/>
      <c r="P194" s="384">
        <f>SUM(D194:O194)</f>
        <v>70</v>
      </c>
    </row>
    <row r="195" spans="1:16" ht="15.6" x14ac:dyDescent="0.3">
      <c r="A195" s="481"/>
      <c r="B195" s="507"/>
      <c r="C195" s="438" t="s">
        <v>55</v>
      </c>
      <c r="D195" s="379"/>
      <c r="E195" s="4"/>
      <c r="F195" s="4"/>
      <c r="G195" s="4"/>
      <c r="H195" s="379"/>
      <c r="I195" s="379"/>
      <c r="J195" s="379"/>
      <c r="K195" s="379"/>
      <c r="L195" s="379"/>
      <c r="M195" s="379"/>
      <c r="N195" s="379"/>
      <c r="O195" s="379"/>
      <c r="P195" s="384">
        <f>SUM(D195:O195)</f>
        <v>0</v>
      </c>
    </row>
    <row r="196" spans="1:16" ht="15.6" x14ac:dyDescent="0.3">
      <c r="A196" s="439" t="s">
        <v>202</v>
      </c>
      <c r="B196" s="440"/>
      <c r="C196" s="438" t="s">
        <v>55</v>
      </c>
      <c r="D196" s="4">
        <v>21</v>
      </c>
      <c r="E196" s="4">
        <v>23</v>
      </c>
      <c r="F196" s="4">
        <v>24</v>
      </c>
      <c r="G196" s="4">
        <v>24</v>
      </c>
      <c r="H196" s="4">
        <v>24</v>
      </c>
      <c r="I196" s="4">
        <v>24</v>
      </c>
      <c r="J196" s="4">
        <v>22</v>
      </c>
      <c r="K196" s="4">
        <v>22</v>
      </c>
      <c r="L196" s="379">
        <v>22</v>
      </c>
      <c r="M196" s="379"/>
      <c r="N196" s="379"/>
      <c r="O196" s="379"/>
      <c r="P196" s="384">
        <f>SUM(D196:O196)/12</f>
        <v>17.166666666666668</v>
      </c>
    </row>
    <row r="197" spans="1:16" ht="15.6" x14ac:dyDescent="0.3">
      <c r="A197" s="475" t="s">
        <v>56</v>
      </c>
      <c r="B197" s="476"/>
      <c r="C197" s="438" t="s">
        <v>55</v>
      </c>
      <c r="D197" s="379">
        <v>0</v>
      </c>
      <c r="E197" s="4">
        <v>12</v>
      </c>
      <c r="F197" s="4">
        <v>6</v>
      </c>
      <c r="G197" s="4">
        <v>66</v>
      </c>
      <c r="H197" s="4">
        <v>44</v>
      </c>
      <c r="I197" s="4">
        <v>38</v>
      </c>
      <c r="J197" s="4">
        <v>31</v>
      </c>
      <c r="K197" s="4">
        <v>96</v>
      </c>
      <c r="L197" s="379"/>
      <c r="M197" s="379"/>
      <c r="N197" s="379">
        <v>30</v>
      </c>
      <c r="O197" s="379"/>
      <c r="P197" s="384">
        <f>SUM(D197:O197)</f>
        <v>323</v>
      </c>
    </row>
    <row r="198" spans="1:16" x14ac:dyDescent="0.3">
      <c r="A198" s="472" t="s">
        <v>203</v>
      </c>
      <c r="B198" s="473"/>
      <c r="C198" s="473"/>
      <c r="D198" s="473"/>
      <c r="E198" s="473"/>
      <c r="F198" s="473"/>
      <c r="G198" s="473"/>
      <c r="H198" s="473"/>
      <c r="I198" s="473"/>
      <c r="J198" s="473"/>
      <c r="K198" s="473"/>
      <c r="L198" s="473"/>
      <c r="M198" s="473"/>
      <c r="N198" s="473"/>
      <c r="O198" s="473"/>
      <c r="P198" s="474"/>
    </row>
    <row r="199" spans="1:16" ht="15.6" x14ac:dyDescent="0.3">
      <c r="A199" s="479" t="s">
        <v>54</v>
      </c>
      <c r="B199" s="355" t="s">
        <v>53</v>
      </c>
      <c r="C199" s="345" t="s">
        <v>47</v>
      </c>
      <c r="D199" s="379"/>
      <c r="E199" s="379"/>
      <c r="F199" s="379"/>
      <c r="G199" s="379"/>
      <c r="H199" s="379"/>
      <c r="I199" s="379"/>
      <c r="J199" s="379"/>
      <c r="K199" s="379"/>
      <c r="L199" s="379"/>
      <c r="M199" s="379"/>
      <c r="N199" s="379"/>
      <c r="O199" s="379"/>
      <c r="P199" s="384">
        <f t="shared" ref="P199:P204" si="169">SUM(D199:O199)</f>
        <v>0</v>
      </c>
    </row>
    <row r="200" spans="1:16" ht="15.6" x14ac:dyDescent="0.3">
      <c r="A200" s="480"/>
      <c r="B200" s="355" t="s">
        <v>52</v>
      </c>
      <c r="C200" s="345" t="s">
        <v>47</v>
      </c>
      <c r="D200" s="379"/>
      <c r="E200" s="379"/>
      <c r="F200" s="379"/>
      <c r="G200" s="379"/>
      <c r="H200" s="379"/>
      <c r="I200" s="379"/>
      <c r="J200" s="379"/>
      <c r="K200" s="379"/>
      <c r="L200" s="379"/>
      <c r="M200" s="379"/>
      <c r="N200" s="379"/>
      <c r="O200" s="379"/>
      <c r="P200" s="384">
        <f t="shared" si="169"/>
        <v>0</v>
      </c>
    </row>
    <row r="201" spans="1:16" ht="15.6" x14ac:dyDescent="0.3">
      <c r="A201" s="480"/>
      <c r="B201" s="355" t="s">
        <v>51</v>
      </c>
      <c r="C201" s="345" t="s">
        <v>47</v>
      </c>
      <c r="D201" s="379"/>
      <c r="E201" s="379"/>
      <c r="F201" s="379"/>
      <c r="G201" s="379"/>
      <c r="H201" s="379"/>
      <c r="I201" s="379"/>
      <c r="J201" s="379"/>
      <c r="K201" s="379"/>
      <c r="L201" s="379"/>
      <c r="M201" s="379"/>
      <c r="N201" s="379"/>
      <c r="O201" s="379"/>
      <c r="P201" s="384">
        <f t="shared" si="169"/>
        <v>0</v>
      </c>
    </row>
    <row r="202" spans="1:16" ht="15.6" x14ac:dyDescent="0.3">
      <c r="A202" s="480"/>
      <c r="B202" s="355" t="s">
        <v>50</v>
      </c>
      <c r="C202" s="345" t="s">
        <v>47</v>
      </c>
      <c r="D202" s="379"/>
      <c r="E202" s="379"/>
      <c r="F202" s="379"/>
      <c r="G202" s="379"/>
      <c r="H202" s="379"/>
      <c r="I202" s="379"/>
      <c r="J202" s="379"/>
      <c r="K202" s="379"/>
      <c r="L202" s="379"/>
      <c r="M202" s="379"/>
      <c r="N202" s="379"/>
      <c r="O202" s="379"/>
      <c r="P202" s="384">
        <f t="shared" si="169"/>
        <v>0</v>
      </c>
    </row>
    <row r="203" spans="1:16" ht="15.6" x14ac:dyDescent="0.3">
      <c r="A203" s="481"/>
      <c r="B203" s="355" t="s">
        <v>49</v>
      </c>
      <c r="C203" s="345" t="s">
        <v>47</v>
      </c>
      <c r="D203" s="379"/>
      <c r="E203" s="379"/>
      <c r="F203" s="379"/>
      <c r="G203" s="379"/>
      <c r="H203" s="379"/>
      <c r="I203" s="379"/>
      <c r="J203" s="379"/>
      <c r="K203" s="379"/>
      <c r="L203" s="379"/>
      <c r="M203" s="379"/>
      <c r="N203" s="379"/>
      <c r="O203" s="379"/>
      <c r="P203" s="384">
        <f t="shared" si="169"/>
        <v>0</v>
      </c>
    </row>
    <row r="204" spans="1:16" ht="15.6" x14ac:dyDescent="0.3">
      <c r="A204" s="441" t="s">
        <v>48</v>
      </c>
      <c r="B204" s="355"/>
      <c r="C204" s="345" t="s">
        <v>47</v>
      </c>
      <c r="D204" s="372">
        <f t="shared" ref="D204:N204" si="170">SUM(D199:D203)</f>
        <v>0</v>
      </c>
      <c r="E204" s="372">
        <f t="shared" si="170"/>
        <v>0</v>
      </c>
      <c r="F204" s="372">
        <f t="shared" si="170"/>
        <v>0</v>
      </c>
      <c r="G204" s="372">
        <f t="shared" si="170"/>
        <v>0</v>
      </c>
      <c r="H204" s="372">
        <f t="shared" si="170"/>
        <v>0</v>
      </c>
      <c r="I204" s="372">
        <f t="shared" si="170"/>
        <v>0</v>
      </c>
      <c r="J204" s="372">
        <f t="shared" si="170"/>
        <v>0</v>
      </c>
      <c r="K204" s="372">
        <f t="shared" si="170"/>
        <v>0</v>
      </c>
      <c r="L204" s="372">
        <f t="shared" si="170"/>
        <v>0</v>
      </c>
      <c r="M204" s="372">
        <f t="shared" si="170"/>
        <v>0</v>
      </c>
      <c r="N204" s="372">
        <f t="shared" si="170"/>
        <v>0</v>
      </c>
      <c r="O204" s="372">
        <v>0</v>
      </c>
      <c r="P204" s="442">
        <f t="shared" si="169"/>
        <v>0</v>
      </c>
    </row>
    <row r="205" spans="1:16" s="351" customFormat="1" x14ac:dyDescent="0.3">
      <c r="A205" s="472" t="s">
        <v>46</v>
      </c>
      <c r="B205" s="473"/>
      <c r="C205" s="473"/>
      <c r="D205" s="473"/>
      <c r="E205" s="473"/>
      <c r="F205" s="473"/>
      <c r="G205" s="473"/>
      <c r="H205" s="473"/>
      <c r="I205" s="473"/>
      <c r="J205" s="473"/>
      <c r="K205" s="473"/>
      <c r="L205" s="473"/>
      <c r="M205" s="473"/>
      <c r="N205" s="473"/>
      <c r="O205" s="473"/>
      <c r="P205" s="474"/>
    </row>
    <row r="206" spans="1:16" ht="15.6" x14ac:dyDescent="0.3">
      <c r="A206" s="475" t="s">
        <v>43</v>
      </c>
      <c r="B206" s="476"/>
      <c r="C206" s="345" t="s">
        <v>31</v>
      </c>
      <c r="D206" s="551">
        <f>23200+317378.62+1851164.07</f>
        <v>2191742.69</v>
      </c>
      <c r="E206" s="13">
        <f>3700+535588+2847077.66</f>
        <v>3386365.66</v>
      </c>
      <c r="F206" s="13">
        <f>43320+976272+5509537</f>
        <v>6529129</v>
      </c>
      <c r="G206" s="13">
        <f>22400+585358+3544257</f>
        <v>4152015</v>
      </c>
      <c r="H206" s="13">
        <f>25200+181050+1523332</f>
        <v>1729582</v>
      </c>
      <c r="I206" s="13">
        <f>45000+861199+4396983</f>
        <v>5303182</v>
      </c>
      <c r="J206" s="13">
        <f>479828+2530354</f>
        <v>3010182</v>
      </c>
      <c r="K206" s="13">
        <f>29050+1298566+6009537</f>
        <v>7337153</v>
      </c>
      <c r="L206" s="374">
        <v>2902653</v>
      </c>
      <c r="M206" s="13">
        <f>29500+524187+3554463</f>
        <v>4108150</v>
      </c>
      <c r="N206" s="374">
        <v>2659149</v>
      </c>
      <c r="O206" s="374">
        <v>4397803</v>
      </c>
      <c r="P206" s="384">
        <f>SUM(D206:O206)</f>
        <v>47707106.350000001</v>
      </c>
    </row>
    <row r="207" spans="1:16" ht="15.6" x14ac:dyDescent="0.3">
      <c r="A207" s="475" t="s">
        <v>42</v>
      </c>
      <c r="B207" s="476"/>
      <c r="C207" s="345" t="s">
        <v>31</v>
      </c>
      <c r="D207" s="551">
        <v>156600</v>
      </c>
      <c r="E207" s="13">
        <v>243300</v>
      </c>
      <c r="F207" s="13">
        <v>875083</v>
      </c>
      <c r="G207" s="13">
        <v>241000</v>
      </c>
      <c r="H207" s="13">
        <v>159450</v>
      </c>
      <c r="I207" s="13">
        <v>223600</v>
      </c>
      <c r="J207" s="13">
        <v>90400</v>
      </c>
      <c r="K207" s="13">
        <v>380420</v>
      </c>
      <c r="L207" s="374">
        <v>130650</v>
      </c>
      <c r="M207" s="13">
        <v>262900</v>
      </c>
      <c r="N207" s="374">
        <v>67200</v>
      </c>
      <c r="O207" s="374">
        <v>163400</v>
      </c>
      <c r="P207" s="384">
        <f>SUM(D207:O207)</f>
        <v>2994003</v>
      </c>
    </row>
    <row r="208" spans="1:16" ht="15.6" x14ac:dyDescent="0.3">
      <c r="A208" s="482" t="s">
        <v>41</v>
      </c>
      <c r="B208" s="483"/>
      <c r="C208" s="345" t="s">
        <v>31</v>
      </c>
      <c r="D208" s="374">
        <v>0</v>
      </c>
      <c r="E208" s="13">
        <v>106100</v>
      </c>
      <c r="F208" s="13"/>
      <c r="G208" s="13"/>
      <c r="H208" s="374"/>
      <c r="I208" s="374"/>
      <c r="J208" s="374"/>
      <c r="K208" s="374"/>
      <c r="L208" s="374"/>
      <c r="M208" s="13">
        <v>492240</v>
      </c>
      <c r="N208" s="374">
        <v>40000</v>
      </c>
      <c r="O208" s="374"/>
      <c r="P208" s="384">
        <f>SUM(D208:O208)</f>
        <v>638340</v>
      </c>
    </row>
    <row r="209" spans="1:16" ht="15.6" x14ac:dyDescent="0.3">
      <c r="A209" s="475" t="s">
        <v>40</v>
      </c>
      <c r="B209" s="476"/>
      <c r="C209" s="345" t="s">
        <v>31</v>
      </c>
      <c r="D209" s="374">
        <v>0</v>
      </c>
      <c r="E209" s="13">
        <v>50000</v>
      </c>
      <c r="F209" s="13">
        <v>69222</v>
      </c>
      <c r="G209" s="13"/>
      <c r="H209" s="374"/>
      <c r="I209" s="13">
        <v>11200</v>
      </c>
      <c r="J209" s="374"/>
      <c r="K209" s="374"/>
      <c r="L209" s="374">
        <v>10000</v>
      </c>
      <c r="M209" s="13">
        <v>116850</v>
      </c>
      <c r="N209" s="374">
        <v>36000</v>
      </c>
      <c r="O209" s="374">
        <v>36000</v>
      </c>
      <c r="P209" s="384">
        <f>SUM(D209:O209)</f>
        <v>329272</v>
      </c>
    </row>
    <row r="210" spans="1:16" ht="15.6" x14ac:dyDescent="0.3">
      <c r="A210" s="477" t="s">
        <v>45</v>
      </c>
      <c r="B210" s="478"/>
      <c r="C210" s="345" t="s">
        <v>31</v>
      </c>
      <c r="D210" s="437">
        <f t="shared" ref="D210:N210" si="171">SUM(D206:D209)</f>
        <v>2348342.69</v>
      </c>
      <c r="E210" s="437">
        <f t="shared" si="171"/>
        <v>3785765.66</v>
      </c>
      <c r="F210" s="437">
        <f t="shared" si="171"/>
        <v>7473434</v>
      </c>
      <c r="G210" s="437">
        <f t="shared" si="171"/>
        <v>4393015</v>
      </c>
      <c r="H210" s="437">
        <f t="shared" si="171"/>
        <v>1889032</v>
      </c>
      <c r="I210" s="437">
        <f t="shared" si="171"/>
        <v>5537982</v>
      </c>
      <c r="J210" s="437">
        <f t="shared" si="171"/>
        <v>3100582</v>
      </c>
      <c r="K210" s="437">
        <f t="shared" si="171"/>
        <v>7717573</v>
      </c>
      <c r="L210" s="437">
        <f t="shared" si="171"/>
        <v>3043303</v>
      </c>
      <c r="M210" s="437">
        <f t="shared" si="171"/>
        <v>4980140</v>
      </c>
      <c r="N210" s="437">
        <f t="shared" si="171"/>
        <v>2802349</v>
      </c>
      <c r="O210" s="437">
        <v>4597203</v>
      </c>
      <c r="P210" s="384">
        <f>SUM(D210:O210)</f>
        <v>51668721.350000001</v>
      </c>
    </row>
    <row r="211" spans="1:16" s="351" customFormat="1" x14ac:dyDescent="0.3">
      <c r="A211" s="472" t="s">
        <v>44</v>
      </c>
      <c r="B211" s="473"/>
      <c r="C211" s="473"/>
      <c r="D211" s="473"/>
      <c r="E211" s="473"/>
      <c r="F211" s="473"/>
      <c r="G211" s="473"/>
      <c r="H211" s="473"/>
      <c r="I211" s="473"/>
      <c r="J211" s="473"/>
      <c r="K211" s="473"/>
      <c r="L211" s="473"/>
      <c r="M211" s="473"/>
      <c r="N211" s="473"/>
      <c r="O211" s="473"/>
      <c r="P211" s="474"/>
    </row>
    <row r="212" spans="1:16" ht="15.6" x14ac:dyDescent="0.3">
      <c r="A212" s="475" t="s">
        <v>43</v>
      </c>
      <c r="B212" s="476"/>
      <c r="C212" s="345" t="s">
        <v>31</v>
      </c>
      <c r="D212" s="374">
        <v>0</v>
      </c>
      <c r="E212" s="13"/>
      <c r="F212" s="13"/>
      <c r="G212" s="13"/>
      <c r="H212" s="374"/>
      <c r="I212" s="374"/>
      <c r="J212" s="374"/>
      <c r="K212" s="374"/>
      <c r="L212" s="374"/>
      <c r="M212" s="374"/>
      <c r="N212" s="374"/>
      <c r="O212" s="374"/>
      <c r="P212" s="384">
        <f>SUM(D212:O212)</f>
        <v>0</v>
      </c>
    </row>
    <row r="213" spans="1:16" ht="15.6" x14ac:dyDescent="0.3">
      <c r="A213" s="475" t="s">
        <v>42</v>
      </c>
      <c r="B213" s="476"/>
      <c r="C213" s="345" t="s">
        <v>31</v>
      </c>
      <c r="D213" s="374">
        <v>0</v>
      </c>
      <c r="E213" s="13"/>
      <c r="F213" s="13"/>
      <c r="G213" s="13"/>
      <c r="H213" s="374"/>
      <c r="I213" s="374"/>
      <c r="J213" s="374"/>
      <c r="K213" s="374"/>
      <c r="L213" s="374"/>
      <c r="M213" s="374"/>
      <c r="N213" s="374"/>
      <c r="O213" s="374"/>
      <c r="P213" s="384">
        <f>SUM(D213:O213)</f>
        <v>0</v>
      </c>
    </row>
    <row r="214" spans="1:16" ht="15.6" x14ac:dyDescent="0.3">
      <c r="A214" s="482" t="s">
        <v>41</v>
      </c>
      <c r="B214" s="483"/>
      <c r="C214" s="345" t="s">
        <v>31</v>
      </c>
      <c r="D214" s="374">
        <v>0</v>
      </c>
      <c r="E214" s="13"/>
      <c r="F214" s="13"/>
      <c r="G214" s="13"/>
      <c r="H214" s="374"/>
      <c r="I214" s="374"/>
      <c r="J214" s="374"/>
      <c r="K214" s="374"/>
      <c r="L214" s="374"/>
      <c r="M214" s="374"/>
      <c r="N214" s="374"/>
      <c r="O214" s="374"/>
      <c r="P214" s="384">
        <f>SUM(D214:O214)</f>
        <v>0</v>
      </c>
    </row>
    <row r="215" spans="1:16" ht="15.6" x14ac:dyDescent="0.3">
      <c r="A215" s="475" t="s">
        <v>40</v>
      </c>
      <c r="B215" s="476"/>
      <c r="C215" s="345" t="s">
        <v>31</v>
      </c>
      <c r="D215" s="551">
        <v>2789893</v>
      </c>
      <c r="E215" s="13">
        <v>5403639.0700000003</v>
      </c>
      <c r="F215" s="13">
        <v>2491931</v>
      </c>
      <c r="G215" s="13">
        <v>3101671.34</v>
      </c>
      <c r="H215" s="13">
        <v>6829429.6600000001</v>
      </c>
      <c r="I215" s="13">
        <v>2749780</v>
      </c>
      <c r="J215" s="13">
        <v>2709450</v>
      </c>
      <c r="K215" s="13">
        <v>2852759.26</v>
      </c>
      <c r="L215" s="374">
        <v>3070172.32</v>
      </c>
      <c r="M215" s="13">
        <v>2632515</v>
      </c>
      <c r="N215" s="374">
        <v>4442550</v>
      </c>
      <c r="O215" s="374">
        <v>3428174</v>
      </c>
      <c r="P215" s="384">
        <f>SUM(D215:O215)</f>
        <v>42501964.649999999</v>
      </c>
    </row>
    <row r="216" spans="1:16" ht="15.6" x14ac:dyDescent="0.3">
      <c r="A216" s="477" t="s">
        <v>39</v>
      </c>
      <c r="B216" s="478"/>
      <c r="C216" s="345" t="s">
        <v>31</v>
      </c>
      <c r="D216" s="437">
        <f t="shared" ref="D216:N216" si="172">SUM(D212:D215)</f>
        <v>2789893</v>
      </c>
      <c r="E216" s="437">
        <f t="shared" si="172"/>
        <v>5403639.0700000003</v>
      </c>
      <c r="F216" s="437">
        <f t="shared" si="172"/>
        <v>2491931</v>
      </c>
      <c r="G216" s="437">
        <f t="shared" si="172"/>
        <v>3101671.34</v>
      </c>
      <c r="H216" s="437">
        <f t="shared" si="172"/>
        <v>6829429.6600000001</v>
      </c>
      <c r="I216" s="437">
        <f t="shared" si="172"/>
        <v>2749780</v>
      </c>
      <c r="J216" s="437">
        <f t="shared" si="172"/>
        <v>2709450</v>
      </c>
      <c r="K216" s="437">
        <f t="shared" si="172"/>
        <v>2852759.26</v>
      </c>
      <c r="L216" s="437">
        <f t="shared" si="172"/>
        <v>3070172.32</v>
      </c>
      <c r="M216" s="437">
        <f t="shared" si="172"/>
        <v>2632515</v>
      </c>
      <c r="N216" s="437">
        <f t="shared" si="172"/>
        <v>4442550</v>
      </c>
      <c r="O216" s="437">
        <v>3428174</v>
      </c>
      <c r="P216" s="384">
        <f>SUM(D216:O216)</f>
        <v>42501964.649999999</v>
      </c>
    </row>
    <row r="217" spans="1:16" s="351" customFormat="1" ht="15.6" x14ac:dyDescent="0.3">
      <c r="A217" s="443" t="s">
        <v>38</v>
      </c>
      <c r="B217" s="444"/>
      <c r="C217" s="345" t="s">
        <v>31</v>
      </c>
      <c r="D217" s="437">
        <f>D210+D216</f>
        <v>5138235.6899999995</v>
      </c>
      <c r="E217" s="437">
        <f t="shared" ref="E217:P217" si="173">E210+E216</f>
        <v>9189404.7300000004</v>
      </c>
      <c r="F217" s="437">
        <f t="shared" si="173"/>
        <v>9965365</v>
      </c>
      <c r="G217" s="437">
        <f t="shared" si="173"/>
        <v>7494686.3399999999</v>
      </c>
      <c r="H217" s="437">
        <f t="shared" si="173"/>
        <v>8718461.6600000001</v>
      </c>
      <c r="I217" s="437">
        <f t="shared" si="173"/>
        <v>8287762</v>
      </c>
      <c r="J217" s="437">
        <f t="shared" si="173"/>
        <v>5810032</v>
      </c>
      <c r="K217" s="437">
        <f t="shared" si="173"/>
        <v>10570332.26</v>
      </c>
      <c r="L217" s="437">
        <f t="shared" si="173"/>
        <v>6113475.3200000003</v>
      </c>
      <c r="M217" s="437">
        <f t="shared" si="173"/>
        <v>7612655</v>
      </c>
      <c r="N217" s="437">
        <f t="shared" si="173"/>
        <v>7244899</v>
      </c>
      <c r="O217" s="437">
        <v>8025377</v>
      </c>
      <c r="P217" s="380">
        <f t="shared" si="173"/>
        <v>94170686</v>
      </c>
    </row>
    <row r="218" spans="1:16" s="351" customFormat="1" x14ac:dyDescent="0.3">
      <c r="A218" s="472" t="s">
        <v>37</v>
      </c>
      <c r="B218" s="473"/>
      <c r="C218" s="473"/>
      <c r="D218" s="473"/>
      <c r="E218" s="473"/>
      <c r="F218" s="473"/>
      <c r="G218" s="473"/>
      <c r="H218" s="473"/>
      <c r="I218" s="473"/>
      <c r="J218" s="473"/>
      <c r="K218" s="473"/>
      <c r="L218" s="473"/>
      <c r="M218" s="473"/>
      <c r="N218" s="473"/>
      <c r="O218" s="473"/>
      <c r="P218" s="474"/>
    </row>
    <row r="219" spans="1:16" ht="15.6" x14ac:dyDescent="0.3">
      <c r="A219" s="475" t="s">
        <v>35</v>
      </c>
      <c r="B219" s="476"/>
      <c r="C219" s="345" t="s">
        <v>31</v>
      </c>
      <c r="D219" s="551">
        <f>14920.35+365856.15+2509201.56</f>
        <v>2889978.06</v>
      </c>
      <c r="E219" s="374">
        <v>109485620.78999999</v>
      </c>
      <c r="F219" s="374">
        <v>102739174.89</v>
      </c>
      <c r="G219" s="13">
        <f>32073+578622+3053168</f>
        <v>3663863</v>
      </c>
      <c r="H219" s="13">
        <f>22380.57+706974.91+3260536.65</f>
        <v>3989892.13</v>
      </c>
      <c r="I219" s="13">
        <f>23980+677081+3500315</f>
        <v>4201376</v>
      </c>
      <c r="J219" s="13">
        <f>684673.32+3851071.6+28778.41</f>
        <v>4564523.33</v>
      </c>
      <c r="K219" s="13">
        <f>33084+686814+3877297</f>
        <v>4597195</v>
      </c>
      <c r="L219" s="374">
        <v>4219627</v>
      </c>
      <c r="M219" s="13">
        <f>20207.66+580384.23+3187229.24</f>
        <v>3787821.1300000004</v>
      </c>
      <c r="N219" s="374">
        <v>3817277</v>
      </c>
      <c r="O219" s="374">
        <v>3229856</v>
      </c>
      <c r="P219" s="384">
        <f>SUM(D219:O219)</f>
        <v>251186204.33000001</v>
      </c>
    </row>
    <row r="220" spans="1:16" ht="15.6" x14ac:dyDescent="0.3">
      <c r="A220" s="475" t="s">
        <v>34</v>
      </c>
      <c r="B220" s="476"/>
      <c r="C220" s="345" t="s">
        <v>31</v>
      </c>
      <c r="D220" s="551">
        <v>391774.17</v>
      </c>
      <c r="E220" s="374">
        <v>1686906.89</v>
      </c>
      <c r="F220" s="374">
        <v>1279482.6200000001</v>
      </c>
      <c r="G220" s="13">
        <v>294917</v>
      </c>
      <c r="H220" s="13">
        <v>309871.98</v>
      </c>
      <c r="I220" s="13">
        <v>204321</v>
      </c>
      <c r="J220" s="13">
        <v>224491.99</v>
      </c>
      <c r="K220" s="13">
        <v>229361</v>
      </c>
      <c r="L220" s="374">
        <v>210059</v>
      </c>
      <c r="M220" s="13">
        <v>178932.81</v>
      </c>
      <c r="N220" s="374">
        <v>174759</v>
      </c>
      <c r="O220" s="374">
        <v>161718</v>
      </c>
      <c r="P220" s="384">
        <f>SUM(D220:O220)</f>
        <v>5346595.459999999</v>
      </c>
    </row>
    <row r="221" spans="1:16" ht="15.6" x14ac:dyDescent="0.3">
      <c r="A221" s="475" t="s">
        <v>33</v>
      </c>
      <c r="B221" s="476"/>
      <c r="C221" s="345" t="s">
        <v>31</v>
      </c>
      <c r="D221" s="551">
        <v>125660.86</v>
      </c>
      <c r="E221" s="374">
        <v>242474763.22</v>
      </c>
      <c r="F221" s="374">
        <v>241441388.69</v>
      </c>
      <c r="G221" s="13">
        <v>203508</v>
      </c>
      <c r="H221" s="13">
        <v>143736.98000000001</v>
      </c>
      <c r="I221" s="13">
        <v>152078</v>
      </c>
      <c r="J221" s="13">
        <v>95315.95</v>
      </c>
      <c r="K221" s="13">
        <v>162700</v>
      </c>
      <c r="L221" s="374">
        <v>510433</v>
      </c>
      <c r="M221" s="13">
        <v>135756.35999999999</v>
      </c>
      <c r="N221" s="374">
        <v>106865</v>
      </c>
      <c r="O221" s="374">
        <v>103501</v>
      </c>
      <c r="P221" s="384">
        <f>SUM(D221:O221)</f>
        <v>485655707.06</v>
      </c>
    </row>
    <row r="222" spans="1:16" ht="15.6" x14ac:dyDescent="0.3">
      <c r="A222" s="475" t="s">
        <v>32</v>
      </c>
      <c r="B222" s="476"/>
      <c r="C222" s="345" t="s">
        <v>31</v>
      </c>
      <c r="D222" s="551">
        <v>10195.14</v>
      </c>
      <c r="E222" s="374">
        <v>2965543.5</v>
      </c>
      <c r="F222" s="374">
        <v>2846076.25</v>
      </c>
      <c r="G222" s="13">
        <v>15293</v>
      </c>
      <c r="H222" s="13"/>
      <c r="I222" s="13">
        <v>72138</v>
      </c>
      <c r="J222" s="374"/>
      <c r="K222" s="374"/>
      <c r="L222" s="374"/>
      <c r="M222" s="374"/>
      <c r="N222" s="374"/>
      <c r="O222" s="374"/>
      <c r="P222" s="384">
        <f>SUM(D222:O222)</f>
        <v>5909245.8900000006</v>
      </c>
    </row>
    <row r="223" spans="1:16" ht="15.6" x14ac:dyDescent="0.3">
      <c r="A223" s="477" t="s">
        <v>36</v>
      </c>
      <c r="B223" s="478"/>
      <c r="C223" s="345" t="s">
        <v>31</v>
      </c>
      <c r="D223" s="445">
        <f t="shared" ref="D223:N223" si="174">SUM(D219:D222)</f>
        <v>3417608.23</v>
      </c>
      <c r="E223" s="437">
        <f t="shared" si="174"/>
        <v>356612834.39999998</v>
      </c>
      <c r="F223" s="437">
        <f t="shared" si="174"/>
        <v>348306122.44999999</v>
      </c>
      <c r="G223" s="437">
        <f t="shared" si="174"/>
        <v>4177581</v>
      </c>
      <c r="H223" s="437">
        <f t="shared" si="174"/>
        <v>4443501.09</v>
      </c>
      <c r="I223" s="437">
        <f t="shared" si="174"/>
        <v>4629913</v>
      </c>
      <c r="J223" s="446">
        <f t="shared" si="174"/>
        <v>4884331.2700000005</v>
      </c>
      <c r="K223" s="446">
        <f t="shared" si="174"/>
        <v>4989256</v>
      </c>
      <c r="L223" s="446">
        <f t="shared" si="174"/>
        <v>4940119</v>
      </c>
      <c r="M223" s="446">
        <f t="shared" si="174"/>
        <v>4102510.3000000003</v>
      </c>
      <c r="N223" s="446">
        <f t="shared" si="174"/>
        <v>4098901</v>
      </c>
      <c r="O223" s="446">
        <v>3495075</v>
      </c>
      <c r="P223" s="384">
        <f>SUM(D223:O223)</f>
        <v>748097752.73999989</v>
      </c>
    </row>
    <row r="224" spans="1:16" x14ac:dyDescent="0.3">
      <c r="A224" s="472" t="s">
        <v>211</v>
      </c>
      <c r="B224" s="473"/>
      <c r="C224" s="473"/>
      <c r="D224" s="473"/>
      <c r="E224" s="473"/>
      <c r="F224" s="473"/>
      <c r="G224" s="473"/>
      <c r="H224" s="473"/>
      <c r="I224" s="473"/>
      <c r="J224" s="473"/>
      <c r="K224" s="473"/>
      <c r="L224" s="473"/>
      <c r="M224" s="473"/>
      <c r="N224" s="473"/>
      <c r="O224" s="473"/>
      <c r="P224" s="474"/>
    </row>
    <row r="225" spans="1:16" ht="15.6" x14ac:dyDescent="0.3">
      <c r="A225" s="475" t="s">
        <v>35</v>
      </c>
      <c r="B225" s="476"/>
      <c r="C225" s="345" t="s">
        <v>31</v>
      </c>
      <c r="D225" s="374">
        <v>0</v>
      </c>
      <c r="E225" s="13"/>
      <c r="F225" s="13"/>
      <c r="G225" s="13"/>
      <c r="H225" s="374"/>
      <c r="I225" s="374"/>
      <c r="J225" s="374"/>
      <c r="K225" s="374"/>
      <c r="L225" s="374"/>
      <c r="M225" s="374"/>
      <c r="N225" s="374"/>
      <c r="O225" s="374"/>
      <c r="P225" s="384">
        <f t="shared" ref="P225:P230" si="175">SUM(D225:O225)</f>
        <v>0</v>
      </c>
    </row>
    <row r="226" spans="1:16" ht="15.6" x14ac:dyDescent="0.3">
      <c r="A226" s="475" t="s">
        <v>34</v>
      </c>
      <c r="B226" s="476"/>
      <c r="C226" s="345" t="s">
        <v>31</v>
      </c>
      <c r="D226" s="374">
        <v>0</v>
      </c>
      <c r="E226" s="13"/>
      <c r="F226" s="13"/>
      <c r="G226" s="13"/>
      <c r="H226" s="374"/>
      <c r="I226" s="374"/>
      <c r="J226" s="374"/>
      <c r="K226" s="374"/>
      <c r="L226" s="374"/>
      <c r="M226" s="374"/>
      <c r="N226" s="374"/>
      <c r="O226" s="374"/>
      <c r="P226" s="384">
        <f t="shared" si="175"/>
        <v>0</v>
      </c>
    </row>
    <row r="227" spans="1:16" ht="15.6" x14ac:dyDescent="0.3">
      <c r="A227" s="475" t="s">
        <v>33</v>
      </c>
      <c r="B227" s="476"/>
      <c r="C227" s="345" t="s">
        <v>31</v>
      </c>
      <c r="D227" s="553">
        <v>2680063.4900000002</v>
      </c>
      <c r="E227" s="13">
        <v>5329890.71</v>
      </c>
      <c r="F227" s="13">
        <v>2420985.7999999998</v>
      </c>
      <c r="G227" s="13">
        <v>3006847.33</v>
      </c>
      <c r="H227" s="13">
        <v>6716840.8700000001</v>
      </c>
      <c r="I227" s="13">
        <v>2673251.84</v>
      </c>
      <c r="J227" s="13">
        <v>2639195.27</v>
      </c>
      <c r="K227" s="13">
        <v>2823381.44</v>
      </c>
      <c r="L227" s="374">
        <v>3037162.53</v>
      </c>
      <c r="M227" s="13">
        <v>2608438.77</v>
      </c>
      <c r="N227" s="374">
        <v>4410251.8499999996</v>
      </c>
      <c r="O227" s="374">
        <v>3408434</v>
      </c>
      <c r="P227" s="384">
        <f t="shared" si="175"/>
        <v>41754743.900000006</v>
      </c>
    </row>
    <row r="228" spans="1:16" ht="15.6" x14ac:dyDescent="0.3">
      <c r="A228" s="475" t="s">
        <v>32</v>
      </c>
      <c r="B228" s="476"/>
      <c r="C228" s="345" t="s">
        <v>31</v>
      </c>
      <c r="D228" s="374">
        <v>0</v>
      </c>
      <c r="E228" s="13"/>
      <c r="F228" s="13"/>
      <c r="G228" s="13"/>
      <c r="H228" s="374"/>
      <c r="I228" s="374"/>
      <c r="J228" s="374"/>
      <c r="K228" s="374"/>
      <c r="L228" s="374"/>
      <c r="M228" s="374"/>
      <c r="N228" s="374"/>
      <c r="O228" s="374"/>
      <c r="P228" s="384">
        <f t="shared" si="175"/>
        <v>0</v>
      </c>
    </row>
    <row r="229" spans="1:16" ht="15.6" x14ac:dyDescent="0.3">
      <c r="A229" s="477" t="s">
        <v>212</v>
      </c>
      <c r="B229" s="478"/>
      <c r="C229" s="345" t="s">
        <v>31</v>
      </c>
      <c r="D229" s="445">
        <f t="shared" ref="D229:N229" si="176">SUM(D225:D228)</f>
        <v>2680063.4900000002</v>
      </c>
      <c r="E229" s="437">
        <f t="shared" si="176"/>
        <v>5329890.71</v>
      </c>
      <c r="F229" s="437">
        <f t="shared" si="176"/>
        <v>2420985.7999999998</v>
      </c>
      <c r="G229" s="437">
        <f t="shared" si="176"/>
        <v>3006847.33</v>
      </c>
      <c r="H229" s="437">
        <f t="shared" si="176"/>
        <v>6716840.8700000001</v>
      </c>
      <c r="I229" s="437">
        <f t="shared" si="176"/>
        <v>2673251.84</v>
      </c>
      <c r="J229" s="446">
        <f t="shared" si="176"/>
        <v>2639195.27</v>
      </c>
      <c r="K229" s="446">
        <f t="shared" si="176"/>
        <v>2823381.44</v>
      </c>
      <c r="L229" s="446">
        <f t="shared" si="176"/>
        <v>3037162.53</v>
      </c>
      <c r="M229" s="446">
        <f t="shared" si="176"/>
        <v>2608438.77</v>
      </c>
      <c r="N229" s="446">
        <f t="shared" si="176"/>
        <v>4410251.8499999996</v>
      </c>
      <c r="O229" s="446">
        <v>3408434</v>
      </c>
      <c r="P229" s="384">
        <f t="shared" si="175"/>
        <v>41754743.900000006</v>
      </c>
    </row>
    <row r="230" spans="1:16" ht="15.6" x14ac:dyDescent="0.3">
      <c r="A230" s="443" t="s">
        <v>213</v>
      </c>
      <c r="B230" s="447"/>
      <c r="C230" s="345" t="s">
        <v>31</v>
      </c>
      <c r="D230" s="445">
        <f>D223+D229</f>
        <v>6097671.7200000007</v>
      </c>
      <c r="E230" s="445">
        <f t="shared" ref="E230:G230" si="177">E223+E229</f>
        <v>361942725.10999995</v>
      </c>
      <c r="F230" s="445">
        <f t="shared" si="177"/>
        <v>350727108.25</v>
      </c>
      <c r="G230" s="445">
        <f t="shared" si="177"/>
        <v>7184428.3300000001</v>
      </c>
      <c r="H230" s="445">
        <f t="shared" ref="H230:N230" si="178">H223+H229</f>
        <v>11160341.960000001</v>
      </c>
      <c r="I230" s="445">
        <f t="shared" si="178"/>
        <v>7303164.8399999999</v>
      </c>
      <c r="J230" s="445">
        <f t="shared" si="178"/>
        <v>7523526.540000001</v>
      </c>
      <c r="K230" s="445">
        <f t="shared" si="178"/>
        <v>7812637.4399999995</v>
      </c>
      <c r="L230" s="445">
        <f t="shared" si="178"/>
        <v>7977281.5299999993</v>
      </c>
      <c r="M230" s="445">
        <f t="shared" si="178"/>
        <v>6710949.0700000003</v>
      </c>
      <c r="N230" s="445">
        <f t="shared" si="178"/>
        <v>8509152.8499999996</v>
      </c>
      <c r="O230" s="445">
        <v>6903509</v>
      </c>
      <c r="P230" s="384">
        <f t="shared" si="175"/>
        <v>789852496.6400001</v>
      </c>
    </row>
    <row r="231" spans="1:16" x14ac:dyDescent="0.3">
      <c r="A231" s="472" t="s">
        <v>30</v>
      </c>
      <c r="B231" s="473"/>
      <c r="C231" s="473"/>
      <c r="D231" s="473"/>
      <c r="E231" s="473"/>
      <c r="F231" s="473"/>
      <c r="G231" s="473"/>
      <c r="H231" s="473"/>
      <c r="I231" s="473"/>
      <c r="J231" s="473"/>
      <c r="K231" s="473"/>
      <c r="L231" s="473"/>
      <c r="M231" s="473"/>
      <c r="N231" s="473"/>
      <c r="O231" s="473"/>
      <c r="P231" s="474"/>
    </row>
    <row r="232" spans="1:16" ht="15.6" x14ac:dyDescent="0.3">
      <c r="A232" s="475" t="s">
        <v>29</v>
      </c>
      <c r="B232" s="476"/>
      <c r="C232" s="345" t="s">
        <v>18</v>
      </c>
      <c r="D232" s="551">
        <f>1154.8+31258.18+150928.82</f>
        <v>183341.80000000002</v>
      </c>
      <c r="E232" s="13">
        <f>1732.2+46187.46+220943.94</f>
        <v>268863.59999999998</v>
      </c>
      <c r="F232" s="13">
        <f>1732+47587+219953</f>
        <v>269272</v>
      </c>
      <c r="G232" s="13">
        <f>1732+48987+225898</f>
        <v>276617</v>
      </c>
      <c r="H232" s="13">
        <f>1732.2+50386.32+224907.06</f>
        <v>277025.58</v>
      </c>
      <c r="I232" s="13">
        <f>1732+49687+234815</f>
        <v>286234</v>
      </c>
      <c r="J232" s="13">
        <f>1732.2+51086.13+239273.37</f>
        <v>292091.7</v>
      </c>
      <c r="K232" s="13">
        <f>1732+51086+244723</f>
        <v>297541</v>
      </c>
      <c r="L232" s="374">
        <v>296142</v>
      </c>
      <c r="M232" s="13">
        <f>1385.76+48986.7+235310.25</f>
        <v>285682.71000000002</v>
      </c>
      <c r="N232" s="374">
        <v>287665</v>
      </c>
      <c r="O232" s="374">
        <v>294632</v>
      </c>
      <c r="P232" s="384">
        <f>SUM(D232:O232)</f>
        <v>3315108.3899999997</v>
      </c>
    </row>
    <row r="233" spans="1:16" ht="15.6" x14ac:dyDescent="0.3">
      <c r="A233" s="475" t="s">
        <v>28</v>
      </c>
      <c r="B233" s="476"/>
      <c r="C233" s="345" t="s">
        <v>18</v>
      </c>
      <c r="D233" s="551">
        <v>2956.13</v>
      </c>
      <c r="E233" s="13">
        <v>2782.24</v>
      </c>
      <c r="F233" s="13">
        <v>2782</v>
      </c>
      <c r="G233" s="13">
        <v>2782</v>
      </c>
      <c r="H233" s="13">
        <v>2782.24</v>
      </c>
      <c r="I233" s="13">
        <v>2608</v>
      </c>
      <c r="J233" s="13">
        <v>2608.35</v>
      </c>
      <c r="K233" s="13">
        <v>2608</v>
      </c>
      <c r="L233" s="374">
        <v>2608</v>
      </c>
      <c r="M233" s="13">
        <v>2434.46</v>
      </c>
      <c r="N233" s="374">
        <v>2608</v>
      </c>
      <c r="O233" s="374">
        <v>2434</v>
      </c>
      <c r="P233" s="384">
        <f>SUM(D233:O233)</f>
        <v>31993.42</v>
      </c>
    </row>
    <row r="234" spans="1:16" ht="15.6" x14ac:dyDescent="0.3">
      <c r="A234" s="475" t="s">
        <v>27</v>
      </c>
      <c r="B234" s="476"/>
      <c r="C234" s="345" t="s">
        <v>18</v>
      </c>
      <c r="D234" s="551">
        <v>10283.75</v>
      </c>
      <c r="E234" s="13">
        <v>15425.65</v>
      </c>
      <c r="F234" s="13">
        <v>15426</v>
      </c>
      <c r="G234" s="13">
        <v>18511</v>
      </c>
      <c r="H234" s="13">
        <v>15425.65</v>
      </c>
      <c r="I234" s="13">
        <v>15426</v>
      </c>
      <c r="J234" s="13">
        <v>12340.52</v>
      </c>
      <c r="K234" s="13">
        <v>12341</v>
      </c>
      <c r="L234" s="374">
        <v>21596</v>
      </c>
      <c r="M234" s="13">
        <v>21595.91</v>
      </c>
      <c r="N234" s="374">
        <v>21596</v>
      </c>
      <c r="O234" s="374">
        <v>21596</v>
      </c>
      <c r="P234" s="384">
        <f>SUM(D234:O234)</f>
        <v>201563.48</v>
      </c>
    </row>
    <row r="235" spans="1:16" ht="15.6" x14ac:dyDescent="0.3">
      <c r="A235" s="475" t="s">
        <v>26</v>
      </c>
      <c r="B235" s="476"/>
      <c r="C235" s="345" t="s">
        <v>18</v>
      </c>
      <c r="D235" s="551">
        <v>5621.02</v>
      </c>
      <c r="E235" s="13">
        <v>8431.5400000000009</v>
      </c>
      <c r="F235" s="13">
        <v>8432</v>
      </c>
      <c r="G235" s="13">
        <v>8432</v>
      </c>
      <c r="H235" s="374"/>
      <c r="I235" s="13">
        <v>8432</v>
      </c>
      <c r="J235" s="374"/>
      <c r="K235" s="374"/>
      <c r="L235" s="374"/>
      <c r="M235" s="374"/>
      <c r="N235" s="374"/>
      <c r="O235" s="374"/>
      <c r="P235" s="384">
        <f>SUM(D235:O235)</f>
        <v>39348.559999999998</v>
      </c>
    </row>
    <row r="236" spans="1:16" ht="15.6" x14ac:dyDescent="0.3">
      <c r="A236" s="477" t="s">
        <v>25</v>
      </c>
      <c r="B236" s="478"/>
      <c r="C236" s="345" t="s">
        <v>18</v>
      </c>
      <c r="D236" s="445">
        <f t="shared" ref="D236:N236" si="179">SUM(D232:D235)</f>
        <v>202202.7</v>
      </c>
      <c r="E236" s="445">
        <f t="shared" si="179"/>
        <v>295503.02999999997</v>
      </c>
      <c r="F236" s="445">
        <f t="shared" si="179"/>
        <v>295912</v>
      </c>
      <c r="G236" s="445">
        <f t="shared" si="179"/>
        <v>306342</v>
      </c>
      <c r="H236" s="445">
        <f t="shared" si="179"/>
        <v>295233.47000000003</v>
      </c>
      <c r="I236" s="445">
        <f t="shared" si="179"/>
        <v>312700</v>
      </c>
      <c r="J236" s="445">
        <f t="shared" si="179"/>
        <v>307040.57</v>
      </c>
      <c r="K236" s="445">
        <f t="shared" si="179"/>
        <v>312490</v>
      </c>
      <c r="L236" s="445">
        <f t="shared" si="179"/>
        <v>320346</v>
      </c>
      <c r="M236" s="445">
        <f t="shared" si="179"/>
        <v>309713.08</v>
      </c>
      <c r="N236" s="445">
        <f t="shared" si="179"/>
        <v>311869</v>
      </c>
      <c r="O236" s="445">
        <v>318662</v>
      </c>
      <c r="P236" s="380">
        <f t="shared" ref="P236" si="180">SUM(P232:P235)</f>
        <v>3588013.8499999996</v>
      </c>
    </row>
    <row r="237" spans="1:16" x14ac:dyDescent="0.3">
      <c r="A237" s="472" t="s">
        <v>24</v>
      </c>
      <c r="B237" s="473"/>
      <c r="C237" s="473"/>
      <c r="D237" s="473"/>
      <c r="E237" s="473"/>
      <c r="F237" s="473"/>
      <c r="G237" s="473"/>
      <c r="H237" s="473"/>
      <c r="I237" s="473"/>
      <c r="J237" s="473"/>
      <c r="K237" s="473"/>
      <c r="L237" s="473"/>
      <c r="M237" s="473"/>
      <c r="N237" s="473"/>
      <c r="O237" s="473"/>
      <c r="P237" s="474"/>
    </row>
    <row r="238" spans="1:16" ht="15.6" x14ac:dyDescent="0.3">
      <c r="A238" s="475" t="s">
        <v>23</v>
      </c>
      <c r="B238" s="476"/>
      <c r="C238" s="345" t="s">
        <v>18</v>
      </c>
      <c r="D238" s="551">
        <f>4465+59831+408101</f>
        <v>472397</v>
      </c>
      <c r="E238" s="13">
        <f>4465+58938+398278</f>
        <v>461681</v>
      </c>
      <c r="F238" s="13">
        <f>4465+60724+396492</f>
        <v>461681</v>
      </c>
      <c r="G238" s="13">
        <f>4465+62510+407208</f>
        <v>474183</v>
      </c>
      <c r="H238" s="13">
        <f>4465+64296+405422</f>
        <v>474183</v>
      </c>
      <c r="I238" s="13">
        <f>4465+63403+423282</f>
        <v>491150</v>
      </c>
      <c r="J238" s="13">
        <f>4465+65189+431319</f>
        <v>500973</v>
      </c>
      <c r="K238" s="13">
        <f>4465+65189+441142</f>
        <v>510796</v>
      </c>
      <c r="L238" s="374">
        <v>509010</v>
      </c>
      <c r="M238" s="13">
        <f>3572+62510+424175</f>
        <v>490257</v>
      </c>
      <c r="N238" s="374">
        <v>493829</v>
      </c>
      <c r="O238" s="374">
        <v>504545</v>
      </c>
      <c r="P238" s="384">
        <f>SUM(D238:O238)</f>
        <v>5844685</v>
      </c>
    </row>
    <row r="239" spans="1:16" ht="15.6" x14ac:dyDescent="0.3">
      <c r="A239" s="475" t="s">
        <v>22</v>
      </c>
      <c r="B239" s="476"/>
      <c r="C239" s="345" t="s">
        <v>18</v>
      </c>
      <c r="D239" s="551">
        <v>15181</v>
      </c>
      <c r="E239" s="15">
        <v>14288</v>
      </c>
      <c r="F239" s="15">
        <v>14288</v>
      </c>
      <c r="G239" s="15">
        <v>14288</v>
      </c>
      <c r="H239" s="15">
        <v>14288</v>
      </c>
      <c r="I239" s="15">
        <v>13395</v>
      </c>
      <c r="J239" s="15">
        <v>13395</v>
      </c>
      <c r="K239" s="15">
        <v>13395</v>
      </c>
      <c r="L239" s="372">
        <v>13395</v>
      </c>
      <c r="M239" s="15">
        <v>12502</v>
      </c>
      <c r="N239" s="372">
        <v>13395</v>
      </c>
      <c r="O239" s="372">
        <v>12502</v>
      </c>
      <c r="P239" s="384">
        <f>SUM(D239:O239)</f>
        <v>164312</v>
      </c>
    </row>
    <row r="240" spans="1:16" ht="15.6" x14ac:dyDescent="0.3">
      <c r="A240" s="475" t="s">
        <v>21</v>
      </c>
      <c r="B240" s="476"/>
      <c r="C240" s="345" t="s">
        <v>18</v>
      </c>
      <c r="D240" s="551">
        <v>4465</v>
      </c>
      <c r="E240" s="15">
        <v>4465</v>
      </c>
      <c r="F240" s="15">
        <v>4465</v>
      </c>
      <c r="G240" s="15">
        <v>5358</v>
      </c>
      <c r="H240" s="15">
        <v>4465</v>
      </c>
      <c r="I240" s="15">
        <v>4465</v>
      </c>
      <c r="J240" s="15">
        <v>3572</v>
      </c>
      <c r="K240" s="15">
        <v>3572</v>
      </c>
      <c r="L240" s="372">
        <v>6251</v>
      </c>
      <c r="M240" s="15">
        <v>6251</v>
      </c>
      <c r="N240" s="372">
        <v>6251</v>
      </c>
      <c r="O240" s="372">
        <v>6251</v>
      </c>
      <c r="P240" s="384">
        <f>SUM(D240:O240)</f>
        <v>59831</v>
      </c>
    </row>
    <row r="241" spans="1:17" ht="15.6" x14ac:dyDescent="0.3">
      <c r="A241" s="475" t="s">
        <v>20</v>
      </c>
      <c r="B241" s="476"/>
      <c r="C241" s="345" t="s">
        <v>18</v>
      </c>
      <c r="D241" s="551">
        <v>1786</v>
      </c>
      <c r="E241" s="15">
        <v>1786</v>
      </c>
      <c r="F241" s="15">
        <v>1786</v>
      </c>
      <c r="G241" s="15">
        <v>1786</v>
      </c>
      <c r="H241" s="372"/>
      <c r="I241" s="15">
        <v>1786</v>
      </c>
      <c r="J241" s="372"/>
      <c r="K241" s="372"/>
      <c r="L241" s="372"/>
      <c r="M241" s="372"/>
      <c r="N241" s="372"/>
      <c r="O241" s="372"/>
      <c r="P241" s="384">
        <f>SUM(D241:O241)</f>
        <v>8930</v>
      </c>
    </row>
    <row r="242" spans="1:17" ht="15.6" x14ac:dyDescent="0.3">
      <c r="A242" s="477" t="s">
        <v>19</v>
      </c>
      <c r="B242" s="478"/>
      <c r="C242" s="345" t="s">
        <v>18</v>
      </c>
      <c r="D242" s="445">
        <f t="shared" ref="D242:P242" si="181">SUM(D238:D241)</f>
        <v>493829</v>
      </c>
      <c r="E242" s="445">
        <f t="shared" si="181"/>
        <v>482220</v>
      </c>
      <c r="F242" s="445">
        <f t="shared" si="181"/>
        <v>482220</v>
      </c>
      <c r="G242" s="445">
        <f t="shared" si="181"/>
        <v>495615</v>
      </c>
      <c r="H242" s="445">
        <f t="shared" si="181"/>
        <v>492936</v>
      </c>
      <c r="I242" s="437">
        <f t="shared" si="181"/>
        <v>510796</v>
      </c>
      <c r="J242" s="445">
        <f t="shared" si="181"/>
        <v>517940</v>
      </c>
      <c r="K242" s="445">
        <f t="shared" si="181"/>
        <v>527763</v>
      </c>
      <c r="L242" s="445">
        <f t="shared" si="181"/>
        <v>528656</v>
      </c>
      <c r="M242" s="445">
        <f t="shared" si="181"/>
        <v>509010</v>
      </c>
      <c r="N242" s="445">
        <f t="shared" si="181"/>
        <v>513475</v>
      </c>
      <c r="O242" s="445">
        <v>523298</v>
      </c>
      <c r="P242" s="380">
        <f t="shared" si="181"/>
        <v>6077758</v>
      </c>
    </row>
    <row r="243" spans="1:17" ht="15.6" x14ac:dyDescent="0.3">
      <c r="A243" s="477" t="s">
        <v>214</v>
      </c>
      <c r="B243" s="478"/>
      <c r="C243" s="345" t="s">
        <v>18</v>
      </c>
      <c r="D243" s="437">
        <f>D230+D236+D242</f>
        <v>6793703.4200000009</v>
      </c>
      <c r="E243" s="437">
        <f t="shared" ref="E243:N243" si="182">E230+E236+E242</f>
        <v>362720448.13999993</v>
      </c>
      <c r="F243" s="437">
        <f t="shared" si="182"/>
        <v>351505240.25</v>
      </c>
      <c r="G243" s="437">
        <f t="shared" si="182"/>
        <v>7986385.3300000001</v>
      </c>
      <c r="H243" s="437">
        <f t="shared" si="182"/>
        <v>11948511.430000002</v>
      </c>
      <c r="I243" s="437">
        <f t="shared" si="182"/>
        <v>8126660.8399999999</v>
      </c>
      <c r="J243" s="437">
        <f t="shared" si="182"/>
        <v>8348507.1100000013</v>
      </c>
      <c r="K243" s="437">
        <f t="shared" si="182"/>
        <v>8652890.4399999995</v>
      </c>
      <c r="L243" s="437">
        <f t="shared" si="182"/>
        <v>8826283.5299999993</v>
      </c>
      <c r="M243" s="437">
        <f t="shared" si="182"/>
        <v>7529672.1500000004</v>
      </c>
      <c r="N243" s="437">
        <f t="shared" si="182"/>
        <v>9334496.8499999996</v>
      </c>
      <c r="O243" s="437">
        <v>7745469</v>
      </c>
      <c r="P243" s="380">
        <f t="shared" ref="P243" si="183">P216+P223+P236+P242</f>
        <v>800265489.23999989</v>
      </c>
      <c r="Q243" s="448"/>
    </row>
    <row r="244" spans="1:17" x14ac:dyDescent="0.3">
      <c r="A244" s="472" t="s">
        <v>204</v>
      </c>
      <c r="B244" s="473"/>
      <c r="C244" s="473"/>
      <c r="D244" s="473"/>
      <c r="E244" s="473"/>
      <c r="F244" s="473"/>
      <c r="G244" s="473"/>
      <c r="H244" s="473"/>
      <c r="I244" s="473"/>
      <c r="J244" s="473"/>
      <c r="K244" s="473"/>
      <c r="L244" s="473"/>
      <c r="M244" s="473"/>
      <c r="N244" s="473"/>
      <c r="O244" s="473"/>
      <c r="P244" s="474"/>
    </row>
    <row r="245" spans="1:17" ht="15.6" x14ac:dyDescent="0.3">
      <c r="A245" s="496" t="s">
        <v>205</v>
      </c>
      <c r="B245" s="497"/>
      <c r="C245" s="345" t="s">
        <v>18</v>
      </c>
      <c r="D245" s="152">
        <v>22595342.640000001</v>
      </c>
      <c r="E245" s="152">
        <v>23343920.239999998</v>
      </c>
      <c r="F245" s="152">
        <v>20745940.859999999</v>
      </c>
      <c r="G245" s="152">
        <v>21254893.289999999</v>
      </c>
      <c r="H245" s="152">
        <v>22494672.579999998</v>
      </c>
      <c r="I245" s="152">
        <v>22908287.350000001</v>
      </c>
      <c r="J245" s="152">
        <v>24678597.77</v>
      </c>
      <c r="K245" s="152">
        <v>22544979.420000002</v>
      </c>
      <c r="L245" s="449">
        <v>24086988.129999999</v>
      </c>
      <c r="M245" s="152">
        <v>22537091.27</v>
      </c>
      <c r="N245" s="449">
        <v>25168667.260000002</v>
      </c>
      <c r="O245" s="449">
        <v>24969495.48</v>
      </c>
      <c r="P245" s="450">
        <f>O245</f>
        <v>24969495.48</v>
      </c>
    </row>
    <row r="246" spans="1:17" ht="15.6" x14ac:dyDescent="0.3">
      <c r="A246" s="496" t="s">
        <v>206</v>
      </c>
      <c r="B246" s="497"/>
      <c r="C246" s="345" t="s">
        <v>18</v>
      </c>
      <c r="D246" s="449">
        <v>0</v>
      </c>
      <c r="E246" s="154"/>
      <c r="F246" s="154"/>
      <c r="G246" s="154"/>
      <c r="H246" s="449"/>
      <c r="I246" s="449"/>
      <c r="J246" s="449"/>
      <c r="K246" s="449"/>
      <c r="L246" s="449"/>
      <c r="M246" s="449"/>
      <c r="N246" s="449"/>
      <c r="O246" s="449"/>
      <c r="P246" s="450">
        <f>O246</f>
        <v>0</v>
      </c>
    </row>
    <row r="247" spans="1:17" ht="15.6" x14ac:dyDescent="0.3">
      <c r="A247" s="494" t="s">
        <v>207</v>
      </c>
      <c r="B247" s="495"/>
      <c r="C247" s="345" t="s">
        <v>18</v>
      </c>
      <c r="D247" s="451">
        <f>D245+D246</f>
        <v>22595342.640000001</v>
      </c>
      <c r="E247" s="451">
        <f t="shared" ref="E247:P247" si="184">E245+E246</f>
        <v>23343920.239999998</v>
      </c>
      <c r="F247" s="451">
        <f t="shared" si="184"/>
        <v>20745940.859999999</v>
      </c>
      <c r="G247" s="451">
        <f t="shared" si="184"/>
        <v>21254893.289999999</v>
      </c>
      <c r="H247" s="451">
        <f t="shared" si="184"/>
        <v>22494672.579999998</v>
      </c>
      <c r="I247" s="451">
        <f t="shared" si="184"/>
        <v>22908287.350000001</v>
      </c>
      <c r="J247" s="451">
        <f t="shared" si="184"/>
        <v>24678597.77</v>
      </c>
      <c r="K247" s="451">
        <f t="shared" si="184"/>
        <v>22544979.420000002</v>
      </c>
      <c r="L247" s="451">
        <f t="shared" si="184"/>
        <v>24086988.129999999</v>
      </c>
      <c r="M247" s="451">
        <f t="shared" si="184"/>
        <v>22537091.27</v>
      </c>
      <c r="N247" s="452">
        <f t="shared" si="184"/>
        <v>25168667.260000002</v>
      </c>
      <c r="O247" s="452">
        <v>24969495.48</v>
      </c>
      <c r="P247" s="450">
        <f t="shared" si="184"/>
        <v>24969495.48</v>
      </c>
    </row>
    <row r="248" spans="1:17" x14ac:dyDescent="0.3">
      <c r="A248" s="472" t="s">
        <v>17</v>
      </c>
      <c r="B248" s="473"/>
      <c r="C248" s="473"/>
      <c r="D248" s="473"/>
      <c r="E248" s="473"/>
      <c r="F248" s="473"/>
      <c r="G248" s="473"/>
      <c r="H248" s="473"/>
      <c r="I248" s="473"/>
      <c r="J248" s="473"/>
      <c r="K248" s="473"/>
      <c r="L248" s="473"/>
      <c r="M248" s="473"/>
      <c r="N248" s="473"/>
      <c r="O248" s="473"/>
      <c r="P248" s="474"/>
    </row>
    <row r="249" spans="1:17" ht="15.6" x14ac:dyDescent="0.3">
      <c r="A249" s="487" t="s">
        <v>16</v>
      </c>
      <c r="B249" s="488"/>
      <c r="C249" s="356" t="s">
        <v>6</v>
      </c>
      <c r="D249" s="453">
        <f>D58/D243</f>
        <v>0.17456306165923269</v>
      </c>
      <c r="E249" s="8">
        <f>E65/E243%</f>
        <v>0</v>
      </c>
      <c r="F249" s="8">
        <f>F65/F243%</f>
        <v>0</v>
      </c>
      <c r="G249" s="8">
        <f>G65/G243%</f>
        <v>0</v>
      </c>
      <c r="H249" s="453">
        <f t="shared" ref="H249:P249" si="185">H58/H243%</f>
        <v>14.59876353819582</v>
      </c>
      <c r="I249" s="453">
        <f t="shared" si="185"/>
        <v>90.076881183096106</v>
      </c>
      <c r="J249" s="453">
        <f t="shared" si="185"/>
        <v>21.15195390945771</v>
      </c>
      <c r="K249" s="453">
        <f t="shared" si="185"/>
        <v>20.01776051853027</v>
      </c>
      <c r="L249" s="453">
        <f t="shared" si="185"/>
        <v>8.0794126551246208</v>
      </c>
      <c r="M249" s="453">
        <f t="shared" si="185"/>
        <v>6.3412075577553537</v>
      </c>
      <c r="N249" s="453">
        <f t="shared" si="185"/>
        <v>4.8392689051044036</v>
      </c>
      <c r="O249" s="453">
        <v>5.9987646316188208</v>
      </c>
      <c r="P249" s="454">
        <f t="shared" si="185"/>
        <v>2.6527917070110343</v>
      </c>
    </row>
    <row r="250" spans="1:17" ht="15.6" x14ac:dyDescent="0.3">
      <c r="A250" s="487" t="s">
        <v>208</v>
      </c>
      <c r="B250" s="488"/>
      <c r="C250" s="356" t="s">
        <v>6</v>
      </c>
      <c r="D250" s="424">
        <f>D210/(D223+D245)</f>
        <v>9.0275905326384062E-2</v>
      </c>
      <c r="E250" s="29">
        <f>E216/(E242+E244)%</f>
        <v>1120.5754779975946</v>
      </c>
      <c r="F250" s="29">
        <f>F216/(F242+F244)%</f>
        <v>516.76226618555847</v>
      </c>
      <c r="G250" s="29">
        <f>G216/(G242+G244)%</f>
        <v>625.82273337166953</v>
      </c>
      <c r="H250" s="424">
        <f>H210/(H223+H245)%</f>
        <v>7.0124724234877949</v>
      </c>
      <c r="I250" s="424">
        <f>I210/(I223+I245)%</f>
        <v>20.110181237751071</v>
      </c>
      <c r="J250" s="424">
        <f t="shared" ref="J250:P250" si="186">J210/(J223+J245)%</f>
        <v>10.488074425253229</v>
      </c>
      <c r="K250" s="424">
        <f t="shared" si="186"/>
        <v>28.029007823453846</v>
      </c>
      <c r="L250" s="424">
        <f t="shared" si="186"/>
        <v>10.484348255478395</v>
      </c>
      <c r="M250" s="424">
        <f t="shared" si="186"/>
        <v>18.694498815659276</v>
      </c>
      <c r="N250" s="424">
        <f t="shared" si="186"/>
        <v>9.5749294068614912</v>
      </c>
      <c r="O250" s="424">
        <v>16.150614333808839</v>
      </c>
      <c r="P250" s="425">
        <f t="shared" si="186"/>
        <v>6.6835998380435964</v>
      </c>
    </row>
    <row r="251" spans="1:17" ht="16.2" thickBot="1" x14ac:dyDescent="0.35">
      <c r="A251" s="498" t="s">
        <v>15</v>
      </c>
      <c r="B251" s="499"/>
      <c r="C251" s="356" t="s">
        <v>6</v>
      </c>
      <c r="D251" s="455">
        <f>D210/D223</f>
        <v>0.68713045263236627</v>
      </c>
      <c r="E251" s="455">
        <f t="shared" ref="E251:G251" si="187">E210/E223%</f>
        <v>1.061589851742027</v>
      </c>
      <c r="F251" s="455">
        <f t="shared" si="187"/>
        <v>2.1456510575902454</v>
      </c>
      <c r="G251" s="455">
        <f t="shared" si="187"/>
        <v>105.15690778945998</v>
      </c>
      <c r="H251" s="455">
        <f t="shared" ref="H251:P251" si="188">H210/H223%</f>
        <v>42.512243425600239</v>
      </c>
      <c r="I251" s="455">
        <f t="shared" si="188"/>
        <v>119.61308992199206</v>
      </c>
      <c r="J251" s="455">
        <f t="shared" si="188"/>
        <v>63.480174226593761</v>
      </c>
      <c r="K251" s="455">
        <f t="shared" si="188"/>
        <v>154.68384464537399</v>
      </c>
      <c r="L251" s="455">
        <f t="shared" si="188"/>
        <v>61.603839907500202</v>
      </c>
      <c r="M251" s="455">
        <f t="shared" si="188"/>
        <v>121.39250448682603</v>
      </c>
      <c r="N251" s="455">
        <f t="shared" si="188"/>
        <v>68.368301649637303</v>
      </c>
      <c r="O251" s="455">
        <v>131.53374391107488</v>
      </c>
      <c r="P251" s="456">
        <f t="shared" si="188"/>
        <v>6.9066804653211378</v>
      </c>
    </row>
    <row r="252" spans="1:17" x14ac:dyDescent="0.3">
      <c r="A252" s="500" t="s">
        <v>14</v>
      </c>
      <c r="B252" s="501"/>
      <c r="C252" s="501"/>
      <c r="D252" s="501"/>
      <c r="E252" s="501"/>
      <c r="F252" s="501"/>
      <c r="G252" s="501"/>
      <c r="H252" s="501"/>
      <c r="I252" s="501"/>
      <c r="J252" s="501"/>
      <c r="K252" s="501"/>
      <c r="L252" s="501"/>
      <c r="M252" s="501"/>
      <c r="N252" s="501"/>
      <c r="O252" s="501"/>
      <c r="P252" s="502"/>
    </row>
    <row r="253" spans="1:17" s="351" customFormat="1" ht="15" customHeight="1" x14ac:dyDescent="0.3">
      <c r="A253" s="487" t="s">
        <v>13</v>
      </c>
      <c r="B253" s="488"/>
      <c r="C253" s="356" t="s">
        <v>3</v>
      </c>
      <c r="D253" s="4">
        <v>4</v>
      </c>
      <c r="E253" s="4">
        <v>5</v>
      </c>
      <c r="F253" s="4">
        <v>6</v>
      </c>
      <c r="G253" s="4">
        <v>4</v>
      </c>
      <c r="H253" s="4">
        <v>13</v>
      </c>
      <c r="I253" s="4">
        <v>15</v>
      </c>
      <c r="J253" s="4">
        <v>5</v>
      </c>
      <c r="K253" s="4">
        <v>8</v>
      </c>
      <c r="L253" s="379">
        <v>1</v>
      </c>
      <c r="M253" s="4">
        <v>6</v>
      </c>
      <c r="N253" s="379">
        <v>5</v>
      </c>
      <c r="O253" s="379">
        <v>6</v>
      </c>
      <c r="P253" s="457">
        <f>SUM(D253:O253)</f>
        <v>78</v>
      </c>
    </row>
    <row r="254" spans="1:17" s="351" customFormat="1" ht="15.6" x14ac:dyDescent="0.3">
      <c r="A254" s="487" t="s">
        <v>12</v>
      </c>
      <c r="B254" s="488"/>
      <c r="C254" s="356" t="s">
        <v>3</v>
      </c>
      <c r="D254" s="4">
        <v>2</v>
      </c>
      <c r="E254" s="4">
        <v>5</v>
      </c>
      <c r="F254" s="4">
        <v>2</v>
      </c>
      <c r="G254" s="4">
        <v>2</v>
      </c>
      <c r="H254" s="4">
        <v>2</v>
      </c>
      <c r="I254" s="4">
        <v>2</v>
      </c>
      <c r="J254" s="4">
        <v>2</v>
      </c>
      <c r="K254" s="4">
        <v>2</v>
      </c>
      <c r="L254" s="379">
        <v>2</v>
      </c>
      <c r="M254" s="4">
        <v>2</v>
      </c>
      <c r="N254" s="379">
        <v>2</v>
      </c>
      <c r="O254" s="379">
        <v>2</v>
      </c>
      <c r="P254" s="457">
        <f>SUM(D254:O254)</f>
        <v>27</v>
      </c>
    </row>
    <row r="255" spans="1:17" ht="15.75" customHeight="1" x14ac:dyDescent="0.3">
      <c r="A255" s="487" t="s">
        <v>11</v>
      </c>
      <c r="B255" s="488"/>
      <c r="C255" s="356" t="s">
        <v>3</v>
      </c>
      <c r="D255" s="4">
        <v>1</v>
      </c>
      <c r="E255" s="4">
        <v>6</v>
      </c>
      <c r="F255" s="4">
        <v>1</v>
      </c>
      <c r="G255" s="4">
        <v>1</v>
      </c>
      <c r="H255" s="4">
        <v>4</v>
      </c>
      <c r="I255" s="4">
        <v>7</v>
      </c>
      <c r="J255" s="4">
        <v>5</v>
      </c>
      <c r="K255" s="4">
        <v>8</v>
      </c>
      <c r="L255" s="379">
        <v>3</v>
      </c>
      <c r="M255" s="379">
        <f t="shared" ref="M255:N255" si="189">M95</f>
        <v>23</v>
      </c>
      <c r="N255" s="379">
        <f t="shared" si="189"/>
        <v>22</v>
      </c>
      <c r="O255" s="379">
        <v>18</v>
      </c>
      <c r="P255" s="457">
        <f>SUM(D255:O255)</f>
        <v>99</v>
      </c>
    </row>
    <row r="256" spans="1:17" ht="15.6" x14ac:dyDescent="0.3">
      <c r="A256" s="487" t="s">
        <v>10</v>
      </c>
      <c r="B256" s="488"/>
      <c r="C256" s="356" t="s">
        <v>3</v>
      </c>
      <c r="D256" s="4">
        <v>42</v>
      </c>
      <c r="E256" s="4">
        <v>53</v>
      </c>
      <c r="F256" s="4">
        <v>51</v>
      </c>
      <c r="G256" s="4">
        <v>43</v>
      </c>
      <c r="H256" s="4">
        <v>3</v>
      </c>
      <c r="I256" s="4">
        <v>31</v>
      </c>
      <c r="J256" s="4">
        <v>46</v>
      </c>
      <c r="K256" s="4">
        <v>41</v>
      </c>
      <c r="L256" s="379">
        <v>43</v>
      </c>
      <c r="M256" s="379">
        <f t="shared" ref="M256" si="190">M91</f>
        <v>4</v>
      </c>
      <c r="N256" s="379">
        <f t="shared" ref="N256" si="191">N91</f>
        <v>0</v>
      </c>
      <c r="O256" s="379">
        <v>2</v>
      </c>
      <c r="P256" s="457">
        <f>SUM(D256:O256)</f>
        <v>359</v>
      </c>
    </row>
    <row r="257" spans="1:16" ht="15.6" customHeight="1" x14ac:dyDescent="0.3">
      <c r="A257" s="487" t="s">
        <v>9</v>
      </c>
      <c r="B257" s="488"/>
      <c r="C257" s="356" t="s">
        <v>3</v>
      </c>
      <c r="D257" s="4">
        <v>43</v>
      </c>
      <c r="E257" s="4">
        <v>53</v>
      </c>
      <c r="F257" s="4">
        <v>53</v>
      </c>
      <c r="G257" s="4">
        <v>41</v>
      </c>
      <c r="H257" s="4">
        <v>180</v>
      </c>
      <c r="I257" s="4">
        <v>41</v>
      </c>
      <c r="J257" s="4">
        <v>42</v>
      </c>
      <c r="K257" s="379"/>
      <c r="L257" s="379">
        <v>50</v>
      </c>
      <c r="M257" s="4">
        <v>44</v>
      </c>
      <c r="N257" s="379">
        <v>30</v>
      </c>
      <c r="O257" s="379">
        <v>40</v>
      </c>
      <c r="P257" s="457">
        <f>SUM(D257:O257)</f>
        <v>617</v>
      </c>
    </row>
    <row r="258" spans="1:16" ht="15.6" x14ac:dyDescent="0.3">
      <c r="A258" s="477" t="s">
        <v>8</v>
      </c>
      <c r="B258" s="478"/>
      <c r="C258" s="356" t="s">
        <v>3</v>
      </c>
      <c r="D258" s="458">
        <f t="shared" ref="D258:P258" si="192">D257/D256</f>
        <v>1.0238095238095237</v>
      </c>
      <c r="E258" s="4"/>
      <c r="F258" s="1">
        <f>F257/F256</f>
        <v>1.0392156862745099</v>
      </c>
      <c r="G258" s="1">
        <f t="shared" ref="G258" si="193">G257/G256</f>
        <v>0.95348837209302328</v>
      </c>
      <c r="H258" s="1">
        <f t="shared" ref="H258" si="194">H257/H256</f>
        <v>60</v>
      </c>
      <c r="I258" s="1">
        <v>2.9285714285714284</v>
      </c>
      <c r="J258" s="378">
        <f t="shared" si="192"/>
        <v>0.91304347826086951</v>
      </c>
      <c r="K258" s="378">
        <f t="shared" si="192"/>
        <v>0</v>
      </c>
      <c r="L258" s="378">
        <f t="shared" si="192"/>
        <v>1.1627906976744187</v>
      </c>
      <c r="M258" s="378">
        <f t="shared" si="192"/>
        <v>11</v>
      </c>
      <c r="N258" s="378" t="e">
        <f t="shared" si="192"/>
        <v>#DIV/0!</v>
      </c>
      <c r="O258" s="378">
        <v>20</v>
      </c>
      <c r="P258" s="457">
        <f t="shared" si="192"/>
        <v>1.7186629526462396</v>
      </c>
    </row>
    <row r="259" spans="1:16" ht="15.6" x14ac:dyDescent="0.3">
      <c r="A259" s="477" t="s">
        <v>7</v>
      </c>
      <c r="B259" s="478"/>
      <c r="C259" s="356" t="s">
        <v>6</v>
      </c>
      <c r="D259" s="458">
        <f t="shared" ref="D259:P259" si="195">D92/D255*100</f>
        <v>0</v>
      </c>
      <c r="E259" s="458">
        <f t="shared" si="195"/>
        <v>0</v>
      </c>
      <c r="F259" s="1">
        <f>F256/F255*100</f>
        <v>5100</v>
      </c>
      <c r="G259" s="1">
        <f t="shared" ref="G259" si="196">G256/G255*100</f>
        <v>4300</v>
      </c>
      <c r="H259" s="1">
        <f t="shared" ref="H259" si="197">H256/H255*100</f>
        <v>75</v>
      </c>
      <c r="I259" s="1">
        <v>45.161290322580641</v>
      </c>
      <c r="J259" s="459">
        <f t="shared" si="195"/>
        <v>160</v>
      </c>
      <c r="K259" s="459">
        <f t="shared" si="195"/>
        <v>75</v>
      </c>
      <c r="L259" s="459">
        <f t="shared" si="195"/>
        <v>133.33333333333331</v>
      </c>
      <c r="M259" s="459">
        <f t="shared" si="195"/>
        <v>30.434782608695656</v>
      </c>
      <c r="N259" s="459">
        <f t="shared" si="195"/>
        <v>4.5454545454545459</v>
      </c>
      <c r="O259" s="459">
        <v>33.333333333333329</v>
      </c>
      <c r="P259" s="460">
        <f t="shared" si="195"/>
        <v>75.757575757575751</v>
      </c>
    </row>
    <row r="260" spans="1:16" x14ac:dyDescent="0.3">
      <c r="A260" s="472" t="s">
        <v>5</v>
      </c>
      <c r="B260" s="473"/>
      <c r="C260" s="473"/>
      <c r="D260" s="473"/>
      <c r="E260" s="473"/>
      <c r="F260" s="473"/>
      <c r="G260" s="473"/>
      <c r="H260" s="473"/>
      <c r="I260" s="473"/>
      <c r="J260" s="473"/>
      <c r="K260" s="473"/>
      <c r="L260" s="473"/>
      <c r="M260" s="473"/>
      <c r="N260" s="473"/>
      <c r="O260" s="473"/>
      <c r="P260" s="474"/>
    </row>
    <row r="261" spans="1:16" s="351" customFormat="1" ht="15" customHeight="1" x14ac:dyDescent="0.3">
      <c r="A261" s="487" t="s">
        <v>4</v>
      </c>
      <c r="B261" s="488"/>
      <c r="C261" s="356" t="s">
        <v>3</v>
      </c>
      <c r="D261" s="4">
        <v>26</v>
      </c>
      <c r="E261" s="4">
        <v>28</v>
      </c>
      <c r="F261" s="4">
        <v>24</v>
      </c>
      <c r="G261" s="4">
        <v>6</v>
      </c>
      <c r="H261" s="4">
        <v>16</v>
      </c>
      <c r="I261" s="4">
        <v>18</v>
      </c>
      <c r="J261" s="4">
        <v>22</v>
      </c>
      <c r="K261" s="4">
        <v>7</v>
      </c>
      <c r="L261" s="379">
        <v>9</v>
      </c>
      <c r="M261" s="4">
        <v>25</v>
      </c>
      <c r="N261" s="379">
        <v>18</v>
      </c>
      <c r="O261" s="379">
        <v>10</v>
      </c>
      <c r="P261" s="380">
        <f>SUM(D261:O261)</f>
        <v>209</v>
      </c>
    </row>
    <row r="262" spans="1:16" s="351" customFormat="1" ht="15.75" customHeight="1" x14ac:dyDescent="0.3">
      <c r="A262" s="487" t="s">
        <v>2</v>
      </c>
      <c r="B262" s="488"/>
      <c r="C262" s="356" t="s">
        <v>0</v>
      </c>
      <c r="D262" s="4">
        <v>18</v>
      </c>
      <c r="E262" s="4">
        <v>17</v>
      </c>
      <c r="F262" s="4">
        <v>18</v>
      </c>
      <c r="G262" s="4">
        <v>12</v>
      </c>
      <c r="H262" s="4">
        <v>17</v>
      </c>
      <c r="I262" s="4">
        <v>30</v>
      </c>
      <c r="J262" s="4">
        <v>15</v>
      </c>
      <c r="K262" s="4">
        <v>18</v>
      </c>
      <c r="L262" s="379">
        <v>28</v>
      </c>
      <c r="M262" s="4">
        <v>60</v>
      </c>
      <c r="N262" s="379">
        <v>40</v>
      </c>
      <c r="O262" s="379">
        <v>18</v>
      </c>
      <c r="P262" s="380">
        <f>SUM(D262:O262)</f>
        <v>291</v>
      </c>
    </row>
    <row r="263" spans="1:16" ht="16.2" thickBot="1" x14ac:dyDescent="0.35">
      <c r="A263" s="485" t="s">
        <v>1</v>
      </c>
      <c r="B263" s="486"/>
      <c r="C263" s="461" t="s">
        <v>0</v>
      </c>
      <c r="D263" s="3">
        <f>D261/D262</f>
        <v>1.4444444444444444</v>
      </c>
      <c r="E263" s="3">
        <f t="shared" ref="E263:G263" si="198">E261/E262</f>
        <v>1.6470588235294117</v>
      </c>
      <c r="F263" s="3">
        <f t="shared" si="198"/>
        <v>1.3333333333333333</v>
      </c>
      <c r="G263" s="15">
        <f t="shared" si="198"/>
        <v>0.5</v>
      </c>
      <c r="H263" s="462">
        <f t="shared" ref="H263:P263" si="199">H261/H262</f>
        <v>0.94117647058823528</v>
      </c>
      <c r="I263" s="462">
        <f t="shared" si="199"/>
        <v>0.6</v>
      </c>
      <c r="J263" s="462">
        <f t="shared" si="199"/>
        <v>1.4666666666666666</v>
      </c>
      <c r="K263" s="462">
        <f t="shared" si="199"/>
        <v>0.3888888888888889</v>
      </c>
      <c r="L263" s="462">
        <f t="shared" si="199"/>
        <v>0.32142857142857145</v>
      </c>
      <c r="M263" s="462">
        <f t="shared" si="199"/>
        <v>0.41666666666666669</v>
      </c>
      <c r="N263" s="462">
        <f t="shared" si="199"/>
        <v>0.45</v>
      </c>
      <c r="O263" s="462">
        <v>0.55555555555555558</v>
      </c>
      <c r="P263" s="463">
        <f t="shared" si="199"/>
        <v>0.71821305841924399</v>
      </c>
    </row>
  </sheetData>
  <mergeCells count="2">
    <mergeCell ref="B29:B30"/>
    <mergeCell ref="A29:A30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263"/>
  <sheetViews>
    <sheetView zoomScaleNormal="100" workbookViewId="0">
      <pane xSplit="2" ySplit="8" topLeftCell="N9" activePane="bottomRight" state="frozen"/>
      <selection pane="topRight" activeCell="C1" sqref="C1"/>
      <selection pane="bottomLeft" activeCell="A9" sqref="A9"/>
      <selection pane="bottomRight" activeCell="O1" sqref="O1:O1048576"/>
    </sheetView>
  </sheetViews>
  <sheetFormatPr defaultRowHeight="14.4" x14ac:dyDescent="0.3"/>
  <cols>
    <col min="1" max="1" width="39" style="341" customWidth="1"/>
    <col min="2" max="2" width="16.88671875" style="341" customWidth="1"/>
    <col min="3" max="3" width="12.5546875" style="341" customWidth="1"/>
    <col min="4" max="10" width="19.109375" style="341" customWidth="1"/>
    <col min="11" max="11" width="23.109375" style="341" customWidth="1"/>
    <col min="12" max="12" width="22.6640625" style="341" customWidth="1"/>
    <col min="13" max="13" width="20.109375" style="341" bestFit="1" customWidth="1"/>
    <col min="14" max="15" width="19.109375" style="341" customWidth="1"/>
    <col min="16" max="16" width="18.44140625" style="341" customWidth="1"/>
    <col min="17" max="16384" width="8.88671875" style="341"/>
  </cols>
  <sheetData>
    <row r="1" spans="1:16" customFormat="1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16" customFormat="1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16" customFormat="1" ht="18" thickBot="1" x14ac:dyDescent="0.35">
      <c r="A3" s="315" t="s">
        <v>217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16" customFormat="1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16" customFormat="1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3"/>
    </row>
    <row r="6" spans="1:16" customFormat="1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16" ht="16.2" thickBot="1" x14ac:dyDescent="0.35">
      <c r="A7" s="470" t="s">
        <v>174</v>
      </c>
      <c r="B7" s="471"/>
      <c r="C7" s="338" t="s">
        <v>173</v>
      </c>
      <c r="D7" s="339" t="s">
        <v>163</v>
      </c>
      <c r="E7" s="339" t="s">
        <v>162</v>
      </c>
      <c r="F7" s="339" t="s">
        <v>161</v>
      </c>
      <c r="G7" s="339" t="s">
        <v>172</v>
      </c>
      <c r="H7" s="339" t="s">
        <v>171</v>
      </c>
      <c r="I7" s="339" t="s">
        <v>170</v>
      </c>
      <c r="J7" s="339" t="s">
        <v>169</v>
      </c>
      <c r="K7" s="339" t="s">
        <v>168</v>
      </c>
      <c r="L7" s="339" t="s">
        <v>167</v>
      </c>
      <c r="M7" s="339" t="s">
        <v>166</v>
      </c>
      <c r="N7" s="339" t="s">
        <v>165</v>
      </c>
      <c r="O7" s="339" t="s">
        <v>164</v>
      </c>
      <c r="P7" s="340" t="s">
        <v>160</v>
      </c>
    </row>
    <row r="8" spans="1:16" ht="15" thickBot="1" x14ac:dyDescent="0.35">
      <c r="A8" s="540" t="s">
        <v>159</v>
      </c>
      <c r="B8" s="541"/>
      <c r="C8" s="541"/>
      <c r="D8" s="541"/>
      <c r="E8" s="541"/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2"/>
    </row>
    <row r="9" spans="1:16" ht="15.6" x14ac:dyDescent="0.3">
      <c r="A9" s="543" t="s">
        <v>176</v>
      </c>
      <c r="B9" s="544"/>
      <c r="C9" s="342" t="s">
        <v>152</v>
      </c>
      <c r="D9" s="550">
        <v>28533</v>
      </c>
      <c r="E9" s="176">
        <v>29250</v>
      </c>
      <c r="F9" s="176">
        <v>28920</v>
      </c>
      <c r="G9" s="176">
        <v>28655</v>
      </c>
      <c r="H9" s="176">
        <v>28342</v>
      </c>
      <c r="I9" s="176">
        <v>28121</v>
      </c>
      <c r="J9" s="176">
        <v>27479</v>
      </c>
      <c r="K9" s="176">
        <v>27655</v>
      </c>
      <c r="L9" s="343">
        <v>28062</v>
      </c>
      <c r="M9" s="176">
        <v>27553</v>
      </c>
      <c r="N9" s="343">
        <v>28105</v>
      </c>
      <c r="O9" s="343">
        <v>27956</v>
      </c>
      <c r="P9" s="344">
        <f>SUM(D9:O9)</f>
        <v>338631</v>
      </c>
    </row>
    <row r="10" spans="1:16" x14ac:dyDescent="0.3">
      <c r="A10" s="472" t="s">
        <v>177</v>
      </c>
      <c r="B10" s="473"/>
      <c r="C10" s="473"/>
      <c r="D10" s="473"/>
      <c r="E10" s="473"/>
      <c r="F10" s="473"/>
      <c r="G10" s="473"/>
      <c r="H10" s="473"/>
      <c r="I10" s="473"/>
      <c r="J10" s="473"/>
      <c r="K10" s="473"/>
      <c r="L10" s="473"/>
      <c r="M10" s="473"/>
      <c r="N10" s="473"/>
      <c r="O10" s="473"/>
      <c r="P10" s="474"/>
    </row>
    <row r="11" spans="1:16" ht="15.6" x14ac:dyDescent="0.3">
      <c r="A11" s="482" t="s">
        <v>157</v>
      </c>
      <c r="B11" s="483"/>
      <c r="C11" s="345" t="s">
        <v>152</v>
      </c>
      <c r="D11" s="555">
        <f>2404+712+11700</f>
        <v>14816</v>
      </c>
      <c r="E11" s="26">
        <f>2270+680+12732</f>
        <v>15682</v>
      </c>
      <c r="F11" s="26">
        <f>2946+1017+15859</f>
        <v>19822</v>
      </c>
      <c r="G11" s="26">
        <f>2216+667+12448</f>
        <v>15331</v>
      </c>
      <c r="H11" s="26">
        <f>2254+631+12248</f>
        <v>15133</v>
      </c>
      <c r="I11" s="26">
        <f>2337+674+13201</f>
        <v>16212</v>
      </c>
      <c r="J11" s="26">
        <f>2520+806+14549</f>
        <v>17875</v>
      </c>
      <c r="K11" s="26">
        <f>2416+649+15198</f>
        <v>18263</v>
      </c>
      <c r="L11" s="346">
        <v>16641</v>
      </c>
      <c r="M11" s="26">
        <f>2214+712+13991</f>
        <v>16917</v>
      </c>
      <c r="N11" s="346">
        <v>17751</v>
      </c>
      <c r="O11" s="346">
        <v>17601</v>
      </c>
      <c r="P11" s="347">
        <f>SUM(D11:O11)</f>
        <v>202044</v>
      </c>
    </row>
    <row r="12" spans="1:16" ht="15.6" x14ac:dyDescent="0.3">
      <c r="A12" s="482" t="s">
        <v>156</v>
      </c>
      <c r="B12" s="483"/>
      <c r="C12" s="345" t="s">
        <v>152</v>
      </c>
      <c r="D12" s="555">
        <v>886</v>
      </c>
      <c r="E12" s="26">
        <v>858</v>
      </c>
      <c r="F12" s="26">
        <v>1034</v>
      </c>
      <c r="G12" s="26">
        <v>719</v>
      </c>
      <c r="H12" s="26">
        <v>864</v>
      </c>
      <c r="I12" s="26">
        <v>763</v>
      </c>
      <c r="J12" s="26">
        <v>803</v>
      </c>
      <c r="K12" s="26">
        <v>756</v>
      </c>
      <c r="L12" s="346">
        <v>692</v>
      </c>
      <c r="M12" s="26">
        <v>565</v>
      </c>
      <c r="N12" s="346">
        <v>786</v>
      </c>
      <c r="O12" s="346">
        <v>882</v>
      </c>
      <c r="P12" s="347">
        <f>SUM(D12:O12)</f>
        <v>9608</v>
      </c>
    </row>
    <row r="13" spans="1:16" ht="15.6" x14ac:dyDescent="0.3">
      <c r="A13" s="482" t="s">
        <v>155</v>
      </c>
      <c r="B13" s="483"/>
      <c r="C13" s="345" t="s">
        <v>152</v>
      </c>
      <c r="D13" s="555">
        <v>248</v>
      </c>
      <c r="E13" s="26">
        <v>282</v>
      </c>
      <c r="F13" s="26">
        <v>318</v>
      </c>
      <c r="G13" s="26">
        <v>281</v>
      </c>
      <c r="H13" s="26">
        <v>238</v>
      </c>
      <c r="I13" s="26">
        <v>217</v>
      </c>
      <c r="J13" s="26">
        <v>592</v>
      </c>
      <c r="K13" s="26">
        <v>632</v>
      </c>
      <c r="L13" s="346">
        <v>229</v>
      </c>
      <c r="M13" s="26">
        <v>206</v>
      </c>
      <c r="N13" s="346">
        <v>259</v>
      </c>
      <c r="O13" s="346">
        <v>271</v>
      </c>
      <c r="P13" s="347">
        <f>SUM(D13:O13)</f>
        <v>3773</v>
      </c>
    </row>
    <row r="14" spans="1:16" ht="15.6" x14ac:dyDescent="0.3">
      <c r="A14" s="475" t="s">
        <v>154</v>
      </c>
      <c r="B14" s="476"/>
      <c r="C14" s="345" t="s">
        <v>152</v>
      </c>
      <c r="D14" s="555">
        <v>59</v>
      </c>
      <c r="E14" s="26">
        <v>63</v>
      </c>
      <c r="F14" s="26">
        <v>125</v>
      </c>
      <c r="G14" s="26">
        <v>78</v>
      </c>
      <c r="H14" s="26">
        <v>92</v>
      </c>
      <c r="I14" s="26">
        <v>88</v>
      </c>
      <c r="J14" s="26">
        <v>167</v>
      </c>
      <c r="K14" s="26">
        <v>210</v>
      </c>
      <c r="L14" s="346">
        <v>108</v>
      </c>
      <c r="M14" s="26">
        <v>107</v>
      </c>
      <c r="N14" s="346">
        <v>118</v>
      </c>
      <c r="O14" s="346">
        <v>84</v>
      </c>
      <c r="P14" s="347">
        <f>SUM(D14:O14)</f>
        <v>1299</v>
      </c>
    </row>
    <row r="15" spans="1:16" s="350" customFormat="1" ht="15.6" x14ac:dyDescent="0.3">
      <c r="A15" s="492" t="s">
        <v>158</v>
      </c>
      <c r="B15" s="493"/>
      <c r="C15" s="348" t="s">
        <v>152</v>
      </c>
      <c r="D15" s="349">
        <f t="shared" ref="D15:P15" si="0">SUM(D11:D14)</f>
        <v>16009</v>
      </c>
      <c r="E15" s="349">
        <f t="shared" si="0"/>
        <v>16885</v>
      </c>
      <c r="F15" s="349">
        <f t="shared" si="0"/>
        <v>21299</v>
      </c>
      <c r="G15" s="349">
        <f t="shared" si="0"/>
        <v>16409</v>
      </c>
      <c r="H15" s="349">
        <f t="shared" si="0"/>
        <v>16327</v>
      </c>
      <c r="I15" s="349">
        <f t="shared" si="0"/>
        <v>17280</v>
      </c>
      <c r="J15" s="349">
        <f t="shared" si="0"/>
        <v>19437</v>
      </c>
      <c r="K15" s="349">
        <f t="shared" si="0"/>
        <v>19861</v>
      </c>
      <c r="L15" s="349">
        <f t="shared" si="0"/>
        <v>17670</v>
      </c>
      <c r="M15" s="349">
        <f t="shared" si="0"/>
        <v>17795</v>
      </c>
      <c r="N15" s="349">
        <f t="shared" si="0"/>
        <v>18914</v>
      </c>
      <c r="O15" s="349">
        <v>18838</v>
      </c>
      <c r="P15" s="347">
        <f t="shared" si="0"/>
        <v>216724</v>
      </c>
    </row>
    <row r="16" spans="1:16" s="351" customFormat="1" x14ac:dyDescent="0.3">
      <c r="A16" s="472" t="s">
        <v>178</v>
      </c>
      <c r="B16" s="473"/>
      <c r="C16" s="473"/>
      <c r="D16" s="473"/>
      <c r="E16" s="473"/>
      <c r="F16" s="473"/>
      <c r="G16" s="473"/>
      <c r="H16" s="473"/>
      <c r="I16" s="473"/>
      <c r="J16" s="473"/>
      <c r="K16" s="473"/>
      <c r="L16" s="473"/>
      <c r="M16" s="473"/>
      <c r="N16" s="473"/>
      <c r="O16" s="473"/>
      <c r="P16" s="474"/>
    </row>
    <row r="17" spans="1:17" s="351" customFormat="1" ht="15.6" x14ac:dyDescent="0.3">
      <c r="A17" s="482" t="s">
        <v>180</v>
      </c>
      <c r="B17" s="483"/>
      <c r="C17" s="345" t="s">
        <v>152</v>
      </c>
      <c r="D17" s="26"/>
      <c r="E17" s="26"/>
      <c r="F17" s="26">
        <v>2252</v>
      </c>
      <c r="G17" s="26">
        <v>2215</v>
      </c>
      <c r="H17" s="346"/>
      <c r="I17" s="26">
        <v>1757</v>
      </c>
      <c r="J17" s="26">
        <v>1692</v>
      </c>
      <c r="K17" s="26">
        <v>1493</v>
      </c>
      <c r="L17" s="346">
        <v>2119</v>
      </c>
      <c r="M17" s="26">
        <v>1560</v>
      </c>
      <c r="N17" s="346">
        <v>1142</v>
      </c>
      <c r="O17" s="346">
        <v>1001</v>
      </c>
      <c r="P17" s="347">
        <f>SUM(D17:O17)</f>
        <v>15231</v>
      </c>
      <c r="Q17" s="352"/>
    </row>
    <row r="18" spans="1:17" s="351" customFormat="1" ht="15.6" x14ac:dyDescent="0.3">
      <c r="A18" s="482" t="s">
        <v>181</v>
      </c>
      <c r="B18" s="483"/>
      <c r="C18" s="345" t="s">
        <v>152</v>
      </c>
      <c r="D18" s="26"/>
      <c r="E18" s="26"/>
      <c r="F18" s="26"/>
      <c r="G18" s="26"/>
      <c r="H18" s="346"/>
      <c r="I18" s="26"/>
      <c r="J18" s="26"/>
      <c r="K18" s="26"/>
      <c r="L18" s="346"/>
      <c r="M18" s="26"/>
      <c r="N18" s="346"/>
      <c r="O18" s="346"/>
      <c r="P18" s="347">
        <f>SUM(D18:O18)</f>
        <v>0</v>
      </c>
      <c r="Q18" s="352"/>
    </row>
    <row r="19" spans="1:17" s="351" customFormat="1" ht="15.6" x14ac:dyDescent="0.3">
      <c r="A19" s="482" t="s">
        <v>182</v>
      </c>
      <c r="B19" s="483"/>
      <c r="C19" s="345" t="s">
        <v>152</v>
      </c>
      <c r="D19" s="26">
        <v>6680</v>
      </c>
      <c r="E19" s="26">
        <v>7519</v>
      </c>
      <c r="F19" s="26">
        <v>2820</v>
      </c>
      <c r="G19" s="26">
        <v>2790</v>
      </c>
      <c r="H19" s="26">
        <v>6251</v>
      </c>
      <c r="I19" s="26">
        <v>2340</v>
      </c>
      <c r="J19" s="26">
        <v>2159</v>
      </c>
      <c r="K19" s="26">
        <v>220</v>
      </c>
      <c r="L19" s="346">
        <v>2321</v>
      </c>
      <c r="M19" s="26">
        <v>2401</v>
      </c>
      <c r="N19" s="346">
        <v>2466</v>
      </c>
      <c r="O19" s="346">
        <v>2285</v>
      </c>
      <c r="P19" s="347">
        <f>SUM(D19:O19)</f>
        <v>40252</v>
      </c>
      <c r="Q19" s="352"/>
    </row>
    <row r="20" spans="1:17" s="351" customFormat="1" ht="15.6" x14ac:dyDescent="0.3">
      <c r="A20" s="475" t="s">
        <v>183</v>
      </c>
      <c r="B20" s="476"/>
      <c r="C20" s="345" t="s">
        <v>152</v>
      </c>
      <c r="D20" s="555"/>
      <c r="E20" s="26"/>
      <c r="F20" s="26">
        <v>943</v>
      </c>
      <c r="G20" s="26">
        <v>950</v>
      </c>
      <c r="H20" s="346"/>
      <c r="I20" s="26">
        <v>758</v>
      </c>
      <c r="J20" s="26">
        <v>697</v>
      </c>
      <c r="K20" s="26">
        <v>709</v>
      </c>
      <c r="L20" s="346">
        <v>811</v>
      </c>
      <c r="M20" s="26">
        <v>703</v>
      </c>
      <c r="N20" s="346">
        <v>755</v>
      </c>
      <c r="O20" s="346">
        <v>669</v>
      </c>
      <c r="P20" s="347">
        <f>SUM(D20:O20)</f>
        <v>6995</v>
      </c>
      <c r="Q20" s="352"/>
    </row>
    <row r="21" spans="1:17" s="353" customFormat="1" ht="15.6" x14ac:dyDescent="0.3">
      <c r="A21" s="492" t="s">
        <v>184</v>
      </c>
      <c r="B21" s="493"/>
      <c r="C21" s="348" t="s">
        <v>152</v>
      </c>
      <c r="D21" s="349">
        <f>SUM(D17:D20)</f>
        <v>6680</v>
      </c>
      <c r="E21" s="349">
        <f t="shared" ref="E21:P21" si="1">SUM(E17:E20)</f>
        <v>7519</v>
      </c>
      <c r="F21" s="349">
        <f t="shared" si="1"/>
        <v>6015</v>
      </c>
      <c r="G21" s="349">
        <f t="shared" si="1"/>
        <v>5955</v>
      </c>
      <c r="H21" s="349">
        <f t="shared" si="1"/>
        <v>6251</v>
      </c>
      <c r="I21" s="349">
        <f t="shared" si="1"/>
        <v>4855</v>
      </c>
      <c r="J21" s="349">
        <f t="shared" si="1"/>
        <v>4548</v>
      </c>
      <c r="K21" s="349">
        <f t="shared" si="1"/>
        <v>2422</v>
      </c>
      <c r="L21" s="349">
        <f t="shared" si="1"/>
        <v>5251</v>
      </c>
      <c r="M21" s="349">
        <f t="shared" si="1"/>
        <v>4664</v>
      </c>
      <c r="N21" s="349">
        <f t="shared" si="1"/>
        <v>4363</v>
      </c>
      <c r="O21" s="349">
        <v>3955</v>
      </c>
      <c r="P21" s="347">
        <f t="shared" si="1"/>
        <v>62478</v>
      </c>
      <c r="Q21" s="352"/>
    </row>
    <row r="22" spans="1:17" s="351" customFormat="1" ht="15.6" x14ac:dyDescent="0.3">
      <c r="A22" s="354" t="s">
        <v>185</v>
      </c>
      <c r="B22" s="355"/>
      <c r="C22" s="345" t="s">
        <v>152</v>
      </c>
      <c r="D22" s="349">
        <f>D21+D15</f>
        <v>22689</v>
      </c>
      <c r="E22" s="349">
        <f t="shared" ref="E22:P22" si="2">E21+E15</f>
        <v>24404</v>
      </c>
      <c r="F22" s="349">
        <f t="shared" si="2"/>
        <v>27314</v>
      </c>
      <c r="G22" s="349">
        <f t="shared" si="2"/>
        <v>22364</v>
      </c>
      <c r="H22" s="349">
        <f t="shared" si="2"/>
        <v>22578</v>
      </c>
      <c r="I22" s="349">
        <f t="shared" si="2"/>
        <v>22135</v>
      </c>
      <c r="J22" s="349">
        <f t="shared" si="2"/>
        <v>23985</v>
      </c>
      <c r="K22" s="349">
        <f t="shared" si="2"/>
        <v>22283</v>
      </c>
      <c r="L22" s="349">
        <f t="shared" si="2"/>
        <v>22921</v>
      </c>
      <c r="M22" s="349">
        <f t="shared" si="2"/>
        <v>22459</v>
      </c>
      <c r="N22" s="349">
        <f t="shared" si="2"/>
        <v>23277</v>
      </c>
      <c r="O22" s="349">
        <v>22793</v>
      </c>
      <c r="P22" s="347">
        <f t="shared" si="2"/>
        <v>279202</v>
      </c>
    </row>
    <row r="23" spans="1:17" x14ac:dyDescent="0.3">
      <c r="A23" s="534"/>
      <c r="B23" s="535"/>
      <c r="C23" s="535"/>
      <c r="D23" s="535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6"/>
    </row>
    <row r="24" spans="1:17" ht="15.6" x14ac:dyDescent="0.3">
      <c r="A24" s="467" t="s">
        <v>179</v>
      </c>
      <c r="B24" s="356" t="s">
        <v>153</v>
      </c>
      <c r="C24" s="356" t="s">
        <v>152</v>
      </c>
      <c r="D24" s="357">
        <f>D9-D22</f>
        <v>5844</v>
      </c>
      <c r="E24" s="357">
        <f t="shared" ref="E24:P24" si="3">E9-E22</f>
        <v>4846</v>
      </c>
      <c r="F24" s="357">
        <f t="shared" si="3"/>
        <v>1606</v>
      </c>
      <c r="G24" s="357">
        <f t="shared" si="3"/>
        <v>6291</v>
      </c>
      <c r="H24" s="357">
        <f t="shared" si="3"/>
        <v>5764</v>
      </c>
      <c r="I24" s="357">
        <f t="shared" si="3"/>
        <v>5986</v>
      </c>
      <c r="J24" s="357">
        <f t="shared" si="3"/>
        <v>3494</v>
      </c>
      <c r="K24" s="357">
        <f t="shared" si="3"/>
        <v>5372</v>
      </c>
      <c r="L24" s="357">
        <f t="shared" si="3"/>
        <v>5141</v>
      </c>
      <c r="M24" s="357">
        <f t="shared" si="3"/>
        <v>5094</v>
      </c>
      <c r="N24" s="357">
        <f t="shared" si="3"/>
        <v>4828</v>
      </c>
      <c r="O24" s="357">
        <v>5163</v>
      </c>
      <c r="P24" s="358">
        <f t="shared" si="3"/>
        <v>59429</v>
      </c>
    </row>
    <row r="25" spans="1:17" ht="15.6" x14ac:dyDescent="0.3">
      <c r="A25" s="469"/>
      <c r="B25" s="371" t="s">
        <v>151</v>
      </c>
      <c r="C25" s="545" t="s">
        <v>6</v>
      </c>
      <c r="D25" s="546">
        <f t="shared" ref="D25:P25" si="4">D24/D9</f>
        <v>0.20481547681631795</v>
      </c>
      <c r="E25" s="546">
        <f t="shared" si="4"/>
        <v>0.16567521367521368</v>
      </c>
      <c r="F25" s="546">
        <f t="shared" si="4"/>
        <v>5.5532503457814658E-2</v>
      </c>
      <c r="G25" s="546">
        <f t="shared" si="4"/>
        <v>0.21954283720118653</v>
      </c>
      <c r="H25" s="546">
        <f t="shared" si="4"/>
        <v>0.20337308587961331</v>
      </c>
      <c r="I25" s="546">
        <f t="shared" si="4"/>
        <v>0.21286582980690588</v>
      </c>
      <c r="J25" s="546">
        <f t="shared" si="4"/>
        <v>0.12715164307289203</v>
      </c>
      <c r="K25" s="546">
        <f t="shared" si="4"/>
        <v>0.19425058759717953</v>
      </c>
      <c r="L25" s="546">
        <f t="shared" si="4"/>
        <v>0.18320148243175824</v>
      </c>
      <c r="M25" s="546">
        <f t="shared" si="4"/>
        <v>0.1848800493594164</v>
      </c>
      <c r="N25" s="546">
        <f t="shared" si="4"/>
        <v>0.17178438000355808</v>
      </c>
      <c r="O25" s="546">
        <v>0.1846830734010588</v>
      </c>
      <c r="P25" s="547">
        <f t="shared" si="4"/>
        <v>0.17549781325395489</v>
      </c>
    </row>
    <row r="26" spans="1:17" x14ac:dyDescent="0.3">
      <c r="A26" s="472" t="s">
        <v>150</v>
      </c>
      <c r="B26" s="473"/>
      <c r="C26" s="473"/>
      <c r="D26" s="473"/>
      <c r="E26" s="473"/>
      <c r="F26" s="473"/>
      <c r="G26" s="473"/>
      <c r="H26" s="473"/>
      <c r="I26" s="473"/>
      <c r="J26" s="473"/>
      <c r="K26" s="473"/>
      <c r="L26" s="473"/>
      <c r="M26" s="473"/>
      <c r="N26" s="473"/>
      <c r="O26" s="473"/>
      <c r="P26" s="474"/>
    </row>
    <row r="27" spans="1:17" x14ac:dyDescent="0.3">
      <c r="A27" s="464" t="s">
        <v>149</v>
      </c>
      <c r="B27" s="465"/>
      <c r="C27" s="465"/>
      <c r="D27" s="465"/>
      <c r="E27" s="465"/>
      <c r="F27" s="465"/>
      <c r="G27" s="465"/>
      <c r="H27" s="465"/>
      <c r="I27" s="465"/>
      <c r="J27" s="465"/>
      <c r="K27" s="465"/>
      <c r="L27" s="465"/>
      <c r="M27" s="465"/>
      <c r="N27" s="465"/>
      <c r="O27" s="465"/>
      <c r="P27" s="466"/>
    </row>
    <row r="28" spans="1:17" ht="15.6" x14ac:dyDescent="0.3">
      <c r="A28" s="363" t="s">
        <v>148</v>
      </c>
      <c r="B28" s="364" t="s">
        <v>147</v>
      </c>
      <c r="C28" s="365"/>
      <c r="D28" s="366"/>
      <c r="E28" s="366"/>
      <c r="F28" s="366"/>
      <c r="G28" s="366"/>
      <c r="H28" s="366"/>
      <c r="I28" s="366"/>
      <c r="J28" s="367"/>
      <c r="K28" s="367"/>
      <c r="L28" s="367"/>
      <c r="M28" s="367"/>
      <c r="N28" s="367"/>
      <c r="O28" s="366"/>
      <c r="P28" s="368"/>
    </row>
    <row r="29" spans="1:17" ht="15.6" x14ac:dyDescent="0.3">
      <c r="A29" s="245" t="s">
        <v>146</v>
      </c>
      <c r="B29" s="585">
        <v>3525.29</v>
      </c>
      <c r="C29" s="356" t="s">
        <v>140</v>
      </c>
      <c r="D29" s="4">
        <v>30</v>
      </c>
      <c r="E29" s="4">
        <v>30</v>
      </c>
      <c r="F29" s="4">
        <v>30</v>
      </c>
      <c r="G29" s="4">
        <v>31</v>
      </c>
      <c r="H29" s="4">
        <v>31</v>
      </c>
      <c r="I29" s="4">
        <v>30</v>
      </c>
      <c r="J29" s="4">
        <v>31</v>
      </c>
      <c r="K29" s="4">
        <v>30</v>
      </c>
      <c r="L29" s="369">
        <v>31</v>
      </c>
      <c r="M29" s="4">
        <v>31</v>
      </c>
      <c r="N29" s="369">
        <v>29</v>
      </c>
      <c r="O29" s="369">
        <v>30</v>
      </c>
      <c r="P29" s="370">
        <f>SUM(D29:O29)</f>
        <v>364</v>
      </c>
    </row>
    <row r="30" spans="1:17" ht="15.6" x14ac:dyDescent="0.3">
      <c r="A30" s="246"/>
      <c r="B30" s="586"/>
      <c r="C30" s="371" t="s">
        <v>139</v>
      </c>
      <c r="D30" s="15">
        <f t="shared" ref="D30:K30" si="5">D29/(D9/1000)</f>
        <v>1.0514141520344864</v>
      </c>
      <c r="E30" s="15">
        <f t="shared" si="5"/>
        <v>1.0256410256410255</v>
      </c>
      <c r="F30" s="15">
        <f t="shared" si="5"/>
        <v>1.0373443983402488</v>
      </c>
      <c r="G30" s="15">
        <f t="shared" si="5"/>
        <v>1.0818356307799686</v>
      </c>
      <c r="H30" s="15">
        <f t="shared" si="5"/>
        <v>1.0937830781172819</v>
      </c>
      <c r="I30" s="15">
        <f t="shared" si="5"/>
        <v>1.0668183919490772</v>
      </c>
      <c r="J30" s="15">
        <f t="shared" si="5"/>
        <v>1.1281342115797519</v>
      </c>
      <c r="K30" s="15">
        <f t="shared" si="5"/>
        <v>1.0847947929849937</v>
      </c>
      <c r="L30" s="372">
        <v>1.1046967429263772</v>
      </c>
      <c r="M30" s="372">
        <f t="shared" ref="M30:P30" si="6">M29/(M9/1000)</f>
        <v>1.1251043443545168</v>
      </c>
      <c r="N30" s="372">
        <f t="shared" si="6"/>
        <v>1.0318448674613059</v>
      </c>
      <c r="O30" s="372">
        <v>1.0731148948347404</v>
      </c>
      <c r="P30" s="373">
        <f t="shared" si="6"/>
        <v>1.0749163543798412</v>
      </c>
    </row>
    <row r="31" spans="1:17" ht="15.6" x14ac:dyDescent="0.3">
      <c r="A31" s="245" t="s">
        <v>145</v>
      </c>
      <c r="B31" s="243"/>
      <c r="C31" s="356" t="s">
        <v>140</v>
      </c>
      <c r="D31" s="43"/>
      <c r="E31" s="43"/>
      <c r="F31" s="43"/>
      <c r="G31" s="43"/>
      <c r="H31" s="369"/>
      <c r="I31" s="369"/>
      <c r="J31" s="369"/>
      <c r="K31" s="369"/>
      <c r="L31" s="369"/>
      <c r="M31" s="369"/>
      <c r="N31" s="369"/>
      <c r="O31" s="369"/>
      <c r="P31" s="370">
        <f>SUM(D31:O31)</f>
        <v>0</v>
      </c>
    </row>
    <row r="32" spans="1:17" ht="15.6" x14ac:dyDescent="0.3">
      <c r="A32" s="246"/>
      <c r="B32" s="244">
        <v>1060.01</v>
      </c>
      <c r="C32" s="371" t="s">
        <v>139</v>
      </c>
      <c r="D32" s="15">
        <f t="shared" ref="D32:G32" si="7">D31/(D9/1000)</f>
        <v>0</v>
      </c>
      <c r="E32" s="15">
        <f t="shared" si="7"/>
        <v>0</v>
      </c>
      <c r="F32" s="15">
        <f t="shared" si="7"/>
        <v>0</v>
      </c>
      <c r="G32" s="15">
        <f t="shared" si="7"/>
        <v>0</v>
      </c>
      <c r="H32" s="372">
        <f t="shared" ref="H32:P32" si="8">H31/(H9/1000)</f>
        <v>0</v>
      </c>
      <c r="I32" s="372">
        <f t="shared" si="8"/>
        <v>0</v>
      </c>
      <c r="J32" s="372">
        <f t="shared" si="8"/>
        <v>0</v>
      </c>
      <c r="K32" s="372">
        <f t="shared" si="8"/>
        <v>0</v>
      </c>
      <c r="L32" s="372">
        <f t="shared" si="8"/>
        <v>0</v>
      </c>
      <c r="M32" s="372">
        <f t="shared" si="8"/>
        <v>0</v>
      </c>
      <c r="N32" s="372">
        <f t="shared" si="8"/>
        <v>0</v>
      </c>
      <c r="O32" s="372">
        <v>0</v>
      </c>
      <c r="P32" s="373">
        <f t="shared" si="8"/>
        <v>0</v>
      </c>
    </row>
    <row r="33" spans="1:16" ht="15.6" x14ac:dyDescent="0.3">
      <c r="A33" s="245" t="s">
        <v>144</v>
      </c>
      <c r="B33" s="243"/>
      <c r="C33" s="356" t="s">
        <v>140</v>
      </c>
      <c r="D33" s="43"/>
      <c r="E33" s="43"/>
      <c r="F33" s="43"/>
      <c r="G33" s="43"/>
      <c r="H33" s="369"/>
      <c r="I33" s="369"/>
      <c r="J33" s="369"/>
      <c r="K33" s="369"/>
      <c r="L33" s="369"/>
      <c r="M33" s="369"/>
      <c r="N33" s="369"/>
      <c r="O33" s="369"/>
      <c r="P33" s="370">
        <f>SUM(D33:O33)</f>
        <v>0</v>
      </c>
    </row>
    <row r="34" spans="1:16" ht="15.6" x14ac:dyDescent="0.3">
      <c r="A34" s="246"/>
      <c r="B34" s="244">
        <v>1228.29</v>
      </c>
      <c r="C34" s="371" t="s">
        <v>139</v>
      </c>
      <c r="D34" s="15">
        <f t="shared" ref="D34:G34" si="9">D33/(D9/1000)</f>
        <v>0</v>
      </c>
      <c r="E34" s="15">
        <f t="shared" si="9"/>
        <v>0</v>
      </c>
      <c r="F34" s="15">
        <f t="shared" si="9"/>
        <v>0</v>
      </c>
      <c r="G34" s="15">
        <f t="shared" si="9"/>
        <v>0</v>
      </c>
      <c r="H34" s="372">
        <f t="shared" ref="H34:P34" si="10">H33/(H9/1000)</f>
        <v>0</v>
      </c>
      <c r="I34" s="372">
        <f t="shared" si="10"/>
        <v>0</v>
      </c>
      <c r="J34" s="372">
        <f t="shared" si="10"/>
        <v>0</v>
      </c>
      <c r="K34" s="372">
        <f t="shared" si="10"/>
        <v>0</v>
      </c>
      <c r="L34" s="372">
        <f t="shared" si="10"/>
        <v>0</v>
      </c>
      <c r="M34" s="372">
        <f t="shared" si="10"/>
        <v>0</v>
      </c>
      <c r="N34" s="372">
        <f t="shared" si="10"/>
        <v>0</v>
      </c>
      <c r="O34" s="372">
        <v>0</v>
      </c>
      <c r="P34" s="373">
        <f t="shared" si="10"/>
        <v>0</v>
      </c>
    </row>
    <row r="35" spans="1:16" ht="15.6" x14ac:dyDescent="0.3">
      <c r="A35" s="245" t="s">
        <v>143</v>
      </c>
      <c r="B35" s="243"/>
      <c r="C35" s="356" t="s">
        <v>126</v>
      </c>
      <c r="D35" s="43"/>
      <c r="E35" s="13"/>
      <c r="F35" s="43"/>
      <c r="G35" s="13"/>
      <c r="H35" s="374"/>
      <c r="I35" s="374"/>
      <c r="J35" s="374"/>
      <c r="K35" s="374"/>
      <c r="L35" s="374"/>
      <c r="M35" s="374"/>
      <c r="N35" s="374"/>
      <c r="O35" s="374"/>
      <c r="P35" s="373"/>
    </row>
    <row r="36" spans="1:16" ht="15.6" x14ac:dyDescent="0.3">
      <c r="A36" s="246"/>
      <c r="B36" s="244">
        <v>3726.73</v>
      </c>
      <c r="C36" s="356" t="s">
        <v>142</v>
      </c>
      <c r="D36" s="15">
        <f t="shared" ref="D36:G38" si="11">D35/(D11/1000)</f>
        <v>0</v>
      </c>
      <c r="E36" s="13"/>
      <c r="F36" s="15">
        <f t="shared" ref="F36" si="12">F35/(F11/1000)</f>
        <v>0</v>
      </c>
      <c r="G36" s="13"/>
      <c r="H36" s="374"/>
      <c r="I36" s="374"/>
      <c r="J36" s="374"/>
      <c r="K36" s="374"/>
      <c r="L36" s="374"/>
      <c r="M36" s="374"/>
      <c r="N36" s="374"/>
      <c r="O36" s="374"/>
      <c r="P36" s="373"/>
    </row>
    <row r="37" spans="1:16" ht="15.6" x14ac:dyDescent="0.3">
      <c r="A37" s="245" t="s">
        <v>186</v>
      </c>
      <c r="B37" s="243"/>
      <c r="C37" s="356" t="s">
        <v>126</v>
      </c>
      <c r="D37" s="43"/>
      <c r="E37" s="43"/>
      <c r="F37" s="43"/>
      <c r="G37" s="43"/>
      <c r="H37" s="369">
        <v>0</v>
      </c>
      <c r="I37" s="369">
        <v>0</v>
      </c>
      <c r="J37" s="369">
        <v>0</v>
      </c>
      <c r="K37" s="369">
        <v>0</v>
      </c>
      <c r="L37" s="369">
        <v>0</v>
      </c>
      <c r="M37" s="369">
        <v>0</v>
      </c>
      <c r="N37" s="369">
        <v>0</v>
      </c>
      <c r="O37" s="369">
        <v>0</v>
      </c>
      <c r="P37" s="370">
        <f>SUM(D37:O37)</f>
        <v>0</v>
      </c>
    </row>
    <row r="38" spans="1:16" ht="15.6" x14ac:dyDescent="0.3">
      <c r="A38" s="246"/>
      <c r="B38" s="244">
        <v>3951.59</v>
      </c>
      <c r="C38" s="356" t="s">
        <v>142</v>
      </c>
      <c r="D38" s="15">
        <f t="shared" si="11"/>
        <v>0</v>
      </c>
      <c r="E38" s="15">
        <f t="shared" si="11"/>
        <v>0</v>
      </c>
      <c r="F38" s="15">
        <f t="shared" si="11"/>
        <v>0</v>
      </c>
      <c r="G38" s="15">
        <f t="shared" si="11"/>
        <v>0</v>
      </c>
      <c r="H38" s="372">
        <f t="shared" ref="H38:P38" si="13">H37/(H9/1000)</f>
        <v>0</v>
      </c>
      <c r="I38" s="372">
        <f t="shared" si="13"/>
        <v>0</v>
      </c>
      <c r="J38" s="372">
        <f t="shared" si="13"/>
        <v>0</v>
      </c>
      <c r="K38" s="372">
        <f t="shared" si="13"/>
        <v>0</v>
      </c>
      <c r="L38" s="372">
        <f t="shared" si="13"/>
        <v>0</v>
      </c>
      <c r="M38" s="372">
        <f t="shared" si="13"/>
        <v>0</v>
      </c>
      <c r="N38" s="372">
        <f t="shared" si="13"/>
        <v>0</v>
      </c>
      <c r="O38" s="372">
        <v>0</v>
      </c>
      <c r="P38" s="373">
        <f t="shared" si="13"/>
        <v>0</v>
      </c>
    </row>
    <row r="39" spans="1:16" ht="15.6" x14ac:dyDescent="0.3">
      <c r="A39" s="245" t="s">
        <v>141</v>
      </c>
      <c r="B39" s="243"/>
      <c r="C39" s="356" t="s">
        <v>140</v>
      </c>
      <c r="D39" s="43"/>
      <c r="E39" s="43"/>
      <c r="F39" s="43"/>
      <c r="G39" s="43"/>
      <c r="H39" s="369">
        <v>0</v>
      </c>
      <c r="I39" s="369">
        <v>0</v>
      </c>
      <c r="J39" s="369">
        <v>0</v>
      </c>
      <c r="K39" s="369">
        <v>0</v>
      </c>
      <c r="L39" s="369">
        <v>0</v>
      </c>
      <c r="M39" s="369">
        <v>0</v>
      </c>
      <c r="N39" s="369">
        <v>0</v>
      </c>
      <c r="O39" s="369">
        <v>0</v>
      </c>
      <c r="P39" s="370">
        <f>SUM(D39:O39)</f>
        <v>0</v>
      </c>
    </row>
    <row r="40" spans="1:16" ht="15.6" x14ac:dyDescent="0.3">
      <c r="A40" s="246"/>
      <c r="B40" s="244">
        <v>1950</v>
      </c>
      <c r="C40" s="371" t="s">
        <v>139</v>
      </c>
      <c r="D40" s="15">
        <f t="shared" ref="D40:G40" si="14">D39/(D15/1000)</f>
        <v>0</v>
      </c>
      <c r="E40" s="15">
        <f t="shared" si="14"/>
        <v>0</v>
      </c>
      <c r="F40" s="15">
        <f t="shared" si="14"/>
        <v>0</v>
      </c>
      <c r="G40" s="15">
        <f t="shared" si="14"/>
        <v>0</v>
      </c>
      <c r="H40" s="372">
        <f t="shared" ref="H40:P40" si="15">H39/(H9/1000)</f>
        <v>0</v>
      </c>
      <c r="I40" s="372">
        <f t="shared" si="15"/>
        <v>0</v>
      </c>
      <c r="J40" s="372">
        <f t="shared" si="15"/>
        <v>0</v>
      </c>
      <c r="K40" s="372">
        <f t="shared" si="15"/>
        <v>0</v>
      </c>
      <c r="L40" s="372">
        <f t="shared" si="15"/>
        <v>0</v>
      </c>
      <c r="M40" s="372">
        <f t="shared" si="15"/>
        <v>0</v>
      </c>
      <c r="N40" s="372">
        <f t="shared" si="15"/>
        <v>0</v>
      </c>
      <c r="O40" s="372">
        <v>0</v>
      </c>
      <c r="P40" s="373">
        <f t="shared" si="15"/>
        <v>0</v>
      </c>
    </row>
    <row r="41" spans="1:16" ht="15.6" x14ac:dyDescent="0.3">
      <c r="A41" s="475" t="s">
        <v>138</v>
      </c>
      <c r="B41" s="476"/>
      <c r="C41" s="345" t="s">
        <v>31</v>
      </c>
      <c r="D41" s="375">
        <f>(D29*$B29)+(D31*$B31)+(D33*$B33)+(D35*$B35)+(D37*$B37)+(D39*$B39)</f>
        <v>105758.7</v>
      </c>
      <c r="E41" s="375">
        <f t="shared" ref="E41:N41" si="16">(E29*$B29)+(E31*$B31)+(E33*$B33)+(E35*$B35)+(E37*$B37)+(E39*$B39)</f>
        <v>105758.7</v>
      </c>
      <c r="F41" s="375">
        <f t="shared" si="16"/>
        <v>105758.7</v>
      </c>
      <c r="G41" s="375">
        <f t="shared" si="16"/>
        <v>109283.99</v>
      </c>
      <c r="H41" s="375">
        <f t="shared" si="16"/>
        <v>109283.99</v>
      </c>
      <c r="I41" s="375">
        <f t="shared" si="16"/>
        <v>105758.7</v>
      </c>
      <c r="J41" s="375">
        <f t="shared" si="16"/>
        <v>109283.99</v>
      </c>
      <c r="K41" s="375">
        <f t="shared" si="16"/>
        <v>105758.7</v>
      </c>
      <c r="L41" s="375">
        <f t="shared" si="16"/>
        <v>109283.99</v>
      </c>
      <c r="M41" s="375">
        <f t="shared" si="16"/>
        <v>109283.99</v>
      </c>
      <c r="N41" s="375">
        <f t="shared" si="16"/>
        <v>102233.41</v>
      </c>
      <c r="O41" s="375">
        <v>105758.7</v>
      </c>
      <c r="P41" s="376">
        <f>SUM(D41:O41)</f>
        <v>1283205.5599999998</v>
      </c>
    </row>
    <row r="42" spans="1:16" ht="15.6" x14ac:dyDescent="0.3">
      <c r="A42" s="532" t="s">
        <v>137</v>
      </c>
      <c r="B42" s="533"/>
      <c r="C42" s="371" t="s">
        <v>115</v>
      </c>
      <c r="D42" s="372">
        <f t="shared" ref="D42:P42" si="17">D41/D9</f>
        <v>3.7065397960256545</v>
      </c>
      <c r="E42" s="372">
        <f t="shared" si="17"/>
        <v>3.6156820512820511</v>
      </c>
      <c r="F42" s="372">
        <f t="shared" si="17"/>
        <v>3.6569398340248962</v>
      </c>
      <c r="G42" s="372">
        <f t="shared" si="17"/>
        <v>3.8137843308323158</v>
      </c>
      <c r="H42" s="372">
        <f t="shared" si="17"/>
        <v>3.8559025474560724</v>
      </c>
      <c r="I42" s="372">
        <f t="shared" si="17"/>
        <v>3.760844208954162</v>
      </c>
      <c r="J42" s="372">
        <f t="shared" si="17"/>
        <v>3.9770002547399836</v>
      </c>
      <c r="K42" s="372">
        <f t="shared" si="17"/>
        <v>3.8242162357620684</v>
      </c>
      <c r="L42" s="372">
        <f t="shared" si="17"/>
        <v>3.8943763808709289</v>
      </c>
      <c r="M42" s="372">
        <f t="shared" si="17"/>
        <v>3.9663190941095348</v>
      </c>
      <c r="N42" s="372">
        <f t="shared" si="17"/>
        <v>3.6375523928126667</v>
      </c>
      <c r="O42" s="372">
        <v>3.7830412076119617</v>
      </c>
      <c r="P42" s="377">
        <f t="shared" si="17"/>
        <v>3.7893918749317099</v>
      </c>
    </row>
    <row r="43" spans="1:16" x14ac:dyDescent="0.3">
      <c r="A43" s="521" t="s">
        <v>136</v>
      </c>
      <c r="B43" s="522"/>
      <c r="C43" s="522"/>
      <c r="D43" s="522"/>
      <c r="E43" s="522"/>
      <c r="F43" s="522"/>
      <c r="G43" s="522"/>
      <c r="H43" s="522"/>
      <c r="I43" s="522"/>
      <c r="J43" s="522"/>
      <c r="K43" s="522"/>
      <c r="L43" s="522"/>
      <c r="M43" s="522"/>
      <c r="N43" s="522"/>
      <c r="O43" s="522"/>
      <c r="P43" s="523"/>
    </row>
    <row r="44" spans="1:16" ht="15.6" x14ac:dyDescent="0.3">
      <c r="A44" s="475" t="s">
        <v>135</v>
      </c>
      <c r="B44" s="476"/>
      <c r="C44" s="345" t="s">
        <v>134</v>
      </c>
      <c r="D44" s="369">
        <v>16535</v>
      </c>
      <c r="E44" s="369">
        <v>18032</v>
      </c>
      <c r="F44" s="369">
        <v>18115</v>
      </c>
      <c r="G44" s="4">
        <v>16400</v>
      </c>
      <c r="H44" s="4">
        <v>16235</v>
      </c>
      <c r="I44" s="4">
        <v>16551</v>
      </c>
      <c r="J44" s="4">
        <v>15832</v>
      </c>
      <c r="K44" s="4">
        <v>15911</v>
      </c>
      <c r="L44" s="369">
        <v>16501</v>
      </c>
      <c r="M44" s="4">
        <v>15116</v>
      </c>
      <c r="N44" s="369">
        <v>16203</v>
      </c>
      <c r="O44" s="369">
        <v>15859</v>
      </c>
      <c r="P44" s="376">
        <f>SUM(D44:O44)</f>
        <v>197290</v>
      </c>
    </row>
    <row r="45" spans="1:16" ht="15.6" x14ac:dyDescent="0.3">
      <c r="A45" s="532" t="s">
        <v>133</v>
      </c>
      <c r="B45" s="533"/>
      <c r="C45" s="371" t="s">
        <v>132</v>
      </c>
      <c r="D45" s="372">
        <f t="shared" ref="D45:P45" si="18">D44/D9</f>
        <v>0.57950443346300773</v>
      </c>
      <c r="E45" s="372">
        <f t="shared" si="18"/>
        <v>0.61647863247863244</v>
      </c>
      <c r="F45" s="372">
        <f t="shared" si="18"/>
        <v>0.62638312586445366</v>
      </c>
      <c r="G45" s="15">
        <f t="shared" si="18"/>
        <v>0.57232594660617697</v>
      </c>
      <c r="H45" s="15">
        <f t="shared" si="18"/>
        <v>0.57282478300755069</v>
      </c>
      <c r="I45" s="15">
        <f t="shared" si="18"/>
        <v>0.58856370683830594</v>
      </c>
      <c r="J45" s="15">
        <f t="shared" si="18"/>
        <v>0.57614905928163329</v>
      </c>
      <c r="K45" s="15">
        <f t="shared" si="18"/>
        <v>0.57533899837280778</v>
      </c>
      <c r="L45" s="372">
        <v>0.58801938564606937</v>
      </c>
      <c r="M45" s="372">
        <f t="shared" si="18"/>
        <v>0.54861539578267338</v>
      </c>
      <c r="N45" s="372">
        <f t="shared" si="18"/>
        <v>0.57651663405088061</v>
      </c>
      <c r="O45" s="372">
        <v>0.56728430390613827</v>
      </c>
      <c r="P45" s="373">
        <f t="shared" si="18"/>
        <v>0.58261057020768925</v>
      </c>
    </row>
    <row r="46" spans="1:16" ht="15.6" x14ac:dyDescent="0.3">
      <c r="A46" s="487" t="s">
        <v>131</v>
      </c>
      <c r="B46" s="488"/>
      <c r="C46" s="356" t="s">
        <v>31</v>
      </c>
      <c r="D46" s="41">
        <f t="shared" ref="D46:I46" si="19">151.1*D44</f>
        <v>2498438.5</v>
      </c>
      <c r="E46" s="41">
        <f t="shared" si="19"/>
        <v>2724635.1999999997</v>
      </c>
      <c r="F46" s="41">
        <f t="shared" si="19"/>
        <v>2737176.5</v>
      </c>
      <c r="G46" s="41">
        <f t="shared" si="19"/>
        <v>2478040</v>
      </c>
      <c r="H46" s="41">
        <f t="shared" si="19"/>
        <v>2453108.5</v>
      </c>
      <c r="I46" s="41">
        <f t="shared" si="19"/>
        <v>2500856.1</v>
      </c>
      <c r="J46" s="378">
        <f t="shared" ref="J46:N46" si="20">1.165*(14100+(J44*119.1))</f>
        <v>2213140.2480000001</v>
      </c>
      <c r="K46" s="378">
        <f t="shared" si="20"/>
        <v>2224101.6165</v>
      </c>
      <c r="L46" s="378">
        <f t="shared" si="20"/>
        <v>2305965.0014999998</v>
      </c>
      <c r="M46" s="378">
        <f t="shared" si="20"/>
        <v>2113794.1740000001</v>
      </c>
      <c r="N46" s="378">
        <f t="shared" si="20"/>
        <v>2264617.0544999996</v>
      </c>
      <c r="O46" s="378">
        <v>2216886.5384999998</v>
      </c>
      <c r="P46" s="376">
        <f>SUM(D46:O46)</f>
        <v>28730759.432999998</v>
      </c>
    </row>
    <row r="47" spans="1:16" s="351" customFormat="1" ht="15.6" x14ac:dyDescent="0.3">
      <c r="A47" s="475" t="s">
        <v>130</v>
      </c>
      <c r="B47" s="476"/>
      <c r="C47" s="345" t="s">
        <v>115</v>
      </c>
      <c r="D47" s="372">
        <f t="shared" ref="D47:P47" si="21">D46/D9</f>
        <v>87.563119896260474</v>
      </c>
      <c r="E47" s="372">
        <f t="shared" si="21"/>
        <v>93.149921367521358</v>
      </c>
      <c r="F47" s="372">
        <f t="shared" si="21"/>
        <v>94.64649031811895</v>
      </c>
      <c r="G47" s="372">
        <f t="shared" si="21"/>
        <v>86.478450532193335</v>
      </c>
      <c r="H47" s="372">
        <f t="shared" si="21"/>
        <v>86.5538247124409</v>
      </c>
      <c r="I47" s="372">
        <f t="shared" si="21"/>
        <v>88.931976103268028</v>
      </c>
      <c r="J47" s="372">
        <f t="shared" si="21"/>
        <v>80.539329961061185</v>
      </c>
      <c r="K47" s="372">
        <f t="shared" si="21"/>
        <v>80.423128421623574</v>
      </c>
      <c r="L47" s="372">
        <f t="shared" si="21"/>
        <v>82.173936337395759</v>
      </c>
      <c r="M47" s="372">
        <f t="shared" si="21"/>
        <v>76.717387362537664</v>
      </c>
      <c r="N47" s="372">
        <f t="shared" si="21"/>
        <v>80.577016705212586</v>
      </c>
      <c r="O47" s="372">
        <v>79.299132154099297</v>
      </c>
      <c r="P47" s="373">
        <f t="shared" si="21"/>
        <v>84.843854912869759</v>
      </c>
    </row>
    <row r="48" spans="1:16" x14ac:dyDescent="0.3">
      <c r="A48" s="521" t="s">
        <v>129</v>
      </c>
      <c r="B48" s="522"/>
      <c r="C48" s="522"/>
      <c r="D48" s="522"/>
      <c r="E48" s="522"/>
      <c r="F48" s="522"/>
      <c r="G48" s="522"/>
      <c r="H48" s="522"/>
      <c r="I48" s="522"/>
      <c r="J48" s="522"/>
      <c r="K48" s="522"/>
      <c r="L48" s="522"/>
      <c r="M48" s="522"/>
      <c r="N48" s="522"/>
      <c r="O48" s="522"/>
      <c r="P48" s="523"/>
    </row>
    <row r="49" spans="1:16" ht="15.6" x14ac:dyDescent="0.3">
      <c r="A49" s="475" t="s">
        <v>128</v>
      </c>
      <c r="B49" s="476"/>
      <c r="C49" s="356" t="s">
        <v>127</v>
      </c>
      <c r="D49" s="4">
        <v>336</v>
      </c>
      <c r="E49" s="4">
        <v>624</v>
      </c>
      <c r="F49" s="4">
        <v>895</v>
      </c>
      <c r="G49" s="4">
        <v>655</v>
      </c>
      <c r="H49" s="4">
        <v>517</v>
      </c>
      <c r="I49" s="4">
        <v>558</v>
      </c>
      <c r="J49" s="4">
        <v>2290</v>
      </c>
      <c r="K49" s="4">
        <v>2320</v>
      </c>
      <c r="L49" s="379">
        <v>2526</v>
      </c>
      <c r="M49" s="4">
        <v>766</v>
      </c>
      <c r="N49" s="379">
        <v>561</v>
      </c>
      <c r="O49" s="379">
        <v>745</v>
      </c>
      <c r="P49" s="376">
        <f>SUM(D49:O49)</f>
        <v>12793</v>
      </c>
    </row>
    <row r="50" spans="1:16" ht="15.6" x14ac:dyDescent="0.3">
      <c r="A50" s="475" t="s">
        <v>187</v>
      </c>
      <c r="B50" s="476"/>
      <c r="C50" s="356" t="s">
        <v>126</v>
      </c>
      <c r="D50" s="4">
        <v>52</v>
      </c>
      <c r="E50" s="4">
        <v>91</v>
      </c>
      <c r="F50" s="4">
        <v>115</v>
      </c>
      <c r="G50" s="4">
        <v>155</v>
      </c>
      <c r="H50" s="4">
        <v>110</v>
      </c>
      <c r="I50" s="4">
        <v>85</v>
      </c>
      <c r="J50" s="4">
        <v>400</v>
      </c>
      <c r="K50" s="4">
        <v>420</v>
      </c>
      <c r="L50" s="379">
        <v>450</v>
      </c>
      <c r="M50" s="4">
        <v>150</v>
      </c>
      <c r="N50" s="379">
        <v>200</v>
      </c>
      <c r="O50" s="379">
        <v>155</v>
      </c>
      <c r="P50" s="376">
        <f>SUM(D50:O50)</f>
        <v>2383</v>
      </c>
    </row>
    <row r="51" spans="1:16" ht="15.6" x14ac:dyDescent="0.3">
      <c r="A51" s="487" t="s">
        <v>125</v>
      </c>
      <c r="B51" s="488"/>
      <c r="C51" s="356" t="s">
        <v>31</v>
      </c>
      <c r="D51" s="13">
        <f>D50*1920</f>
        <v>99840</v>
      </c>
      <c r="E51" s="13">
        <f t="shared" ref="E51:K51" si="22">E50*1920</f>
        <v>174720</v>
      </c>
      <c r="F51" s="13">
        <f t="shared" si="22"/>
        <v>220800</v>
      </c>
      <c r="G51" s="13">
        <f t="shared" si="22"/>
        <v>297600</v>
      </c>
      <c r="H51" s="13">
        <f t="shared" si="22"/>
        <v>211200</v>
      </c>
      <c r="I51" s="13">
        <f t="shared" si="22"/>
        <v>163200</v>
      </c>
      <c r="J51" s="13">
        <f t="shared" si="22"/>
        <v>768000</v>
      </c>
      <c r="K51" s="13">
        <f t="shared" si="22"/>
        <v>806400</v>
      </c>
      <c r="L51" s="374">
        <v>864000</v>
      </c>
      <c r="M51" s="13">
        <f t="shared" ref="M51" si="23">M50*1920</f>
        <v>288000</v>
      </c>
      <c r="N51" s="374">
        <v>384000</v>
      </c>
      <c r="O51" s="374">
        <v>423770</v>
      </c>
      <c r="P51" s="380">
        <f>SUM(D51:O51)</f>
        <v>4701530</v>
      </c>
    </row>
    <row r="52" spans="1:16" ht="15.6" x14ac:dyDescent="0.3">
      <c r="A52" s="475" t="s">
        <v>124</v>
      </c>
      <c r="B52" s="476"/>
      <c r="C52" s="356" t="s">
        <v>31</v>
      </c>
      <c r="D52" s="374">
        <v>0</v>
      </c>
      <c r="E52" s="374">
        <v>0</v>
      </c>
      <c r="F52" s="374">
        <v>0</v>
      </c>
      <c r="G52" s="374">
        <v>0</v>
      </c>
      <c r="H52" s="374">
        <v>0</v>
      </c>
      <c r="I52" s="374">
        <v>0</v>
      </c>
      <c r="J52" s="374">
        <v>0</v>
      </c>
      <c r="K52" s="374">
        <v>0</v>
      </c>
      <c r="L52" s="374">
        <v>0</v>
      </c>
      <c r="M52" s="374">
        <v>0</v>
      </c>
      <c r="N52" s="374">
        <v>0</v>
      </c>
      <c r="O52" s="374">
        <v>0</v>
      </c>
      <c r="P52" s="380">
        <f>SUM(D52:O52)</f>
        <v>0</v>
      </c>
    </row>
    <row r="53" spans="1:16" x14ac:dyDescent="0.3">
      <c r="A53" s="521" t="s">
        <v>123</v>
      </c>
      <c r="B53" s="522"/>
      <c r="C53" s="522"/>
      <c r="D53" s="522"/>
      <c r="E53" s="522"/>
      <c r="F53" s="522"/>
      <c r="G53" s="522"/>
      <c r="H53" s="522"/>
      <c r="I53" s="522"/>
      <c r="J53" s="522"/>
      <c r="K53" s="522"/>
      <c r="L53" s="522"/>
      <c r="M53" s="522"/>
      <c r="N53" s="522"/>
      <c r="O53" s="522"/>
      <c r="P53" s="523"/>
    </row>
    <row r="54" spans="1:16" ht="15.6" x14ac:dyDescent="0.3">
      <c r="A54" s="475" t="s">
        <v>122</v>
      </c>
      <c r="B54" s="476"/>
      <c r="C54" s="345" t="s">
        <v>18</v>
      </c>
      <c r="D54" s="374"/>
      <c r="E54" s="374"/>
      <c r="F54" s="374"/>
      <c r="G54" s="374"/>
      <c r="H54" s="374"/>
      <c r="I54" s="374"/>
      <c r="J54" s="374"/>
      <c r="K54" s="374"/>
      <c r="L54" s="374"/>
      <c r="M54" s="374"/>
      <c r="N54" s="374"/>
      <c r="O54" s="374"/>
      <c r="P54" s="376">
        <f>SUM(D54:O54)</f>
        <v>0</v>
      </c>
    </row>
    <row r="55" spans="1:16" ht="15.6" x14ac:dyDescent="0.3">
      <c r="A55" s="381" t="s">
        <v>121</v>
      </c>
      <c r="B55" s="355"/>
      <c r="C55" s="345" t="s">
        <v>18</v>
      </c>
      <c r="D55" s="374"/>
      <c r="E55" s="374"/>
      <c r="F55" s="374"/>
      <c r="G55" s="374"/>
      <c r="H55" s="374"/>
      <c r="I55" s="374"/>
      <c r="J55" s="374"/>
      <c r="K55" s="374"/>
      <c r="L55" s="374"/>
      <c r="M55" s="374"/>
      <c r="N55" s="374"/>
      <c r="O55" s="374"/>
      <c r="P55" s="376">
        <f>SUM(D55:O55)</f>
        <v>0</v>
      </c>
    </row>
    <row r="56" spans="1:16" ht="15.6" x14ac:dyDescent="0.3">
      <c r="A56" s="475" t="s">
        <v>120</v>
      </c>
      <c r="B56" s="476"/>
      <c r="C56" s="356" t="s">
        <v>18</v>
      </c>
      <c r="D56" s="374"/>
      <c r="E56" s="374"/>
      <c r="F56" s="374"/>
      <c r="G56" s="374"/>
      <c r="H56" s="374"/>
      <c r="I56" s="374"/>
      <c r="J56" s="374"/>
      <c r="K56" s="374"/>
      <c r="L56" s="374"/>
      <c r="M56" s="374"/>
      <c r="N56" s="374"/>
      <c r="O56" s="374"/>
      <c r="P56" s="376">
        <f>SUM(D56:O56)</f>
        <v>0</v>
      </c>
    </row>
    <row r="57" spans="1:16" x14ac:dyDescent="0.3">
      <c r="A57" s="521" t="s">
        <v>119</v>
      </c>
      <c r="B57" s="522"/>
      <c r="C57" s="522"/>
      <c r="D57" s="522"/>
      <c r="E57" s="522"/>
      <c r="F57" s="522"/>
      <c r="G57" s="522"/>
      <c r="H57" s="522"/>
      <c r="I57" s="522"/>
      <c r="J57" s="522"/>
      <c r="K57" s="522"/>
      <c r="L57" s="522"/>
      <c r="M57" s="522"/>
      <c r="N57" s="522"/>
      <c r="O57" s="522"/>
      <c r="P57" s="523"/>
    </row>
    <row r="58" spans="1:16" ht="15.6" x14ac:dyDescent="0.3">
      <c r="A58" s="487" t="s">
        <v>118</v>
      </c>
      <c r="B58" s="488"/>
      <c r="C58" s="356" t="s">
        <v>18</v>
      </c>
      <c r="D58" s="13">
        <f>D41+D46+D51+D52+D54+D55+D56</f>
        <v>2704037.2</v>
      </c>
      <c r="E58" s="13">
        <f t="shared" ref="E58:G58" si="24">E41+E46+E51+E52+E54+E55+E56</f>
        <v>3005113.9</v>
      </c>
      <c r="F58" s="13">
        <f t="shared" si="24"/>
        <v>3063735.2</v>
      </c>
      <c r="G58" s="13">
        <f t="shared" si="24"/>
        <v>2884923.99</v>
      </c>
      <c r="H58" s="374">
        <f t="shared" ref="H58:N58" si="25">H41+H46+H51+H52+H54+H55+H56</f>
        <v>2773592.49</v>
      </c>
      <c r="I58" s="13">
        <f t="shared" si="25"/>
        <v>2769814.8000000003</v>
      </c>
      <c r="J58" s="374">
        <f t="shared" si="25"/>
        <v>3090424.2380000004</v>
      </c>
      <c r="K58" s="374">
        <f t="shared" si="25"/>
        <v>3136260.3165000002</v>
      </c>
      <c r="L58" s="374">
        <f t="shared" si="25"/>
        <v>3279248.9915</v>
      </c>
      <c r="M58" s="374">
        <f t="shared" si="25"/>
        <v>2511078.1640000003</v>
      </c>
      <c r="N58" s="374">
        <f t="shared" si="25"/>
        <v>2750850.4644999998</v>
      </c>
      <c r="O58" s="374">
        <v>2746415.2385</v>
      </c>
      <c r="P58" s="382">
        <f>SUM(D58:O58)</f>
        <v>34715494.993000008</v>
      </c>
    </row>
    <row r="59" spans="1:16" ht="15.6" x14ac:dyDescent="0.3">
      <c r="A59" s="487" t="s">
        <v>117</v>
      </c>
      <c r="B59" s="488"/>
      <c r="C59" s="356" t="s">
        <v>115</v>
      </c>
      <c r="D59" s="15">
        <f t="shared" ref="D59:G59" si="26">D58/D9</f>
        <v>94.768765990256895</v>
      </c>
      <c r="E59" s="15">
        <f t="shared" si="26"/>
        <v>102.73893675213675</v>
      </c>
      <c r="F59" s="15">
        <f t="shared" si="26"/>
        <v>105.93828492392808</v>
      </c>
      <c r="G59" s="15">
        <f t="shared" si="26"/>
        <v>100.67785691851336</v>
      </c>
      <c r="H59" s="372">
        <f t="shared" ref="H59:P59" si="27">H58/H9</f>
        <v>97.861565521134722</v>
      </c>
      <c r="I59" s="15">
        <f t="shared" si="27"/>
        <v>98.496312364425179</v>
      </c>
      <c r="J59" s="372">
        <f t="shared" si="27"/>
        <v>112.46494552203502</v>
      </c>
      <c r="K59" s="372">
        <f t="shared" si="27"/>
        <v>113.40662869282228</v>
      </c>
      <c r="L59" s="372">
        <f t="shared" si="27"/>
        <v>116.85728000498895</v>
      </c>
      <c r="M59" s="372">
        <f t="shared" si="27"/>
        <v>91.136288752585941</v>
      </c>
      <c r="N59" s="372">
        <f t="shared" si="27"/>
        <v>97.877618377512889</v>
      </c>
      <c r="O59" s="372">
        <v>98.240636661181853</v>
      </c>
      <c r="P59" s="373">
        <f t="shared" si="27"/>
        <v>102.51717944606374</v>
      </c>
    </row>
    <row r="60" spans="1:16" ht="15.6" x14ac:dyDescent="0.3">
      <c r="A60" s="487" t="s">
        <v>116</v>
      </c>
      <c r="B60" s="488"/>
      <c r="C60" s="356" t="s">
        <v>115</v>
      </c>
      <c r="D60" s="15">
        <f>D58/D22</f>
        <v>119.17833311296224</v>
      </c>
      <c r="E60" s="15">
        <f t="shared" ref="E60:G60" si="28">E58/E22</f>
        <v>123.14021881658743</v>
      </c>
      <c r="F60" s="15">
        <f t="shared" si="28"/>
        <v>112.16721095408948</v>
      </c>
      <c r="G60" s="15">
        <f t="shared" si="28"/>
        <v>128.99856868181007</v>
      </c>
      <c r="H60" s="372">
        <f t="shared" ref="H60:N60" si="29">H58/H22</f>
        <v>122.84491496146693</v>
      </c>
      <c r="I60" s="15">
        <f t="shared" si="29"/>
        <v>125.13281228823132</v>
      </c>
      <c r="J60" s="372">
        <f t="shared" si="29"/>
        <v>128.84820671252868</v>
      </c>
      <c r="K60" s="372">
        <f t="shared" si="29"/>
        <v>140.74677182156802</v>
      </c>
      <c r="L60" s="372">
        <f t="shared" si="29"/>
        <v>143.06744869333798</v>
      </c>
      <c r="M60" s="372">
        <f t="shared" si="29"/>
        <v>111.80721154103034</v>
      </c>
      <c r="N60" s="372">
        <f t="shared" si="29"/>
        <v>118.17890898741246</v>
      </c>
      <c r="O60" s="372">
        <v>120.49380241740886</v>
      </c>
      <c r="P60" s="383">
        <f>P58/P22</f>
        <v>124.33827477238705</v>
      </c>
    </row>
    <row r="61" spans="1:16" ht="15.6" x14ac:dyDescent="0.3">
      <c r="A61" s="475" t="s">
        <v>114</v>
      </c>
      <c r="B61" s="476"/>
      <c r="C61" s="356" t="s">
        <v>3</v>
      </c>
      <c r="D61" s="4">
        <v>8</v>
      </c>
      <c r="E61" s="4">
        <v>8</v>
      </c>
      <c r="F61" s="4">
        <v>8</v>
      </c>
      <c r="G61" s="4">
        <v>8</v>
      </c>
      <c r="H61" s="4">
        <v>8</v>
      </c>
      <c r="I61" s="4">
        <v>8</v>
      </c>
      <c r="J61" s="4">
        <v>8</v>
      </c>
      <c r="K61" s="4">
        <v>8</v>
      </c>
      <c r="L61" s="379">
        <v>8</v>
      </c>
      <c r="M61" s="4">
        <v>8</v>
      </c>
      <c r="N61" s="379">
        <v>8</v>
      </c>
      <c r="O61" s="379">
        <v>8</v>
      </c>
      <c r="P61" s="384">
        <f>O61</f>
        <v>8</v>
      </c>
    </row>
    <row r="62" spans="1:16" ht="15.6" customHeight="1" x14ac:dyDescent="0.3">
      <c r="A62" s="487" t="s">
        <v>113</v>
      </c>
      <c r="B62" s="488"/>
      <c r="C62" s="356" t="s">
        <v>112</v>
      </c>
      <c r="D62" s="15">
        <f t="shared" ref="D62:H62" si="30">(D61*1000*31)/D9</f>
        <v>8.6916903234850871</v>
      </c>
      <c r="E62" s="15">
        <f t="shared" si="30"/>
        <v>8.4786324786324787</v>
      </c>
      <c r="F62" s="15">
        <f t="shared" si="30"/>
        <v>8.5753803596127245</v>
      </c>
      <c r="G62" s="15">
        <f t="shared" si="30"/>
        <v>8.6546850462397487</v>
      </c>
      <c r="H62" s="15">
        <f t="shared" si="30"/>
        <v>8.7502646249382536</v>
      </c>
      <c r="I62" s="372">
        <f t="shared" ref="I62:P62" si="31">(I61*1000*31)/I9</f>
        <v>8.8190320401123721</v>
      </c>
      <c r="J62" s="372">
        <f t="shared" si="31"/>
        <v>9.0250736926380153</v>
      </c>
      <c r="K62" s="372">
        <f t="shared" si="31"/>
        <v>8.9676369553426145</v>
      </c>
      <c r="L62" s="372">
        <f t="shared" si="31"/>
        <v>8.8375739434110177</v>
      </c>
      <c r="M62" s="372">
        <f t="shared" si="31"/>
        <v>9.0008347548361343</v>
      </c>
      <c r="N62" s="372">
        <f t="shared" si="31"/>
        <v>8.824052659669098</v>
      </c>
      <c r="O62" s="372">
        <v>8.8710831306338527</v>
      </c>
      <c r="P62" s="373">
        <f t="shared" si="31"/>
        <v>0.73236059309395773</v>
      </c>
    </row>
    <row r="63" spans="1:16" ht="15.6" x14ac:dyDescent="0.3">
      <c r="A63" s="516" t="s">
        <v>111</v>
      </c>
      <c r="B63" s="517"/>
      <c r="C63" s="385" t="s">
        <v>3</v>
      </c>
      <c r="D63" s="4">
        <v>6</v>
      </c>
      <c r="E63" s="4">
        <v>6</v>
      </c>
      <c r="F63" s="4">
        <v>6</v>
      </c>
      <c r="G63" s="4">
        <v>6</v>
      </c>
      <c r="H63" s="4">
        <v>6</v>
      </c>
      <c r="I63" s="4">
        <v>6</v>
      </c>
      <c r="J63" s="4">
        <v>6</v>
      </c>
      <c r="K63" s="4">
        <v>7</v>
      </c>
      <c r="L63" s="379">
        <v>7</v>
      </c>
      <c r="M63" s="4">
        <v>7</v>
      </c>
      <c r="N63" s="379">
        <v>7</v>
      </c>
      <c r="O63" s="379">
        <v>7</v>
      </c>
      <c r="P63" s="384">
        <f>SUM(D63:O63)</f>
        <v>77</v>
      </c>
    </row>
    <row r="64" spans="1:16" x14ac:dyDescent="0.3">
      <c r="A64" s="518"/>
      <c r="B64" s="519"/>
      <c r="C64" s="519"/>
      <c r="D64" s="519"/>
      <c r="E64" s="519"/>
      <c r="F64" s="519"/>
      <c r="G64" s="519"/>
      <c r="H64" s="519"/>
      <c r="I64" s="519"/>
      <c r="J64" s="519"/>
      <c r="K64" s="519"/>
      <c r="L64" s="519"/>
      <c r="M64" s="519"/>
      <c r="N64" s="519"/>
      <c r="O64" s="519"/>
      <c r="P64" s="520"/>
    </row>
    <row r="65" spans="1:16" ht="14.4" customHeight="1" x14ac:dyDescent="0.3">
      <c r="A65" s="521" t="s">
        <v>110</v>
      </c>
      <c r="B65" s="522"/>
      <c r="C65" s="522"/>
      <c r="D65" s="522"/>
      <c r="E65" s="522"/>
      <c r="F65" s="522"/>
      <c r="G65" s="522"/>
      <c r="H65" s="522"/>
      <c r="I65" s="522"/>
      <c r="J65" s="522"/>
      <c r="K65" s="522"/>
      <c r="L65" s="522"/>
      <c r="M65" s="522"/>
      <c r="N65" s="522"/>
      <c r="O65" s="522"/>
      <c r="P65" s="523"/>
    </row>
    <row r="66" spans="1:16" ht="15.6" x14ac:dyDescent="0.3">
      <c r="A66" s="467" t="s">
        <v>109</v>
      </c>
      <c r="B66" s="356" t="s">
        <v>85</v>
      </c>
      <c r="C66" s="356" t="s">
        <v>3</v>
      </c>
      <c r="D66" s="551">
        <v>376</v>
      </c>
      <c r="E66" s="4">
        <f>D71</f>
        <v>378</v>
      </c>
      <c r="F66" s="4">
        <f t="shared" ref="F66:K66" si="32">E71</f>
        <v>360</v>
      </c>
      <c r="G66" s="4">
        <f t="shared" si="32"/>
        <v>325</v>
      </c>
      <c r="H66" s="4">
        <f t="shared" si="32"/>
        <v>289</v>
      </c>
      <c r="I66" s="4">
        <f t="shared" si="32"/>
        <v>284</v>
      </c>
      <c r="J66" s="4">
        <f t="shared" si="32"/>
        <v>285</v>
      </c>
      <c r="K66" s="4">
        <f t="shared" si="32"/>
        <v>283</v>
      </c>
      <c r="L66" s="386">
        <v>273</v>
      </c>
      <c r="M66" s="4">
        <f t="shared" ref="M66" si="33">L71</f>
        <v>266</v>
      </c>
      <c r="N66" s="369">
        <v>247</v>
      </c>
      <c r="O66" s="369">
        <v>247</v>
      </c>
      <c r="P66" s="387">
        <f>D66</f>
        <v>376</v>
      </c>
    </row>
    <row r="67" spans="1:16" ht="15.6" x14ac:dyDescent="0.3">
      <c r="A67" s="468"/>
      <c r="B67" s="345" t="s">
        <v>104</v>
      </c>
      <c r="C67" s="356" t="s">
        <v>3</v>
      </c>
      <c r="D67" s="551">
        <v>21</v>
      </c>
      <c r="E67" s="4"/>
      <c r="F67" s="4">
        <v>11</v>
      </c>
      <c r="G67" s="4">
        <v>9</v>
      </c>
      <c r="H67" s="4">
        <v>17</v>
      </c>
      <c r="I67" s="4">
        <v>25</v>
      </c>
      <c r="J67" s="4">
        <v>14</v>
      </c>
      <c r="K67" s="4">
        <v>10</v>
      </c>
      <c r="L67" s="388">
        <v>7</v>
      </c>
      <c r="M67" s="4">
        <v>5</v>
      </c>
      <c r="N67" s="388">
        <v>19</v>
      </c>
      <c r="O67" s="388">
        <v>17</v>
      </c>
      <c r="P67" s="387">
        <f>SUM(D67:O67)</f>
        <v>155</v>
      </c>
    </row>
    <row r="68" spans="1:16" ht="15.6" x14ac:dyDescent="0.3">
      <c r="A68" s="468"/>
      <c r="B68" s="345" t="s">
        <v>103</v>
      </c>
      <c r="C68" s="356" t="s">
        <v>3</v>
      </c>
      <c r="D68" s="551">
        <v>19</v>
      </c>
      <c r="E68" s="4">
        <v>18</v>
      </c>
      <c r="F68" s="4">
        <v>46</v>
      </c>
      <c r="G68" s="4">
        <v>45</v>
      </c>
      <c r="H68" s="4">
        <v>20</v>
      </c>
      <c r="I68" s="4">
        <v>24</v>
      </c>
      <c r="J68" s="4">
        <v>16</v>
      </c>
      <c r="K68" s="4">
        <v>19</v>
      </c>
      <c r="L68" s="388">
        <v>13</v>
      </c>
      <c r="M68" s="4">
        <v>24</v>
      </c>
      <c r="N68" s="379">
        <v>19</v>
      </c>
      <c r="O68" s="379">
        <v>23</v>
      </c>
      <c r="P68" s="387">
        <f t="shared" ref="P68:P69" si="34">SUM(D68:O68)</f>
        <v>286</v>
      </c>
    </row>
    <row r="69" spans="1:16" s="351" customFormat="1" ht="15.6" x14ac:dyDescent="0.3">
      <c r="A69" s="468"/>
      <c r="B69" s="345" t="s">
        <v>102</v>
      </c>
      <c r="C69" s="345" t="s">
        <v>3</v>
      </c>
      <c r="D69" s="551"/>
      <c r="E69" s="4"/>
      <c r="F69" s="4"/>
      <c r="G69" s="4"/>
      <c r="H69" s="4">
        <v>2</v>
      </c>
      <c r="I69" s="4"/>
      <c r="J69" s="4"/>
      <c r="K69" s="4">
        <v>1</v>
      </c>
      <c r="L69" s="388">
        <v>1</v>
      </c>
      <c r="M69" s="4"/>
      <c r="N69" s="388"/>
      <c r="O69" s="388"/>
      <c r="P69" s="389">
        <f t="shared" si="34"/>
        <v>4</v>
      </c>
    </row>
    <row r="70" spans="1:16" s="351" customFormat="1" ht="15.6" x14ac:dyDescent="0.3">
      <c r="A70" s="468"/>
      <c r="B70" s="345" t="s">
        <v>188</v>
      </c>
      <c r="C70" s="345" t="s">
        <v>3</v>
      </c>
      <c r="D70" s="4">
        <f>D68+D69</f>
        <v>19</v>
      </c>
      <c r="E70" s="4">
        <f t="shared" ref="E70:K70" si="35">E68+E69</f>
        <v>18</v>
      </c>
      <c r="F70" s="4">
        <f t="shared" si="35"/>
        <v>46</v>
      </c>
      <c r="G70" s="4">
        <f t="shared" si="35"/>
        <v>45</v>
      </c>
      <c r="H70" s="4">
        <f t="shared" si="35"/>
        <v>22</v>
      </c>
      <c r="I70" s="4">
        <f t="shared" si="35"/>
        <v>24</v>
      </c>
      <c r="J70" s="4">
        <f t="shared" si="35"/>
        <v>16</v>
      </c>
      <c r="K70" s="4">
        <f t="shared" si="35"/>
        <v>20</v>
      </c>
      <c r="L70" s="388">
        <v>14</v>
      </c>
      <c r="M70" s="4">
        <f t="shared" ref="M70" si="36">M68+M69</f>
        <v>24</v>
      </c>
      <c r="N70" s="388">
        <f t="shared" ref="N70:P70" si="37">N68+N69</f>
        <v>19</v>
      </c>
      <c r="O70" s="388">
        <v>23</v>
      </c>
      <c r="P70" s="393">
        <f t="shared" si="37"/>
        <v>290</v>
      </c>
    </row>
    <row r="71" spans="1:16" ht="15.6" x14ac:dyDescent="0.3">
      <c r="A71" s="469"/>
      <c r="B71" s="356" t="s">
        <v>81</v>
      </c>
      <c r="C71" s="356" t="s">
        <v>3</v>
      </c>
      <c r="D71" s="26">
        <f>D66+D67-D70</f>
        <v>378</v>
      </c>
      <c r="E71" s="26">
        <f t="shared" ref="E71:I71" si="38">E66+E67-E70</f>
        <v>360</v>
      </c>
      <c r="F71" s="26">
        <f t="shared" si="38"/>
        <v>325</v>
      </c>
      <c r="G71" s="26">
        <f t="shared" si="38"/>
        <v>289</v>
      </c>
      <c r="H71" s="26">
        <f t="shared" si="38"/>
        <v>284</v>
      </c>
      <c r="I71" s="26">
        <f t="shared" si="38"/>
        <v>285</v>
      </c>
      <c r="J71" s="391">
        <f t="shared" ref="J71:K71" si="39">J66+J67-J70</f>
        <v>283</v>
      </c>
      <c r="K71" s="26">
        <f t="shared" si="39"/>
        <v>273</v>
      </c>
      <c r="L71" s="391">
        <v>266</v>
      </c>
      <c r="M71" s="26">
        <f t="shared" ref="M71" si="40">M66+M67-M70</f>
        <v>247</v>
      </c>
      <c r="N71" s="391">
        <f t="shared" ref="N71" si="41">N66+N67-N70</f>
        <v>247</v>
      </c>
      <c r="O71" s="391">
        <v>241</v>
      </c>
      <c r="P71" s="394">
        <f>P66+P67-P70</f>
        <v>241</v>
      </c>
    </row>
    <row r="72" spans="1:16" ht="15.6" x14ac:dyDescent="0.3">
      <c r="A72" s="467" t="s">
        <v>108</v>
      </c>
      <c r="B72" s="356" t="s">
        <v>85</v>
      </c>
      <c r="C72" s="356" t="s">
        <v>3</v>
      </c>
      <c r="D72" s="4"/>
      <c r="E72" s="4">
        <f>D77</f>
        <v>0</v>
      </c>
      <c r="F72" s="4">
        <f t="shared" ref="F72:G72" si="42">E77</f>
        <v>0</v>
      </c>
      <c r="G72" s="4">
        <f t="shared" si="42"/>
        <v>0</v>
      </c>
      <c r="H72" s="386"/>
      <c r="I72" s="386"/>
      <c r="J72" s="386"/>
      <c r="K72" s="386"/>
      <c r="L72" s="386"/>
      <c r="M72" s="386"/>
      <c r="N72" s="386"/>
      <c r="O72" s="386"/>
      <c r="P72" s="387">
        <f>D72</f>
        <v>0</v>
      </c>
    </row>
    <row r="73" spans="1:16" ht="15.6" x14ac:dyDescent="0.3">
      <c r="A73" s="468"/>
      <c r="B73" s="345" t="s">
        <v>104</v>
      </c>
      <c r="C73" s="356" t="s">
        <v>3</v>
      </c>
      <c r="D73" s="551">
        <v>1</v>
      </c>
      <c r="E73" s="4"/>
      <c r="F73" s="4"/>
      <c r="G73" s="4"/>
      <c r="H73" s="388"/>
      <c r="I73" s="388"/>
      <c r="J73" s="388"/>
      <c r="K73" s="388"/>
      <c r="L73" s="388"/>
      <c r="M73" s="388"/>
      <c r="N73" s="388"/>
      <c r="O73" s="388"/>
      <c r="P73" s="387">
        <f>SUM(D73:O73)</f>
        <v>1</v>
      </c>
    </row>
    <row r="74" spans="1:16" ht="15.6" x14ac:dyDescent="0.3">
      <c r="A74" s="468"/>
      <c r="B74" s="345" t="s">
        <v>103</v>
      </c>
      <c r="C74" s="356" t="s">
        <v>3</v>
      </c>
      <c r="D74" s="551">
        <v>1</v>
      </c>
      <c r="E74" s="4"/>
      <c r="F74" s="4"/>
      <c r="G74" s="4"/>
      <c r="H74" s="388"/>
      <c r="I74" s="388"/>
      <c r="J74" s="388"/>
      <c r="K74" s="388"/>
      <c r="L74" s="388"/>
      <c r="M74" s="388"/>
      <c r="N74" s="388"/>
      <c r="O74" s="388"/>
      <c r="P74" s="387">
        <f>SUM(D74:O74)</f>
        <v>1</v>
      </c>
    </row>
    <row r="75" spans="1:16" s="351" customFormat="1" ht="15.6" x14ac:dyDescent="0.3">
      <c r="A75" s="468"/>
      <c r="B75" s="345" t="s">
        <v>102</v>
      </c>
      <c r="C75" s="345" t="s">
        <v>3</v>
      </c>
      <c r="D75" s="551"/>
      <c r="E75" s="4"/>
      <c r="F75" s="4"/>
      <c r="G75" s="4"/>
      <c r="H75" s="388"/>
      <c r="I75" s="388"/>
      <c r="J75" s="388"/>
      <c r="K75" s="388"/>
      <c r="L75" s="388"/>
      <c r="M75" s="388"/>
      <c r="N75" s="388"/>
      <c r="O75" s="388"/>
      <c r="P75" s="387">
        <f>SUM(D75:O75)</f>
        <v>0</v>
      </c>
    </row>
    <row r="76" spans="1:16" s="351" customFormat="1" ht="15.6" x14ac:dyDescent="0.3">
      <c r="A76" s="468"/>
      <c r="B76" s="345" t="s">
        <v>188</v>
      </c>
      <c r="C76" s="345" t="s">
        <v>3</v>
      </c>
      <c r="D76" s="4">
        <f>D74+D75</f>
        <v>1</v>
      </c>
      <c r="E76" s="4">
        <f t="shared" ref="E76:G76" si="43">E74+E75</f>
        <v>0</v>
      </c>
      <c r="F76" s="4">
        <f t="shared" si="43"/>
        <v>0</v>
      </c>
      <c r="G76" s="4">
        <f t="shared" si="43"/>
        <v>0</v>
      </c>
      <c r="H76" s="388">
        <f t="shared" ref="H76:I76" si="44">H74+H75</f>
        <v>0</v>
      </c>
      <c r="I76" s="388">
        <f t="shared" si="44"/>
        <v>0</v>
      </c>
      <c r="J76" s="388">
        <f t="shared" ref="J76:K76" si="45">J74+J75</f>
        <v>0</v>
      </c>
      <c r="K76" s="388">
        <f t="shared" si="45"/>
        <v>0</v>
      </c>
      <c r="L76" s="388">
        <f t="shared" ref="L76" si="46">L74+L75</f>
        <v>0</v>
      </c>
      <c r="M76" s="388">
        <f t="shared" ref="M76:P76" si="47">M74+M75</f>
        <v>0</v>
      </c>
      <c r="N76" s="388">
        <f t="shared" si="47"/>
        <v>0</v>
      </c>
      <c r="O76" s="388">
        <v>0</v>
      </c>
      <c r="P76" s="393">
        <f t="shared" si="47"/>
        <v>1</v>
      </c>
    </row>
    <row r="77" spans="1:16" ht="15.6" x14ac:dyDescent="0.3">
      <c r="A77" s="469"/>
      <c r="B77" s="356" t="s">
        <v>81</v>
      </c>
      <c r="C77" s="356" t="s">
        <v>3</v>
      </c>
      <c r="D77" s="26">
        <f>D72+D73-D76</f>
        <v>0</v>
      </c>
      <c r="E77" s="26">
        <f t="shared" ref="E77:G77" si="48">E72+E73-E76</f>
        <v>0</v>
      </c>
      <c r="F77" s="26">
        <f t="shared" si="48"/>
        <v>0</v>
      </c>
      <c r="G77" s="26">
        <f t="shared" si="48"/>
        <v>0</v>
      </c>
      <c r="H77" s="391">
        <f t="shared" ref="H77:I77" si="49">H72+H73-H76</f>
        <v>0</v>
      </c>
      <c r="I77" s="391">
        <f t="shared" si="49"/>
        <v>0</v>
      </c>
      <c r="J77" s="391">
        <f t="shared" ref="J77:P77" si="50">J72+J73-J76</f>
        <v>0</v>
      </c>
      <c r="K77" s="391">
        <f t="shared" si="50"/>
        <v>0</v>
      </c>
      <c r="L77" s="391">
        <f t="shared" si="50"/>
        <v>0</v>
      </c>
      <c r="M77" s="391">
        <f t="shared" si="50"/>
        <v>0</v>
      </c>
      <c r="N77" s="391">
        <f t="shared" si="50"/>
        <v>0</v>
      </c>
      <c r="O77" s="391">
        <v>0</v>
      </c>
      <c r="P77" s="391">
        <f t="shared" si="50"/>
        <v>0</v>
      </c>
    </row>
    <row r="78" spans="1:16" ht="15.6" customHeight="1" x14ac:dyDescent="0.3">
      <c r="A78" s="467" t="s">
        <v>107</v>
      </c>
      <c r="B78" s="356" t="s">
        <v>85</v>
      </c>
      <c r="C78" s="356" t="s">
        <v>3</v>
      </c>
      <c r="D78" s="4"/>
      <c r="E78" s="4">
        <f>D83</f>
        <v>0</v>
      </c>
      <c r="F78" s="4">
        <f t="shared" ref="F78:G78" si="51">E83</f>
        <v>0</v>
      </c>
      <c r="G78" s="4">
        <f t="shared" si="51"/>
        <v>0</v>
      </c>
      <c r="H78" s="386"/>
      <c r="I78" s="386"/>
      <c r="J78" s="386"/>
      <c r="K78" s="386"/>
      <c r="L78" s="386"/>
      <c r="M78" s="386"/>
      <c r="N78" s="386"/>
      <c r="O78" s="386"/>
      <c r="P78" s="387">
        <f>D78</f>
        <v>0</v>
      </c>
    </row>
    <row r="79" spans="1:16" ht="15.6" x14ac:dyDescent="0.3">
      <c r="A79" s="468"/>
      <c r="B79" s="345" t="s">
        <v>104</v>
      </c>
      <c r="C79" s="356" t="s">
        <v>3</v>
      </c>
      <c r="D79" s="551"/>
      <c r="E79" s="4"/>
      <c r="F79" s="4"/>
      <c r="G79" s="4"/>
      <c r="H79" s="388"/>
      <c r="I79" s="388"/>
      <c r="J79" s="388"/>
      <c r="K79" s="388"/>
      <c r="L79" s="388"/>
      <c r="M79" s="388"/>
      <c r="N79" s="388"/>
      <c r="O79" s="388"/>
      <c r="P79" s="387">
        <f>SUM(D79:O79)</f>
        <v>0</v>
      </c>
    </row>
    <row r="80" spans="1:16" ht="15.6" x14ac:dyDescent="0.3">
      <c r="A80" s="468"/>
      <c r="B80" s="345" t="s">
        <v>103</v>
      </c>
      <c r="C80" s="356" t="s">
        <v>3</v>
      </c>
      <c r="D80" s="551"/>
      <c r="E80" s="4"/>
      <c r="F80" s="4"/>
      <c r="G80" s="4"/>
      <c r="H80" s="388"/>
      <c r="I80" s="388"/>
      <c r="J80" s="388"/>
      <c r="K80" s="388"/>
      <c r="L80" s="388"/>
      <c r="M80" s="388"/>
      <c r="N80" s="388"/>
      <c r="O80" s="388"/>
      <c r="P80" s="387">
        <f>SUM(D80:O80)</f>
        <v>0</v>
      </c>
    </row>
    <row r="81" spans="1:16" s="351" customFormat="1" ht="15.6" x14ac:dyDescent="0.3">
      <c r="A81" s="468"/>
      <c r="B81" s="345" t="s">
        <v>102</v>
      </c>
      <c r="C81" s="345" t="s">
        <v>3</v>
      </c>
      <c r="D81" s="551"/>
      <c r="E81" s="4"/>
      <c r="F81" s="4"/>
      <c r="G81" s="4"/>
      <c r="H81" s="388"/>
      <c r="I81" s="388"/>
      <c r="J81" s="388"/>
      <c r="K81" s="388"/>
      <c r="L81" s="388"/>
      <c r="M81" s="388"/>
      <c r="N81" s="388"/>
      <c r="O81" s="388"/>
      <c r="P81" s="389">
        <f>SUM(D81:O81)</f>
        <v>0</v>
      </c>
    </row>
    <row r="82" spans="1:16" s="351" customFormat="1" ht="15.6" x14ac:dyDescent="0.3">
      <c r="A82" s="468"/>
      <c r="B82" s="345" t="s">
        <v>188</v>
      </c>
      <c r="C82" s="345" t="s">
        <v>3</v>
      </c>
      <c r="D82" s="4">
        <f>D80+D81</f>
        <v>0</v>
      </c>
      <c r="E82" s="4">
        <f t="shared" ref="E82:G82" si="52">E80+E81</f>
        <v>0</v>
      </c>
      <c r="F82" s="4">
        <f t="shared" si="52"/>
        <v>0</v>
      </c>
      <c r="G82" s="4">
        <f t="shared" si="52"/>
        <v>0</v>
      </c>
      <c r="H82" s="388">
        <f t="shared" ref="H82:I82" si="53">H81+H80</f>
        <v>0</v>
      </c>
      <c r="I82" s="388">
        <f t="shared" si="53"/>
        <v>0</v>
      </c>
      <c r="J82" s="388">
        <f t="shared" ref="J82:K82" si="54">J81+J80</f>
        <v>0</v>
      </c>
      <c r="K82" s="388">
        <f t="shared" si="54"/>
        <v>0</v>
      </c>
      <c r="L82" s="388">
        <f t="shared" ref="L82" si="55">L81+L80</f>
        <v>0</v>
      </c>
      <c r="M82" s="388">
        <f t="shared" ref="M82:P82" si="56">M81+M80</f>
        <v>0</v>
      </c>
      <c r="N82" s="388">
        <f t="shared" si="56"/>
        <v>0</v>
      </c>
      <c r="O82" s="388">
        <v>0</v>
      </c>
      <c r="P82" s="393">
        <f t="shared" si="56"/>
        <v>0</v>
      </c>
    </row>
    <row r="83" spans="1:16" ht="15.6" x14ac:dyDescent="0.3">
      <c r="A83" s="469"/>
      <c r="B83" s="356" t="s">
        <v>81</v>
      </c>
      <c r="C83" s="356" t="s">
        <v>3</v>
      </c>
      <c r="D83" s="26">
        <f>D78+D79-D82</f>
        <v>0</v>
      </c>
      <c r="E83" s="26">
        <f t="shared" ref="E83:G83" si="57">E78+E79-E82</f>
        <v>0</v>
      </c>
      <c r="F83" s="26">
        <f t="shared" si="57"/>
        <v>0</v>
      </c>
      <c r="G83" s="26">
        <f t="shared" si="57"/>
        <v>0</v>
      </c>
      <c r="H83" s="391">
        <f t="shared" ref="H83:I83" si="58">H78+H79-H82</f>
        <v>0</v>
      </c>
      <c r="I83" s="391">
        <f t="shared" si="58"/>
        <v>0</v>
      </c>
      <c r="J83" s="391">
        <f t="shared" ref="J83:N83" si="59">J78+J79-J82</f>
        <v>0</v>
      </c>
      <c r="K83" s="391">
        <f t="shared" si="59"/>
        <v>0</v>
      </c>
      <c r="L83" s="391">
        <f t="shared" si="59"/>
        <v>0</v>
      </c>
      <c r="M83" s="391">
        <f t="shared" si="59"/>
        <v>0</v>
      </c>
      <c r="N83" s="391">
        <f t="shared" si="59"/>
        <v>0</v>
      </c>
      <c r="O83" s="391">
        <v>0</v>
      </c>
      <c r="P83" s="394">
        <f t="shared" ref="P83" si="60">P78+P79-P82</f>
        <v>0</v>
      </c>
    </row>
    <row r="84" spans="1:16" ht="15.6" x14ac:dyDescent="0.3">
      <c r="A84" s="524" t="s">
        <v>106</v>
      </c>
      <c r="B84" s="356" t="s">
        <v>85</v>
      </c>
      <c r="C84" s="356" t="s">
        <v>3</v>
      </c>
      <c r="D84" s="4"/>
      <c r="E84" s="4">
        <f>D89</f>
        <v>0</v>
      </c>
      <c r="F84" s="4">
        <f t="shared" ref="F84:G84" si="61">E89</f>
        <v>0</v>
      </c>
      <c r="G84" s="4">
        <f t="shared" si="61"/>
        <v>0</v>
      </c>
      <c r="H84" s="386"/>
      <c r="I84" s="386"/>
      <c r="J84" s="386"/>
      <c r="K84" s="386"/>
      <c r="L84" s="386"/>
      <c r="M84" s="386"/>
      <c r="N84" s="386"/>
      <c r="O84" s="386"/>
      <c r="P84" s="387">
        <f>D84</f>
        <v>0</v>
      </c>
    </row>
    <row r="85" spans="1:16" ht="15.6" x14ac:dyDescent="0.3">
      <c r="A85" s="525"/>
      <c r="B85" s="356" t="s">
        <v>104</v>
      </c>
      <c r="C85" s="356" t="s">
        <v>3</v>
      </c>
      <c r="D85" s="551"/>
      <c r="E85" s="4"/>
      <c r="F85" s="4"/>
      <c r="G85" s="4"/>
      <c r="H85" s="388"/>
      <c r="I85" s="388"/>
      <c r="J85" s="388"/>
      <c r="K85" s="388"/>
      <c r="L85" s="388"/>
      <c r="M85" s="388"/>
      <c r="N85" s="388"/>
      <c r="O85" s="388"/>
      <c r="P85" s="387">
        <f>SUM(D85:O85)</f>
        <v>0</v>
      </c>
    </row>
    <row r="86" spans="1:16" ht="15.6" x14ac:dyDescent="0.3">
      <c r="A86" s="525"/>
      <c r="B86" s="356" t="s">
        <v>103</v>
      </c>
      <c r="C86" s="356" t="s">
        <v>3</v>
      </c>
      <c r="D86" s="551"/>
      <c r="E86" s="4"/>
      <c r="F86" s="4"/>
      <c r="G86" s="4"/>
      <c r="H86" s="388"/>
      <c r="I86" s="388"/>
      <c r="J86" s="388"/>
      <c r="K86" s="388"/>
      <c r="L86" s="388"/>
      <c r="M86" s="388"/>
      <c r="N86" s="388"/>
      <c r="O86" s="388"/>
      <c r="P86" s="387">
        <f>SUM(D86:O86)</f>
        <v>0</v>
      </c>
    </row>
    <row r="87" spans="1:16" s="351" customFormat="1" ht="15.6" x14ac:dyDescent="0.3">
      <c r="A87" s="525"/>
      <c r="B87" s="345" t="s">
        <v>102</v>
      </c>
      <c r="C87" s="345" t="s">
        <v>3</v>
      </c>
      <c r="D87" s="551"/>
      <c r="E87" s="4"/>
      <c r="F87" s="4"/>
      <c r="G87" s="4"/>
      <c r="H87" s="388"/>
      <c r="I87" s="388"/>
      <c r="J87" s="388"/>
      <c r="K87" s="388"/>
      <c r="L87" s="388"/>
      <c r="M87" s="388"/>
      <c r="N87" s="388"/>
      <c r="O87" s="388"/>
      <c r="P87" s="389">
        <f>SUM(D87:O87)</f>
        <v>0</v>
      </c>
    </row>
    <row r="88" spans="1:16" s="351" customFormat="1" ht="15.6" x14ac:dyDescent="0.3">
      <c r="A88" s="525"/>
      <c r="B88" s="345" t="s">
        <v>188</v>
      </c>
      <c r="C88" s="345" t="s">
        <v>3</v>
      </c>
      <c r="D88" s="4">
        <f>D86+D87</f>
        <v>0</v>
      </c>
      <c r="E88" s="4">
        <f t="shared" ref="E88:G88" si="62">E87+E86</f>
        <v>0</v>
      </c>
      <c r="F88" s="4">
        <f t="shared" si="62"/>
        <v>0</v>
      </c>
      <c r="G88" s="4">
        <f t="shared" si="62"/>
        <v>0</v>
      </c>
      <c r="H88" s="388">
        <f t="shared" ref="H88:I88" si="63">H87+H86</f>
        <v>0</v>
      </c>
      <c r="I88" s="388">
        <f t="shared" si="63"/>
        <v>0</v>
      </c>
      <c r="J88" s="388">
        <f t="shared" ref="J88:K88" si="64">J87+J86</f>
        <v>0</v>
      </c>
      <c r="K88" s="388">
        <f t="shared" si="64"/>
        <v>0</v>
      </c>
      <c r="L88" s="388">
        <f t="shared" ref="L88:N88" si="65">L87+L86</f>
        <v>0</v>
      </c>
      <c r="M88" s="388">
        <f t="shared" si="65"/>
        <v>0</v>
      </c>
      <c r="N88" s="388">
        <f t="shared" si="65"/>
        <v>0</v>
      </c>
      <c r="O88" s="388">
        <v>0</v>
      </c>
      <c r="P88" s="389">
        <f>SUM(D88:O88)</f>
        <v>0</v>
      </c>
    </row>
    <row r="89" spans="1:16" ht="15.6" x14ac:dyDescent="0.3">
      <c r="A89" s="526"/>
      <c r="B89" s="395" t="s">
        <v>81</v>
      </c>
      <c r="C89" s="356" t="s">
        <v>3</v>
      </c>
      <c r="D89" s="26">
        <f>D84+D85-D88</f>
        <v>0</v>
      </c>
      <c r="E89" s="26">
        <f t="shared" ref="E89:G89" si="66">E84+E85-E88</f>
        <v>0</v>
      </c>
      <c r="F89" s="26">
        <f t="shared" si="66"/>
        <v>0</v>
      </c>
      <c r="G89" s="26">
        <f t="shared" si="66"/>
        <v>0</v>
      </c>
      <c r="H89" s="391">
        <f t="shared" ref="H89:I89" si="67">H84+H85-H88</f>
        <v>0</v>
      </c>
      <c r="I89" s="391">
        <f t="shared" si="67"/>
        <v>0</v>
      </c>
      <c r="J89" s="391">
        <f t="shared" ref="J89:N89" si="68">J84+J85-J88</f>
        <v>0</v>
      </c>
      <c r="K89" s="391">
        <f t="shared" si="68"/>
        <v>0</v>
      </c>
      <c r="L89" s="391">
        <f t="shared" si="68"/>
        <v>0</v>
      </c>
      <c r="M89" s="391">
        <f t="shared" si="68"/>
        <v>0</v>
      </c>
      <c r="N89" s="391">
        <f t="shared" si="68"/>
        <v>0</v>
      </c>
      <c r="O89" s="391">
        <v>0</v>
      </c>
      <c r="P89" s="394">
        <f t="shared" ref="P89" si="69">P84+P85-P86-P87</f>
        <v>0</v>
      </c>
    </row>
    <row r="90" spans="1:16" ht="15.6" x14ac:dyDescent="0.3">
      <c r="A90" s="527" t="s">
        <v>105</v>
      </c>
      <c r="B90" s="345" t="s">
        <v>85</v>
      </c>
      <c r="C90" s="345" t="s">
        <v>3</v>
      </c>
      <c r="D90" s="554">
        <f>D66+D72+D78+D84</f>
        <v>376</v>
      </c>
      <c r="E90" s="554">
        <f t="shared" ref="E90:G95" si="70">E66+E72+E78+E84</f>
        <v>378</v>
      </c>
      <c r="F90" s="554">
        <f t="shared" si="70"/>
        <v>360</v>
      </c>
      <c r="G90" s="554">
        <f t="shared" si="70"/>
        <v>325</v>
      </c>
      <c r="H90" s="396">
        <f t="shared" ref="H90:I90" si="71">H66+H72+H78+H84</f>
        <v>289</v>
      </c>
      <c r="I90" s="396">
        <f t="shared" si="71"/>
        <v>284</v>
      </c>
      <c r="J90" s="396">
        <f t="shared" ref="J90:K90" si="72">J66+J72+J78+J84</f>
        <v>285</v>
      </c>
      <c r="K90" s="396">
        <f t="shared" si="72"/>
        <v>283</v>
      </c>
      <c r="L90" s="396">
        <f t="shared" ref="L90:N90" si="73">L66+L72+L78+L84</f>
        <v>273</v>
      </c>
      <c r="M90" s="396">
        <f t="shared" si="73"/>
        <v>266</v>
      </c>
      <c r="N90" s="396">
        <f t="shared" si="73"/>
        <v>247</v>
      </c>
      <c r="O90" s="396">
        <v>247</v>
      </c>
      <c r="P90" s="387">
        <f>D90</f>
        <v>376</v>
      </c>
    </row>
    <row r="91" spans="1:16" ht="15.6" x14ac:dyDescent="0.3">
      <c r="A91" s="528"/>
      <c r="B91" s="345" t="s">
        <v>104</v>
      </c>
      <c r="C91" s="345" t="s">
        <v>3</v>
      </c>
      <c r="D91" s="554">
        <f t="shared" ref="D91:D95" si="74">D67+D73+D79+D85</f>
        <v>22</v>
      </c>
      <c r="E91" s="554">
        <f t="shared" si="70"/>
        <v>0</v>
      </c>
      <c r="F91" s="554">
        <f t="shared" si="70"/>
        <v>11</v>
      </c>
      <c r="G91" s="554">
        <f t="shared" si="70"/>
        <v>9</v>
      </c>
      <c r="H91" s="396">
        <f t="shared" ref="H91:I91" si="75">H67+H73+H79+H85</f>
        <v>17</v>
      </c>
      <c r="I91" s="396">
        <f t="shared" si="75"/>
        <v>25</v>
      </c>
      <c r="J91" s="396">
        <f t="shared" ref="J91:K91" si="76">J67+J73+J79+J85</f>
        <v>14</v>
      </c>
      <c r="K91" s="396">
        <f t="shared" si="76"/>
        <v>10</v>
      </c>
      <c r="L91" s="396">
        <f t="shared" ref="L91:N91" si="77">L67+L73+L79+L85</f>
        <v>7</v>
      </c>
      <c r="M91" s="396">
        <f t="shared" si="77"/>
        <v>5</v>
      </c>
      <c r="N91" s="396">
        <f t="shared" si="77"/>
        <v>19</v>
      </c>
      <c r="O91" s="396">
        <v>17</v>
      </c>
      <c r="P91" s="387">
        <f>SUM(D91:O91)</f>
        <v>156</v>
      </c>
    </row>
    <row r="92" spans="1:16" ht="15.6" x14ac:dyDescent="0.3">
      <c r="A92" s="528"/>
      <c r="B92" s="345" t="s">
        <v>103</v>
      </c>
      <c r="C92" s="345" t="s">
        <v>3</v>
      </c>
      <c r="D92" s="554">
        <f t="shared" si="74"/>
        <v>20</v>
      </c>
      <c r="E92" s="554">
        <f t="shared" si="70"/>
        <v>18</v>
      </c>
      <c r="F92" s="554">
        <f t="shared" si="70"/>
        <v>46</v>
      </c>
      <c r="G92" s="554">
        <f t="shared" si="70"/>
        <v>45</v>
      </c>
      <c r="H92" s="396">
        <f t="shared" ref="H92:I92" si="78">H68+H74+H80+H86</f>
        <v>20</v>
      </c>
      <c r="I92" s="396">
        <f t="shared" si="78"/>
        <v>24</v>
      </c>
      <c r="J92" s="396">
        <f t="shared" ref="J92:K92" si="79">J68+J74+J80+J86</f>
        <v>16</v>
      </c>
      <c r="K92" s="396">
        <f t="shared" si="79"/>
        <v>19</v>
      </c>
      <c r="L92" s="396">
        <f t="shared" ref="L92:N92" si="80">L68+L74+L80+L86</f>
        <v>13</v>
      </c>
      <c r="M92" s="396">
        <f t="shared" si="80"/>
        <v>24</v>
      </c>
      <c r="N92" s="396">
        <f t="shared" si="80"/>
        <v>19</v>
      </c>
      <c r="O92" s="396">
        <v>23</v>
      </c>
      <c r="P92" s="387">
        <f>SUM(D92:O92)</f>
        <v>287</v>
      </c>
    </row>
    <row r="93" spans="1:16" s="351" customFormat="1" ht="15.6" x14ac:dyDescent="0.3">
      <c r="A93" s="528"/>
      <c r="B93" s="345" t="s">
        <v>102</v>
      </c>
      <c r="C93" s="345"/>
      <c r="D93" s="554">
        <f t="shared" si="74"/>
        <v>0</v>
      </c>
      <c r="E93" s="554">
        <f t="shared" si="70"/>
        <v>0</v>
      </c>
      <c r="F93" s="554">
        <f t="shared" si="70"/>
        <v>0</v>
      </c>
      <c r="G93" s="554">
        <f t="shared" si="70"/>
        <v>0</v>
      </c>
      <c r="H93" s="396">
        <f t="shared" ref="H93:I93" si="81">H69+H75+H81+H87</f>
        <v>2</v>
      </c>
      <c r="I93" s="396">
        <f t="shared" si="81"/>
        <v>0</v>
      </c>
      <c r="J93" s="396">
        <f t="shared" ref="J93:K93" si="82">J69+J75+J81+J87</f>
        <v>0</v>
      </c>
      <c r="K93" s="396">
        <f t="shared" si="82"/>
        <v>1</v>
      </c>
      <c r="L93" s="396">
        <f t="shared" ref="L93:N93" si="83">L69+L75+L81+L87</f>
        <v>1</v>
      </c>
      <c r="M93" s="396">
        <f t="shared" si="83"/>
        <v>0</v>
      </c>
      <c r="N93" s="396">
        <f t="shared" si="83"/>
        <v>0</v>
      </c>
      <c r="O93" s="396">
        <v>0</v>
      </c>
      <c r="P93" s="387">
        <f>SUM(D93:O93)</f>
        <v>4</v>
      </c>
    </row>
    <row r="94" spans="1:16" s="351" customFormat="1" ht="15.6" x14ac:dyDescent="0.3">
      <c r="A94" s="528"/>
      <c r="B94" s="345" t="s">
        <v>188</v>
      </c>
      <c r="C94" s="345" t="s">
        <v>3</v>
      </c>
      <c r="D94" s="554">
        <f t="shared" si="74"/>
        <v>20</v>
      </c>
      <c r="E94" s="554">
        <f t="shared" si="70"/>
        <v>18</v>
      </c>
      <c r="F94" s="554">
        <f t="shared" si="70"/>
        <v>46</v>
      </c>
      <c r="G94" s="554">
        <f t="shared" si="70"/>
        <v>45</v>
      </c>
      <c r="H94" s="398">
        <f t="shared" ref="H94" si="84">H93+H92</f>
        <v>22</v>
      </c>
      <c r="I94" s="398">
        <f t="shared" ref="I94:J94" si="85">I93+I92</f>
        <v>24</v>
      </c>
      <c r="J94" s="398">
        <f t="shared" si="85"/>
        <v>16</v>
      </c>
      <c r="K94" s="398">
        <f t="shared" ref="K94" si="86">K93+K92</f>
        <v>20</v>
      </c>
      <c r="L94" s="398">
        <f t="shared" ref="L94:N94" si="87">L93+L92</f>
        <v>14</v>
      </c>
      <c r="M94" s="398">
        <f t="shared" si="87"/>
        <v>24</v>
      </c>
      <c r="N94" s="398">
        <f t="shared" si="87"/>
        <v>19</v>
      </c>
      <c r="O94" s="398">
        <v>23</v>
      </c>
      <c r="P94" s="407">
        <f t="shared" ref="P94" si="88">P93+P92</f>
        <v>291</v>
      </c>
    </row>
    <row r="95" spans="1:16" ht="16.2" thickBot="1" x14ac:dyDescent="0.35">
      <c r="A95" s="529"/>
      <c r="B95" s="345" t="s">
        <v>81</v>
      </c>
      <c r="C95" s="345" t="s">
        <v>3</v>
      </c>
      <c r="D95" s="554">
        <f t="shared" si="74"/>
        <v>378</v>
      </c>
      <c r="E95" s="554">
        <f t="shared" si="70"/>
        <v>360</v>
      </c>
      <c r="F95" s="554">
        <f t="shared" si="70"/>
        <v>325</v>
      </c>
      <c r="G95" s="554">
        <f t="shared" si="70"/>
        <v>289</v>
      </c>
      <c r="H95" s="401">
        <f t="shared" ref="H95" si="89">H90+H91-H94</f>
        <v>284</v>
      </c>
      <c r="I95" s="401">
        <f t="shared" ref="I95:J95" si="90">I90+I91-I94</f>
        <v>285</v>
      </c>
      <c r="J95" s="401">
        <f t="shared" si="90"/>
        <v>283</v>
      </c>
      <c r="K95" s="401">
        <f t="shared" ref="K95" si="91">K90+K91-K94</f>
        <v>273</v>
      </c>
      <c r="L95" s="401">
        <f t="shared" ref="L95:N95" si="92">L90+L91-L94</f>
        <v>266</v>
      </c>
      <c r="M95" s="401">
        <f t="shared" si="92"/>
        <v>247</v>
      </c>
      <c r="N95" s="401">
        <f t="shared" si="92"/>
        <v>247</v>
      </c>
      <c r="O95" s="401">
        <v>241</v>
      </c>
      <c r="P95" s="403">
        <f t="shared" ref="P95" si="93">P90+P91-P94</f>
        <v>241</v>
      </c>
    </row>
    <row r="96" spans="1:16" ht="16.2" thickBot="1" x14ac:dyDescent="0.35">
      <c r="A96" s="404"/>
      <c r="B96" s="405"/>
      <c r="C96" s="405"/>
      <c r="D96" s="399"/>
      <c r="E96" s="399"/>
      <c r="F96" s="399"/>
      <c r="G96" s="399"/>
      <c r="H96" s="399"/>
      <c r="I96" s="399"/>
      <c r="J96" s="406"/>
      <c r="K96" s="406"/>
      <c r="L96" s="406"/>
      <c r="M96" s="406"/>
      <c r="N96" s="406"/>
      <c r="O96" s="406"/>
      <c r="P96" s="407"/>
    </row>
    <row r="97" spans="1:16" s="351" customFormat="1" ht="15.75" customHeight="1" thickBot="1" x14ac:dyDescent="0.35">
      <c r="A97" s="489" t="s">
        <v>189</v>
      </c>
      <c r="B97" s="490"/>
      <c r="C97" s="490"/>
      <c r="D97" s="490"/>
      <c r="E97" s="490"/>
      <c r="F97" s="490"/>
      <c r="G97" s="490"/>
      <c r="H97" s="490"/>
      <c r="I97" s="490"/>
      <c r="J97" s="490"/>
      <c r="K97" s="490"/>
      <c r="L97" s="490"/>
      <c r="M97" s="490"/>
      <c r="N97" s="490"/>
      <c r="O97" s="490"/>
      <c r="P97" s="491"/>
    </row>
    <row r="98" spans="1:16" ht="15.6" x14ac:dyDescent="0.3">
      <c r="A98" s="408" t="s">
        <v>190</v>
      </c>
      <c r="B98" s="409"/>
      <c r="C98" s="345" t="s">
        <v>3</v>
      </c>
      <c r="D98" s="411">
        <v>0</v>
      </c>
      <c r="E98" s="411">
        <v>0</v>
      </c>
      <c r="F98" s="411">
        <v>5</v>
      </c>
      <c r="G98" s="411"/>
      <c r="H98" s="411"/>
      <c r="I98" s="411"/>
      <c r="J98" s="412"/>
      <c r="K98" s="412"/>
      <c r="L98" s="412"/>
      <c r="M98" s="412"/>
      <c r="N98" s="412"/>
      <c r="O98" s="412"/>
      <c r="P98" s="413">
        <f>SUM(D98:O98)</f>
        <v>5</v>
      </c>
    </row>
    <row r="99" spans="1:16" ht="15.6" x14ac:dyDescent="0.3">
      <c r="A99" s="408"/>
      <c r="B99" s="345"/>
      <c r="C99" s="345"/>
      <c r="D99" s="399"/>
      <c r="E99" s="399"/>
      <c r="F99" s="399"/>
      <c r="G99" s="399"/>
      <c r="H99" s="399"/>
      <c r="I99" s="399"/>
      <c r="J99" s="406"/>
      <c r="K99" s="406"/>
      <c r="L99" s="406"/>
      <c r="M99" s="406"/>
      <c r="N99" s="406"/>
      <c r="O99" s="406"/>
      <c r="P99" s="407"/>
    </row>
    <row r="100" spans="1:16" s="351" customFormat="1" x14ac:dyDescent="0.3">
      <c r="A100" s="513" t="s">
        <v>101</v>
      </c>
      <c r="B100" s="514"/>
      <c r="C100" s="514"/>
      <c r="D100" s="514"/>
      <c r="E100" s="514"/>
      <c r="F100" s="514"/>
      <c r="G100" s="514"/>
      <c r="H100" s="514"/>
      <c r="I100" s="514"/>
      <c r="J100" s="514"/>
      <c r="K100" s="514"/>
      <c r="L100" s="514"/>
      <c r="M100" s="514"/>
      <c r="N100" s="514"/>
      <c r="O100" s="514"/>
      <c r="P100" s="515"/>
    </row>
    <row r="101" spans="1:16" ht="15.6" x14ac:dyDescent="0.3">
      <c r="A101" s="475" t="s">
        <v>100</v>
      </c>
      <c r="B101" s="476"/>
      <c r="C101" s="345" t="s">
        <v>3</v>
      </c>
      <c r="D101" s="551">
        <f>287+148+103+50</f>
        <v>588</v>
      </c>
      <c r="E101" s="4">
        <v>571</v>
      </c>
      <c r="F101" s="4">
        <v>546</v>
      </c>
      <c r="G101" s="4">
        <v>580</v>
      </c>
      <c r="H101" s="4">
        <v>799</v>
      </c>
      <c r="I101" s="4">
        <v>799</v>
      </c>
      <c r="J101" s="4">
        <v>791</v>
      </c>
      <c r="K101" s="4">
        <v>780</v>
      </c>
      <c r="L101" s="379">
        <v>791</v>
      </c>
      <c r="M101" s="4">
        <v>871</v>
      </c>
      <c r="N101" s="379">
        <v>855</v>
      </c>
      <c r="O101" s="379">
        <v>835</v>
      </c>
      <c r="P101" s="414">
        <f t="shared" ref="P101:P116" si="94">O101</f>
        <v>835</v>
      </c>
    </row>
    <row r="102" spans="1:16" ht="15.6" x14ac:dyDescent="0.3">
      <c r="A102" s="475" t="s">
        <v>99</v>
      </c>
      <c r="B102" s="476"/>
      <c r="C102" s="345" t="s">
        <v>3</v>
      </c>
      <c r="D102" s="552">
        <v>11</v>
      </c>
      <c r="E102" s="4">
        <v>11</v>
      </c>
      <c r="F102" s="4">
        <v>11</v>
      </c>
      <c r="G102" s="4">
        <v>11</v>
      </c>
      <c r="H102" s="4">
        <v>11</v>
      </c>
      <c r="I102" s="4">
        <v>11</v>
      </c>
      <c r="J102" s="4">
        <v>11</v>
      </c>
      <c r="K102" s="4">
        <v>11</v>
      </c>
      <c r="L102" s="379">
        <v>11</v>
      </c>
      <c r="M102" s="4">
        <v>11</v>
      </c>
      <c r="N102" s="379">
        <v>11</v>
      </c>
      <c r="O102" s="379">
        <v>11</v>
      </c>
      <c r="P102" s="414">
        <f t="shared" si="94"/>
        <v>11</v>
      </c>
    </row>
    <row r="103" spans="1:16" ht="15.6" customHeight="1" x14ac:dyDescent="0.3">
      <c r="A103" s="482" t="s">
        <v>98</v>
      </c>
      <c r="B103" s="483"/>
      <c r="C103" s="345" t="s">
        <v>3</v>
      </c>
      <c r="D103" s="552">
        <v>13</v>
      </c>
      <c r="E103" s="4">
        <v>13</v>
      </c>
      <c r="F103" s="4">
        <v>13</v>
      </c>
      <c r="G103" s="4">
        <v>16</v>
      </c>
      <c r="H103" s="4">
        <v>13</v>
      </c>
      <c r="I103" s="4">
        <v>13</v>
      </c>
      <c r="J103" s="4">
        <v>13</v>
      </c>
      <c r="K103" s="4">
        <v>13</v>
      </c>
      <c r="L103" s="379">
        <v>13</v>
      </c>
      <c r="M103" s="4">
        <v>13</v>
      </c>
      <c r="N103" s="379">
        <v>13</v>
      </c>
      <c r="O103" s="379">
        <v>13</v>
      </c>
      <c r="P103" s="414">
        <f t="shared" si="94"/>
        <v>13</v>
      </c>
    </row>
    <row r="104" spans="1:16" ht="15.6" x14ac:dyDescent="0.3">
      <c r="A104" s="482" t="s">
        <v>97</v>
      </c>
      <c r="B104" s="483"/>
      <c r="C104" s="345" t="s">
        <v>3</v>
      </c>
      <c r="D104" s="552">
        <v>14</v>
      </c>
      <c r="E104" s="4">
        <v>14</v>
      </c>
      <c r="F104" s="4">
        <v>14</v>
      </c>
      <c r="G104" s="4">
        <v>14</v>
      </c>
      <c r="H104" s="4">
        <v>16</v>
      </c>
      <c r="I104" s="4">
        <v>16</v>
      </c>
      <c r="J104" s="4">
        <v>16</v>
      </c>
      <c r="K104" s="4">
        <v>16</v>
      </c>
      <c r="L104" s="379">
        <v>16</v>
      </c>
      <c r="M104" s="4">
        <v>16</v>
      </c>
      <c r="N104" s="379">
        <v>16</v>
      </c>
      <c r="O104" s="379">
        <v>16</v>
      </c>
      <c r="P104" s="414">
        <f t="shared" si="94"/>
        <v>16</v>
      </c>
    </row>
    <row r="105" spans="1:16" ht="15.6" x14ac:dyDescent="0.3">
      <c r="A105" s="530" t="s">
        <v>96</v>
      </c>
      <c r="B105" s="531"/>
      <c r="C105" s="345" t="s">
        <v>3</v>
      </c>
      <c r="D105" s="415">
        <f>SUM(D101:D104)</f>
        <v>626</v>
      </c>
      <c r="E105" s="415">
        <f t="shared" ref="E105:N105" si="95">SUM(E101:E104)</f>
        <v>609</v>
      </c>
      <c r="F105" s="415">
        <f t="shared" si="95"/>
        <v>584</v>
      </c>
      <c r="G105" s="415">
        <f t="shared" si="95"/>
        <v>621</v>
      </c>
      <c r="H105" s="415">
        <f t="shared" si="95"/>
        <v>839</v>
      </c>
      <c r="I105" s="415">
        <f t="shared" si="95"/>
        <v>839</v>
      </c>
      <c r="J105" s="415">
        <f t="shared" si="95"/>
        <v>831</v>
      </c>
      <c r="K105" s="415">
        <f t="shared" si="95"/>
        <v>820</v>
      </c>
      <c r="L105" s="415">
        <f t="shared" si="95"/>
        <v>831</v>
      </c>
      <c r="M105" s="415">
        <f t="shared" si="95"/>
        <v>911</v>
      </c>
      <c r="N105" s="415">
        <f t="shared" si="95"/>
        <v>895</v>
      </c>
      <c r="O105" s="415">
        <v>875</v>
      </c>
      <c r="P105" s="414">
        <f t="shared" si="94"/>
        <v>875</v>
      </c>
    </row>
    <row r="106" spans="1:16" s="351" customFormat="1" ht="15.6" customHeight="1" x14ac:dyDescent="0.3">
      <c r="A106" s="510" t="s">
        <v>210</v>
      </c>
      <c r="B106" s="511"/>
      <c r="C106" s="511"/>
      <c r="D106" s="511"/>
      <c r="E106" s="511"/>
      <c r="F106" s="511"/>
      <c r="G106" s="511"/>
      <c r="H106" s="511"/>
      <c r="I106" s="511"/>
      <c r="J106" s="511"/>
      <c r="K106" s="511"/>
      <c r="L106" s="511"/>
      <c r="M106" s="511"/>
      <c r="N106" s="511"/>
      <c r="O106" s="511"/>
      <c r="P106" s="512"/>
    </row>
    <row r="107" spans="1:16" ht="15.6" x14ac:dyDescent="0.3">
      <c r="A107" s="475" t="s">
        <v>193</v>
      </c>
      <c r="B107" s="476"/>
      <c r="C107" s="345" t="s">
        <v>3</v>
      </c>
      <c r="D107" s="551">
        <v>1898</v>
      </c>
      <c r="E107" s="4">
        <v>1933</v>
      </c>
      <c r="F107" s="4">
        <v>2004</v>
      </c>
      <c r="G107" s="4">
        <v>2012</v>
      </c>
      <c r="H107" s="4">
        <v>1814</v>
      </c>
      <c r="I107" s="4">
        <v>1838</v>
      </c>
      <c r="J107" s="4">
        <v>1862</v>
      </c>
      <c r="K107" s="4">
        <v>1892</v>
      </c>
      <c r="L107" s="379">
        <v>1894</v>
      </c>
      <c r="M107" s="379">
        <v>1838</v>
      </c>
      <c r="N107" s="379">
        <v>1873</v>
      </c>
      <c r="O107" s="379">
        <v>1916</v>
      </c>
      <c r="P107" s="414">
        <f t="shared" si="94"/>
        <v>1916</v>
      </c>
    </row>
    <row r="108" spans="1:16" ht="15.6" x14ac:dyDescent="0.3">
      <c r="A108" s="475" t="s">
        <v>194</v>
      </c>
      <c r="B108" s="476"/>
      <c r="C108" s="345" t="s">
        <v>3</v>
      </c>
      <c r="D108" s="551">
        <v>22</v>
      </c>
      <c r="E108" s="4">
        <v>22</v>
      </c>
      <c r="F108" s="4">
        <v>22</v>
      </c>
      <c r="G108" s="4">
        <v>22</v>
      </c>
      <c r="H108" s="4">
        <v>22</v>
      </c>
      <c r="I108" s="4">
        <v>22</v>
      </c>
      <c r="J108" s="4">
        <v>22</v>
      </c>
      <c r="K108" s="4">
        <v>22</v>
      </c>
      <c r="L108" s="379">
        <v>22</v>
      </c>
      <c r="M108" s="379">
        <v>22</v>
      </c>
      <c r="N108" s="379">
        <v>22</v>
      </c>
      <c r="O108" s="379">
        <v>22</v>
      </c>
      <c r="P108" s="414">
        <f t="shared" si="94"/>
        <v>22</v>
      </c>
    </row>
    <row r="109" spans="1:16" ht="15.6" x14ac:dyDescent="0.3">
      <c r="A109" s="475" t="s">
        <v>195</v>
      </c>
      <c r="B109" s="476"/>
      <c r="C109" s="345" t="s">
        <v>3</v>
      </c>
      <c r="D109" s="551">
        <v>13</v>
      </c>
      <c r="E109" s="4">
        <v>13</v>
      </c>
      <c r="F109" s="4">
        <v>13</v>
      </c>
      <c r="G109" s="4">
        <v>13</v>
      </c>
      <c r="H109" s="4">
        <v>13</v>
      </c>
      <c r="I109" s="4">
        <v>13</v>
      </c>
      <c r="J109" s="4">
        <v>13</v>
      </c>
      <c r="K109" s="4">
        <v>13</v>
      </c>
      <c r="L109" s="379">
        <v>13</v>
      </c>
      <c r="M109" s="379">
        <v>13</v>
      </c>
      <c r="N109" s="379">
        <v>13</v>
      </c>
      <c r="O109" s="379">
        <v>13</v>
      </c>
      <c r="P109" s="414">
        <f t="shared" si="94"/>
        <v>13</v>
      </c>
    </row>
    <row r="110" spans="1:16" ht="15.6" x14ac:dyDescent="0.3">
      <c r="A110" s="475" t="s">
        <v>196</v>
      </c>
      <c r="B110" s="476"/>
      <c r="C110" s="345" t="s">
        <v>3</v>
      </c>
      <c r="D110" s="551">
        <v>12</v>
      </c>
      <c r="E110" s="4">
        <v>12</v>
      </c>
      <c r="F110" s="4">
        <v>12</v>
      </c>
      <c r="G110" s="4">
        <v>12</v>
      </c>
      <c r="H110" s="4">
        <v>12</v>
      </c>
      <c r="I110" s="4">
        <v>12</v>
      </c>
      <c r="J110" s="4">
        <v>12</v>
      </c>
      <c r="K110" s="4">
        <v>12</v>
      </c>
      <c r="L110" s="379">
        <v>12</v>
      </c>
      <c r="M110" s="379">
        <v>12</v>
      </c>
      <c r="N110" s="379">
        <v>12</v>
      </c>
      <c r="O110" s="379">
        <v>12</v>
      </c>
      <c r="P110" s="414">
        <f t="shared" si="94"/>
        <v>12</v>
      </c>
    </row>
    <row r="111" spans="1:16" ht="15.6" x14ac:dyDescent="0.3">
      <c r="A111" s="492" t="s">
        <v>95</v>
      </c>
      <c r="B111" s="493"/>
      <c r="C111" s="345" t="s">
        <v>3</v>
      </c>
      <c r="D111" s="415">
        <f>SUM(D107:D110)</f>
        <v>1945</v>
      </c>
      <c r="E111" s="415">
        <f t="shared" ref="E111:N111" si="96">SUM(E107:E110)</f>
        <v>1980</v>
      </c>
      <c r="F111" s="415">
        <f t="shared" si="96"/>
        <v>2051</v>
      </c>
      <c r="G111" s="415">
        <f t="shared" si="96"/>
        <v>2059</v>
      </c>
      <c r="H111" s="415">
        <f t="shared" si="96"/>
        <v>1861</v>
      </c>
      <c r="I111" s="415">
        <f t="shared" si="96"/>
        <v>1885</v>
      </c>
      <c r="J111" s="415">
        <f t="shared" si="96"/>
        <v>1909</v>
      </c>
      <c r="K111" s="415">
        <f t="shared" si="96"/>
        <v>1939</v>
      </c>
      <c r="L111" s="415">
        <f t="shared" si="96"/>
        <v>1941</v>
      </c>
      <c r="M111" s="415">
        <f t="shared" si="96"/>
        <v>1885</v>
      </c>
      <c r="N111" s="415">
        <f t="shared" si="96"/>
        <v>1920</v>
      </c>
      <c r="O111" s="415">
        <v>1963</v>
      </c>
      <c r="P111" s="414">
        <f t="shared" si="94"/>
        <v>1963</v>
      </c>
    </row>
    <row r="112" spans="1:16" s="351" customFormat="1" ht="15.6" customHeight="1" x14ac:dyDescent="0.3">
      <c r="A112" s="513" t="s">
        <v>216</v>
      </c>
      <c r="B112" s="514"/>
      <c r="C112" s="514"/>
      <c r="D112" s="514"/>
      <c r="E112" s="514"/>
      <c r="F112" s="514"/>
      <c r="G112" s="514"/>
      <c r="H112" s="514"/>
      <c r="I112" s="514"/>
      <c r="J112" s="514"/>
      <c r="K112" s="514"/>
      <c r="L112" s="514"/>
      <c r="M112" s="514"/>
      <c r="N112" s="514"/>
      <c r="O112" s="514"/>
      <c r="P112" s="515"/>
    </row>
    <row r="113" spans="1:16" ht="15.6" x14ac:dyDescent="0.3">
      <c r="A113" s="475" t="s">
        <v>197</v>
      </c>
      <c r="B113" s="476"/>
      <c r="C113" s="345" t="s">
        <v>3</v>
      </c>
      <c r="D113" s="33">
        <v>619</v>
      </c>
      <c r="E113" s="4">
        <f>D113+E71</f>
        <v>979</v>
      </c>
      <c r="F113" s="4">
        <f t="shared" ref="F113:G113" si="97">E113+F71</f>
        <v>1304</v>
      </c>
      <c r="G113" s="4">
        <f t="shared" si="97"/>
        <v>1593</v>
      </c>
      <c r="H113" s="4">
        <v>621</v>
      </c>
      <c r="I113" s="417">
        <v>621</v>
      </c>
      <c r="J113" s="4">
        <v>621</v>
      </c>
      <c r="K113" s="4">
        <v>622</v>
      </c>
      <c r="L113" s="417">
        <v>623</v>
      </c>
      <c r="M113" s="417">
        <v>623</v>
      </c>
      <c r="N113" s="417">
        <v>623</v>
      </c>
      <c r="O113" s="417">
        <v>623</v>
      </c>
      <c r="P113" s="414">
        <f t="shared" si="94"/>
        <v>623</v>
      </c>
    </row>
    <row r="114" spans="1:16" ht="15.6" x14ac:dyDescent="0.3">
      <c r="A114" s="475" t="s">
        <v>198</v>
      </c>
      <c r="B114" s="476"/>
      <c r="C114" s="345" t="s">
        <v>3</v>
      </c>
      <c r="D114" s="33">
        <v>42</v>
      </c>
      <c r="E114" s="4">
        <f>D114+E77</f>
        <v>42</v>
      </c>
      <c r="F114" s="4">
        <f t="shared" ref="F114:G114" si="98">E114+F77</f>
        <v>42</v>
      </c>
      <c r="G114" s="4">
        <f t="shared" si="98"/>
        <v>42</v>
      </c>
      <c r="H114" s="4">
        <v>42</v>
      </c>
      <c r="I114" s="417">
        <v>42</v>
      </c>
      <c r="J114" s="4">
        <v>42</v>
      </c>
      <c r="K114" s="4">
        <v>42</v>
      </c>
      <c r="L114" s="417">
        <v>42</v>
      </c>
      <c r="M114" s="417">
        <v>42</v>
      </c>
      <c r="N114" s="417">
        <v>42</v>
      </c>
      <c r="O114" s="417">
        <v>42</v>
      </c>
      <c r="P114" s="414">
        <f t="shared" si="94"/>
        <v>42</v>
      </c>
    </row>
    <row r="115" spans="1:16" ht="15.6" x14ac:dyDescent="0.3">
      <c r="A115" s="475" t="s">
        <v>199</v>
      </c>
      <c r="B115" s="476"/>
      <c r="C115" s="345" t="s">
        <v>3</v>
      </c>
      <c r="D115" s="33">
        <v>56</v>
      </c>
      <c r="E115" s="4">
        <f>D115+E83</f>
        <v>56</v>
      </c>
      <c r="F115" s="4">
        <f t="shared" ref="F115:G115" si="99">E115+F83</f>
        <v>56</v>
      </c>
      <c r="G115" s="4">
        <f t="shared" si="99"/>
        <v>56</v>
      </c>
      <c r="H115" s="4">
        <v>56</v>
      </c>
      <c r="I115" s="417">
        <v>56</v>
      </c>
      <c r="J115" s="4">
        <v>56</v>
      </c>
      <c r="K115" s="4">
        <v>56</v>
      </c>
      <c r="L115" s="417">
        <v>56</v>
      </c>
      <c r="M115" s="417">
        <v>56</v>
      </c>
      <c r="N115" s="417">
        <v>56</v>
      </c>
      <c r="O115" s="417">
        <v>56</v>
      </c>
      <c r="P115" s="414">
        <f t="shared" si="94"/>
        <v>56</v>
      </c>
    </row>
    <row r="116" spans="1:16" ht="15.6" x14ac:dyDescent="0.3">
      <c r="A116" s="475" t="s">
        <v>200</v>
      </c>
      <c r="B116" s="476"/>
      <c r="C116" s="345" t="s">
        <v>3</v>
      </c>
      <c r="D116" s="33">
        <v>3</v>
      </c>
      <c r="E116" s="4">
        <f>D116+E89</f>
        <v>3</v>
      </c>
      <c r="F116" s="4">
        <f t="shared" ref="F116:G116" si="100">E116+F89</f>
        <v>3</v>
      </c>
      <c r="G116" s="4">
        <f t="shared" si="100"/>
        <v>3</v>
      </c>
      <c r="H116" s="4">
        <v>3</v>
      </c>
      <c r="I116" s="417">
        <v>3</v>
      </c>
      <c r="J116" s="4">
        <v>3</v>
      </c>
      <c r="K116" s="4">
        <v>3</v>
      </c>
      <c r="L116" s="417">
        <v>3</v>
      </c>
      <c r="M116" s="417">
        <v>3</v>
      </c>
      <c r="N116" s="417">
        <v>3</v>
      </c>
      <c r="O116" s="417">
        <v>3</v>
      </c>
      <c r="P116" s="414">
        <f t="shared" si="94"/>
        <v>3</v>
      </c>
    </row>
    <row r="117" spans="1:16" ht="15.6" x14ac:dyDescent="0.3">
      <c r="A117" s="492" t="s">
        <v>94</v>
      </c>
      <c r="B117" s="493"/>
      <c r="C117" s="345" t="s">
        <v>3</v>
      </c>
      <c r="D117" s="415">
        <f>SUM(D113:D116)</f>
        <v>720</v>
      </c>
      <c r="E117" s="415">
        <f t="shared" ref="E117:P117" si="101">SUM(E113:E116)</f>
        <v>1080</v>
      </c>
      <c r="F117" s="415">
        <f t="shared" si="101"/>
        <v>1405</v>
      </c>
      <c r="G117" s="415">
        <f t="shared" si="101"/>
        <v>1694</v>
      </c>
      <c r="H117" s="415">
        <f t="shared" ref="H117:I117" si="102">SUM(H113:H116)</f>
        <v>722</v>
      </c>
      <c r="I117" s="415">
        <f t="shared" si="102"/>
        <v>722</v>
      </c>
      <c r="J117" s="415">
        <f t="shared" ref="J117:K117" si="103">SUM(J113:J116)</f>
        <v>722</v>
      </c>
      <c r="K117" s="415">
        <f t="shared" si="103"/>
        <v>723</v>
      </c>
      <c r="L117" s="415">
        <f t="shared" si="101"/>
        <v>724</v>
      </c>
      <c r="M117" s="415">
        <f t="shared" ref="M117" si="104">SUM(M113:M116)</f>
        <v>724</v>
      </c>
      <c r="N117" s="415">
        <f t="shared" si="101"/>
        <v>724</v>
      </c>
      <c r="O117" s="415">
        <v>724</v>
      </c>
      <c r="P117" s="347">
        <f t="shared" si="101"/>
        <v>724</v>
      </c>
    </row>
    <row r="118" spans="1:16" s="351" customFormat="1" ht="15.6" x14ac:dyDescent="0.3">
      <c r="A118" s="418" t="s">
        <v>191</v>
      </c>
      <c r="B118" s="419"/>
      <c r="C118" s="345" t="s">
        <v>3</v>
      </c>
      <c r="D118" s="415">
        <f t="shared" ref="D118:I118" si="105">D111+D117</f>
        <v>2665</v>
      </c>
      <c r="E118" s="415">
        <f t="shared" si="105"/>
        <v>3060</v>
      </c>
      <c r="F118" s="415">
        <f t="shared" si="105"/>
        <v>3456</v>
      </c>
      <c r="G118" s="415">
        <f t="shared" si="105"/>
        <v>3753</v>
      </c>
      <c r="H118" s="415">
        <f t="shared" si="105"/>
        <v>2583</v>
      </c>
      <c r="I118" s="415">
        <f t="shared" si="105"/>
        <v>2607</v>
      </c>
      <c r="J118" s="415">
        <f t="shared" ref="J118:K118" si="106">J111+J117</f>
        <v>2631</v>
      </c>
      <c r="K118" s="415">
        <f t="shared" si="106"/>
        <v>2662</v>
      </c>
      <c r="L118" s="415">
        <f t="shared" ref="L118:M118" si="107">L111+L117</f>
        <v>2665</v>
      </c>
      <c r="M118" s="415">
        <f t="shared" si="107"/>
        <v>2609</v>
      </c>
      <c r="N118" s="415">
        <f t="shared" ref="N118:P118" si="108">N111+N117</f>
        <v>2644</v>
      </c>
      <c r="O118" s="415">
        <v>2687</v>
      </c>
      <c r="P118" s="415">
        <f t="shared" si="108"/>
        <v>2687</v>
      </c>
    </row>
    <row r="119" spans="1:16" ht="15.6" x14ac:dyDescent="0.3">
      <c r="A119" s="492" t="s">
        <v>192</v>
      </c>
      <c r="B119" s="493"/>
      <c r="C119" s="345" t="s">
        <v>3</v>
      </c>
      <c r="D119" s="415">
        <f t="shared" ref="D119:I119" si="109">D105+D118</f>
        <v>3291</v>
      </c>
      <c r="E119" s="415">
        <f t="shared" si="109"/>
        <v>3669</v>
      </c>
      <c r="F119" s="415">
        <f t="shared" si="109"/>
        <v>4040</v>
      </c>
      <c r="G119" s="415">
        <f t="shared" si="109"/>
        <v>4374</v>
      </c>
      <c r="H119" s="415">
        <f t="shared" si="109"/>
        <v>3422</v>
      </c>
      <c r="I119" s="415">
        <f t="shared" si="109"/>
        <v>3446</v>
      </c>
      <c r="J119" s="415">
        <f t="shared" ref="J119:K119" si="110">J105+J118</f>
        <v>3462</v>
      </c>
      <c r="K119" s="415">
        <f t="shared" si="110"/>
        <v>3482</v>
      </c>
      <c r="L119" s="415">
        <f t="shared" ref="L119:M119" si="111">L105+L118</f>
        <v>3496</v>
      </c>
      <c r="M119" s="415">
        <f t="shared" si="111"/>
        <v>3520</v>
      </c>
      <c r="N119" s="415">
        <f t="shared" ref="N119:P119" si="112">N105+N118</f>
        <v>3539</v>
      </c>
      <c r="O119" s="415">
        <v>3562</v>
      </c>
      <c r="P119" s="415">
        <f t="shared" si="112"/>
        <v>3562</v>
      </c>
    </row>
    <row r="120" spans="1:16" x14ac:dyDescent="0.3">
      <c r="A120" s="472" t="s">
        <v>201</v>
      </c>
      <c r="B120" s="473"/>
      <c r="C120" s="473"/>
      <c r="D120" s="473"/>
      <c r="E120" s="473"/>
      <c r="F120" s="473"/>
      <c r="G120" s="473"/>
      <c r="H120" s="473"/>
      <c r="I120" s="473"/>
      <c r="J120" s="473"/>
      <c r="K120" s="473"/>
      <c r="L120" s="473"/>
      <c r="M120" s="473"/>
      <c r="N120" s="473"/>
      <c r="O120" s="473"/>
      <c r="P120" s="474"/>
    </row>
    <row r="121" spans="1:16" ht="15.6" x14ac:dyDescent="0.3">
      <c r="A121" s="475" t="s">
        <v>93</v>
      </c>
      <c r="B121" s="476"/>
      <c r="C121" s="356" t="s">
        <v>3</v>
      </c>
      <c r="D121" s="551">
        <v>22129</v>
      </c>
      <c r="E121" s="4">
        <f>D121*1.002</f>
        <v>22173.258000000002</v>
      </c>
      <c r="F121" s="4">
        <f t="shared" ref="F121:K121" si="113">E121*1.002</f>
        <v>22217.604516000003</v>
      </c>
      <c r="G121" s="4">
        <f t="shared" si="113"/>
        <v>22262.039725032002</v>
      </c>
      <c r="H121" s="4">
        <f t="shared" si="113"/>
        <v>22306.563804482066</v>
      </c>
      <c r="I121" s="4">
        <f t="shared" si="113"/>
        <v>22351.176932091032</v>
      </c>
      <c r="J121" s="4">
        <f t="shared" si="113"/>
        <v>22395.879285955212</v>
      </c>
      <c r="K121" s="4">
        <f t="shared" si="113"/>
        <v>22440.671044527124</v>
      </c>
      <c r="L121" s="421">
        <v>22485.552386616178</v>
      </c>
      <c r="M121" s="4">
        <f t="shared" ref="M121:N121" si="114">L121*1.002</f>
        <v>22530.523491389409</v>
      </c>
      <c r="N121" s="4">
        <f t="shared" si="114"/>
        <v>22575.584538372186</v>
      </c>
      <c r="O121" s="421">
        <v>22620.73570744893</v>
      </c>
      <c r="P121" s="422">
        <f>O121</f>
        <v>22620.73570744893</v>
      </c>
    </row>
    <row r="122" spans="1:16" ht="15.6" x14ac:dyDescent="0.3">
      <c r="A122" s="475" t="s">
        <v>92</v>
      </c>
      <c r="B122" s="476"/>
      <c r="C122" s="356" t="s">
        <v>3</v>
      </c>
      <c r="D122" s="553">
        <v>16982</v>
      </c>
      <c r="E122" s="4">
        <f>D122+(E96)</f>
        <v>16982</v>
      </c>
      <c r="F122" s="4">
        <f t="shared" ref="F122:K122" si="115">E122+(F96)</f>
        <v>16982</v>
      </c>
      <c r="G122" s="4">
        <f t="shared" si="115"/>
        <v>16982</v>
      </c>
      <c r="H122" s="4">
        <f t="shared" si="115"/>
        <v>16982</v>
      </c>
      <c r="I122" s="4">
        <f t="shared" si="115"/>
        <v>16982</v>
      </c>
      <c r="J122" s="4">
        <f t="shared" si="115"/>
        <v>16982</v>
      </c>
      <c r="K122" s="4">
        <f t="shared" si="115"/>
        <v>16982</v>
      </c>
      <c r="L122" s="421">
        <v>17187</v>
      </c>
      <c r="M122" s="4">
        <f t="shared" ref="M122:N122" si="116">L122+(M96)</f>
        <v>17187</v>
      </c>
      <c r="N122" s="4">
        <f t="shared" si="116"/>
        <v>17187</v>
      </c>
      <c r="O122" s="421">
        <v>17253</v>
      </c>
      <c r="P122" s="422">
        <f>O122</f>
        <v>17253</v>
      </c>
    </row>
    <row r="123" spans="1:16" ht="15.6" x14ac:dyDescent="0.3">
      <c r="A123" s="508" t="s">
        <v>91</v>
      </c>
      <c r="B123" s="509"/>
      <c r="C123" s="423" t="s">
        <v>6</v>
      </c>
      <c r="D123" s="29">
        <f t="shared" ref="D123:G123" si="117">D122/D121</f>
        <v>0.76740928193772873</v>
      </c>
      <c r="E123" s="29">
        <f t="shared" si="117"/>
        <v>0.76587752688396082</v>
      </c>
      <c r="F123" s="29">
        <f t="shared" si="117"/>
        <v>0.76434882922550973</v>
      </c>
      <c r="G123" s="29">
        <f t="shared" si="117"/>
        <v>0.76282318285979023</v>
      </c>
      <c r="H123" s="424">
        <f t="shared" ref="H123:P123" si="118">H122/H121</f>
        <v>0.76130058169639736</v>
      </c>
      <c r="I123" s="424">
        <f t="shared" si="118"/>
        <v>0.75978101965708322</v>
      </c>
      <c r="J123" s="424">
        <f t="shared" si="118"/>
        <v>0.75826449067573176</v>
      </c>
      <c r="K123" s="424">
        <f t="shared" si="118"/>
        <v>0.75675098869833501</v>
      </c>
      <c r="L123" s="424">
        <f t="shared" si="118"/>
        <v>0.76435747294471734</v>
      </c>
      <c r="M123" s="424">
        <f t="shared" si="118"/>
        <v>0.76283180932606531</v>
      </c>
      <c r="N123" s="424">
        <f t="shared" si="118"/>
        <v>0.76130919094417693</v>
      </c>
      <c r="O123" s="424">
        <v>0.76270728870761917</v>
      </c>
      <c r="P123" s="425">
        <f t="shared" si="118"/>
        <v>0.76270728870761917</v>
      </c>
    </row>
    <row r="124" spans="1:16" x14ac:dyDescent="0.3">
      <c r="A124" s="500" t="s">
        <v>90</v>
      </c>
      <c r="B124" s="501"/>
      <c r="C124" s="501"/>
      <c r="D124" s="501"/>
      <c r="E124" s="501"/>
      <c r="F124" s="501"/>
      <c r="G124" s="501"/>
      <c r="H124" s="501"/>
      <c r="I124" s="501"/>
      <c r="J124" s="501"/>
      <c r="K124" s="501"/>
      <c r="L124" s="501"/>
      <c r="M124" s="501"/>
      <c r="N124" s="501"/>
      <c r="O124" s="501"/>
      <c r="P124" s="502"/>
    </row>
    <row r="125" spans="1:16" ht="15.6" x14ac:dyDescent="0.3">
      <c r="A125" s="245" t="s">
        <v>227</v>
      </c>
      <c r="B125" s="345" t="s">
        <v>85</v>
      </c>
      <c r="C125" s="345" t="s">
        <v>3</v>
      </c>
      <c r="D125" s="4"/>
      <c r="E125" s="4">
        <f>D129</f>
        <v>0</v>
      </c>
      <c r="F125" s="4">
        <f t="shared" ref="F125:G125" si="119">E129</f>
        <v>0</v>
      </c>
      <c r="G125" s="4">
        <f t="shared" si="119"/>
        <v>0</v>
      </c>
      <c r="H125" s="386"/>
      <c r="I125" s="386"/>
      <c r="J125" s="386"/>
      <c r="K125" s="386"/>
      <c r="L125" s="386"/>
      <c r="M125" s="386"/>
      <c r="N125" s="386"/>
      <c r="O125" s="386"/>
      <c r="P125" s="426">
        <f>D125</f>
        <v>0</v>
      </c>
    </row>
    <row r="126" spans="1:16" ht="15.6" x14ac:dyDescent="0.3">
      <c r="A126" s="484"/>
      <c r="B126" s="345" t="s">
        <v>84</v>
      </c>
      <c r="C126" s="345" t="s">
        <v>3</v>
      </c>
      <c r="D126" s="4"/>
      <c r="E126" s="4"/>
      <c r="F126" s="4"/>
      <c r="G126" s="4"/>
      <c r="H126" s="388"/>
      <c r="I126" s="388"/>
      <c r="J126" s="388"/>
      <c r="K126" s="388"/>
      <c r="L126" s="388"/>
      <c r="M126" s="388"/>
      <c r="N126" s="388"/>
      <c r="O126" s="388"/>
      <c r="P126" s="427">
        <f>SUM(D126:O126)</f>
        <v>0</v>
      </c>
    </row>
    <row r="127" spans="1:16" ht="15.6" x14ac:dyDescent="0.3">
      <c r="A127" s="484"/>
      <c r="B127" s="428" t="s">
        <v>88</v>
      </c>
      <c r="C127" s="345" t="s">
        <v>3</v>
      </c>
      <c r="D127" s="4"/>
      <c r="E127" s="4"/>
      <c r="F127" s="4"/>
      <c r="G127" s="4"/>
      <c r="H127" s="388"/>
      <c r="I127" s="388"/>
      <c r="J127" s="388"/>
      <c r="K127" s="388"/>
      <c r="L127" s="388"/>
      <c r="M127" s="388"/>
      <c r="N127" s="388"/>
      <c r="O127" s="388"/>
      <c r="P127" s="427">
        <f>SUM(D127:O127)</f>
        <v>0</v>
      </c>
    </row>
    <row r="128" spans="1:16" ht="15.6" x14ac:dyDescent="0.3">
      <c r="A128" s="484"/>
      <c r="B128" s="345" t="s">
        <v>82</v>
      </c>
      <c r="C128" s="345" t="s">
        <v>3</v>
      </c>
      <c r="D128" s="4"/>
      <c r="E128" s="4"/>
      <c r="F128" s="4"/>
      <c r="G128" s="4"/>
      <c r="H128" s="388"/>
      <c r="I128" s="388"/>
      <c r="J128" s="388"/>
      <c r="K128" s="388"/>
      <c r="L128" s="388"/>
      <c r="M128" s="388"/>
      <c r="N128" s="388"/>
      <c r="O128" s="388"/>
      <c r="P128" s="427">
        <f>SUM(D128:O128)</f>
        <v>0</v>
      </c>
    </row>
    <row r="129" spans="1:16" ht="15.6" x14ac:dyDescent="0.3">
      <c r="A129" s="246"/>
      <c r="B129" s="345" t="s">
        <v>81</v>
      </c>
      <c r="C129" s="345" t="s">
        <v>3</v>
      </c>
      <c r="D129" s="4">
        <f>D125+D126-D127-D128</f>
        <v>0</v>
      </c>
      <c r="E129" s="4">
        <f t="shared" ref="E129:G129" si="120">E125+E126-E127-E128</f>
        <v>0</v>
      </c>
      <c r="F129" s="4">
        <f t="shared" si="120"/>
        <v>0</v>
      </c>
      <c r="G129" s="4">
        <f t="shared" si="120"/>
        <v>0</v>
      </c>
      <c r="H129" s="386">
        <f t="shared" ref="H129:I129" si="121">H125+H126-H127-H128</f>
        <v>0</v>
      </c>
      <c r="I129" s="386">
        <f t="shared" si="121"/>
        <v>0</v>
      </c>
      <c r="J129" s="386">
        <f t="shared" ref="J129:K129" si="122">J125+J126-J127-J128</f>
        <v>0</v>
      </c>
      <c r="K129" s="386">
        <f t="shared" si="122"/>
        <v>0</v>
      </c>
      <c r="L129" s="386">
        <f t="shared" ref="L129:M129" si="123">L125+L126-L127-L128</f>
        <v>0</v>
      </c>
      <c r="M129" s="386">
        <f t="shared" si="123"/>
        <v>0</v>
      </c>
      <c r="N129" s="386">
        <f t="shared" ref="N129" si="124">N125+N126-N127-N128</f>
        <v>0</v>
      </c>
      <c r="O129" s="386">
        <v>0</v>
      </c>
      <c r="P129" s="426">
        <f>P125+P126-P127-P128</f>
        <v>0</v>
      </c>
    </row>
    <row r="130" spans="1:16" ht="15.6" x14ac:dyDescent="0.3">
      <c r="A130" s="245" t="s">
        <v>228</v>
      </c>
      <c r="B130" s="429" t="s">
        <v>85</v>
      </c>
      <c r="C130" s="429" t="s">
        <v>3</v>
      </c>
      <c r="D130" s="4"/>
      <c r="E130" s="4">
        <f>D134</f>
        <v>0</v>
      </c>
      <c r="F130" s="4">
        <f t="shared" ref="F130:G130" si="125">E134</f>
        <v>0</v>
      </c>
      <c r="G130" s="4">
        <f t="shared" si="125"/>
        <v>0</v>
      </c>
      <c r="H130" s="386"/>
      <c r="I130" s="386"/>
      <c r="J130" s="386"/>
      <c r="K130" s="386"/>
      <c r="L130" s="386"/>
      <c r="M130" s="386"/>
      <c r="N130" s="386"/>
      <c r="O130" s="386"/>
      <c r="P130" s="426">
        <f>D130</f>
        <v>0</v>
      </c>
    </row>
    <row r="131" spans="1:16" ht="15.6" x14ac:dyDescent="0.3">
      <c r="A131" s="484"/>
      <c r="B131" s="345" t="s">
        <v>84</v>
      </c>
      <c r="C131" s="345" t="s">
        <v>3</v>
      </c>
      <c r="D131" s="4"/>
      <c r="E131" s="4"/>
      <c r="F131" s="4"/>
      <c r="G131" s="4"/>
      <c r="H131" s="388"/>
      <c r="I131" s="388"/>
      <c r="J131" s="388"/>
      <c r="K131" s="388"/>
      <c r="L131" s="388"/>
      <c r="M131" s="388"/>
      <c r="N131" s="388"/>
      <c r="O131" s="388"/>
      <c r="P131" s="427">
        <f>SUM(D131:O131)</f>
        <v>0</v>
      </c>
    </row>
    <row r="132" spans="1:16" ht="15.6" x14ac:dyDescent="0.3">
      <c r="A132" s="484"/>
      <c r="B132" s="428" t="s">
        <v>88</v>
      </c>
      <c r="C132" s="345" t="s">
        <v>3</v>
      </c>
      <c r="D132" s="4"/>
      <c r="E132" s="4"/>
      <c r="F132" s="4"/>
      <c r="G132" s="4"/>
      <c r="H132" s="388"/>
      <c r="I132" s="388"/>
      <c r="J132" s="388"/>
      <c r="K132" s="388"/>
      <c r="L132" s="388"/>
      <c r="M132" s="388"/>
      <c r="N132" s="388"/>
      <c r="O132" s="388"/>
      <c r="P132" s="427">
        <f>SUM(D132:O132)</f>
        <v>0</v>
      </c>
    </row>
    <row r="133" spans="1:16" ht="15.6" x14ac:dyDescent="0.3">
      <c r="A133" s="484"/>
      <c r="B133" s="345" t="s">
        <v>82</v>
      </c>
      <c r="C133" s="345" t="s">
        <v>3</v>
      </c>
      <c r="D133" s="4"/>
      <c r="E133" s="4"/>
      <c r="F133" s="4"/>
      <c r="G133" s="4"/>
      <c r="H133" s="388"/>
      <c r="I133" s="388"/>
      <c r="J133" s="388"/>
      <c r="K133" s="388"/>
      <c r="L133" s="388"/>
      <c r="M133" s="388"/>
      <c r="N133" s="388"/>
      <c r="O133" s="388"/>
      <c r="P133" s="427">
        <f>SUM(D133:O133)</f>
        <v>0</v>
      </c>
    </row>
    <row r="134" spans="1:16" ht="15.6" x14ac:dyDescent="0.3">
      <c r="A134" s="246"/>
      <c r="B134" s="345" t="s">
        <v>81</v>
      </c>
      <c r="C134" s="345" t="s">
        <v>3</v>
      </c>
      <c r="D134" s="4">
        <f>D130+D131-D132-D133</f>
        <v>0</v>
      </c>
      <c r="E134" s="4">
        <f t="shared" ref="E134:G134" si="126">E130+E131-E132-E133</f>
        <v>0</v>
      </c>
      <c r="F134" s="4">
        <f t="shared" si="126"/>
        <v>0</v>
      </c>
      <c r="G134" s="4">
        <f t="shared" si="126"/>
        <v>0</v>
      </c>
      <c r="H134" s="386">
        <f t="shared" ref="H134:I134" si="127">H130+H131-H132-H133</f>
        <v>0</v>
      </c>
      <c r="I134" s="386">
        <f t="shared" si="127"/>
        <v>0</v>
      </c>
      <c r="J134" s="386">
        <f t="shared" ref="J134:K134" si="128">J130+J131-J132-J133</f>
        <v>0</v>
      </c>
      <c r="K134" s="386">
        <f t="shared" si="128"/>
        <v>0</v>
      </c>
      <c r="L134" s="386">
        <f t="shared" ref="L134:M134" si="129">L130+L131-L132-L133</f>
        <v>0</v>
      </c>
      <c r="M134" s="386">
        <f t="shared" si="129"/>
        <v>0</v>
      </c>
      <c r="N134" s="386">
        <f t="shared" ref="N134" si="130">N130+N131-N132-N133</f>
        <v>0</v>
      </c>
      <c r="O134" s="386">
        <v>0</v>
      </c>
      <c r="P134" s="426">
        <f>P130+P131-P132-P133</f>
        <v>0</v>
      </c>
    </row>
    <row r="135" spans="1:16" ht="15.6" x14ac:dyDescent="0.3">
      <c r="A135" s="245" t="s">
        <v>89</v>
      </c>
      <c r="B135" s="345" t="s">
        <v>85</v>
      </c>
      <c r="C135" s="345" t="s">
        <v>3</v>
      </c>
      <c r="D135" s="4"/>
      <c r="E135" s="4">
        <f>D139</f>
        <v>0</v>
      </c>
      <c r="F135" s="4">
        <f t="shared" ref="F135:G135" si="131">E139</f>
        <v>0</v>
      </c>
      <c r="G135" s="4">
        <f t="shared" si="131"/>
        <v>0</v>
      </c>
      <c r="H135" s="386"/>
      <c r="I135" s="386"/>
      <c r="J135" s="386"/>
      <c r="K135" s="386"/>
      <c r="L135" s="386"/>
      <c r="M135" s="386"/>
      <c r="N135" s="386"/>
      <c r="O135" s="386"/>
      <c r="P135" s="426">
        <f>D135</f>
        <v>0</v>
      </c>
    </row>
    <row r="136" spans="1:16" ht="15.6" x14ac:dyDescent="0.3">
      <c r="A136" s="484"/>
      <c r="B136" s="345" t="s">
        <v>84</v>
      </c>
      <c r="C136" s="345" t="s">
        <v>3</v>
      </c>
      <c r="D136" s="4"/>
      <c r="E136" s="4"/>
      <c r="F136" s="4"/>
      <c r="G136" s="4"/>
      <c r="H136" s="388"/>
      <c r="I136" s="388"/>
      <c r="J136" s="388"/>
      <c r="K136" s="388"/>
      <c r="L136" s="388"/>
      <c r="M136" s="388"/>
      <c r="N136" s="388"/>
      <c r="O136" s="388"/>
      <c r="P136" s="427">
        <f>SUM(D136:O136)</f>
        <v>0</v>
      </c>
    </row>
    <row r="137" spans="1:16" ht="15.6" x14ac:dyDescent="0.3">
      <c r="A137" s="484"/>
      <c r="B137" s="428" t="s">
        <v>88</v>
      </c>
      <c r="C137" s="345" t="s">
        <v>3</v>
      </c>
      <c r="D137" s="4"/>
      <c r="E137" s="4"/>
      <c r="F137" s="4"/>
      <c r="G137" s="4"/>
      <c r="H137" s="388"/>
      <c r="I137" s="388"/>
      <c r="J137" s="388"/>
      <c r="K137" s="388"/>
      <c r="L137" s="388"/>
      <c r="M137" s="388"/>
      <c r="N137" s="388"/>
      <c r="O137" s="388"/>
      <c r="P137" s="427">
        <f>SUM(D137:O137)</f>
        <v>0</v>
      </c>
    </row>
    <row r="138" spans="1:16" ht="15.6" x14ac:dyDescent="0.3">
      <c r="A138" s="484"/>
      <c r="B138" s="345" t="s">
        <v>82</v>
      </c>
      <c r="C138" s="345" t="s">
        <v>3</v>
      </c>
      <c r="D138" s="4"/>
      <c r="E138" s="4"/>
      <c r="F138" s="4"/>
      <c r="G138" s="4"/>
      <c r="H138" s="388"/>
      <c r="I138" s="388"/>
      <c r="J138" s="388"/>
      <c r="K138" s="388"/>
      <c r="L138" s="388"/>
      <c r="M138" s="388"/>
      <c r="N138" s="388"/>
      <c r="O138" s="388"/>
      <c r="P138" s="427">
        <f>SUM(D138:O138)</f>
        <v>0</v>
      </c>
    </row>
    <row r="139" spans="1:16" ht="15.6" x14ac:dyDescent="0.3">
      <c r="A139" s="246"/>
      <c r="B139" s="345" t="s">
        <v>81</v>
      </c>
      <c r="C139" s="345" t="s">
        <v>3</v>
      </c>
      <c r="D139" s="4">
        <f>D135+D136-D137-D138</f>
        <v>0</v>
      </c>
      <c r="E139" s="4">
        <f t="shared" ref="E139:G139" si="132">E135+E136-E137-E138</f>
        <v>0</v>
      </c>
      <c r="F139" s="4">
        <f t="shared" si="132"/>
        <v>0</v>
      </c>
      <c r="G139" s="4">
        <f t="shared" si="132"/>
        <v>0</v>
      </c>
      <c r="H139" s="386">
        <f t="shared" ref="H139:I139" si="133">H135+H136-H137-H138</f>
        <v>0</v>
      </c>
      <c r="I139" s="386">
        <f t="shared" si="133"/>
        <v>0</v>
      </c>
      <c r="J139" s="386">
        <f t="shared" ref="J139:K139" si="134">J135+J136-J137-J138</f>
        <v>0</v>
      </c>
      <c r="K139" s="386">
        <f t="shared" si="134"/>
        <v>0</v>
      </c>
      <c r="L139" s="386">
        <f t="shared" ref="L139:M139" si="135">L135+L136-L137-L138</f>
        <v>0</v>
      </c>
      <c r="M139" s="386">
        <f t="shared" si="135"/>
        <v>0</v>
      </c>
      <c r="N139" s="386">
        <f t="shared" ref="N139" si="136">N135+N136-N137-N138</f>
        <v>0</v>
      </c>
      <c r="O139" s="386">
        <v>0</v>
      </c>
      <c r="P139" s="426">
        <f>P135+P136-P137-P138</f>
        <v>0</v>
      </c>
    </row>
    <row r="140" spans="1:16" ht="15.6" x14ac:dyDescent="0.3">
      <c r="A140" s="245" t="s">
        <v>87</v>
      </c>
      <c r="B140" s="345" t="s">
        <v>85</v>
      </c>
      <c r="C140" s="345" t="s">
        <v>3</v>
      </c>
      <c r="D140" s="4">
        <v>326</v>
      </c>
      <c r="E140" s="4">
        <f>D144</f>
        <v>307</v>
      </c>
      <c r="F140" s="4">
        <f t="shared" ref="F140:K140" si="137">E144</f>
        <v>304</v>
      </c>
      <c r="G140" s="4">
        <f t="shared" si="137"/>
        <v>330</v>
      </c>
      <c r="H140" s="4">
        <f t="shared" si="137"/>
        <v>330</v>
      </c>
      <c r="I140" s="4">
        <f t="shared" si="137"/>
        <v>330</v>
      </c>
      <c r="J140" s="4">
        <f t="shared" si="137"/>
        <v>330</v>
      </c>
      <c r="K140" s="4">
        <f t="shared" si="137"/>
        <v>330</v>
      </c>
      <c r="L140" s="386">
        <v>337</v>
      </c>
      <c r="M140" s="386">
        <v>332</v>
      </c>
      <c r="N140" s="386">
        <v>312</v>
      </c>
      <c r="O140" s="386">
        <v>298</v>
      </c>
      <c r="P140" s="426">
        <f>D140</f>
        <v>326</v>
      </c>
    </row>
    <row r="141" spans="1:16" ht="15.6" x14ac:dyDescent="0.3">
      <c r="A141" s="484"/>
      <c r="B141" s="345" t="s">
        <v>84</v>
      </c>
      <c r="C141" s="345" t="s">
        <v>3</v>
      </c>
      <c r="D141" s="4">
        <v>15</v>
      </c>
      <c r="E141" s="4">
        <v>22</v>
      </c>
      <c r="F141" s="4">
        <v>26</v>
      </c>
      <c r="G141" s="4"/>
      <c r="H141" s="4"/>
      <c r="I141" s="388"/>
      <c r="J141" s="388"/>
      <c r="K141" s="4">
        <v>22</v>
      </c>
      <c r="L141" s="388">
        <v>16</v>
      </c>
      <c r="M141" s="388">
        <v>11</v>
      </c>
      <c r="N141" s="388">
        <v>17</v>
      </c>
      <c r="O141" s="388">
        <v>21</v>
      </c>
      <c r="P141" s="427">
        <f>SUM(D141:O141)</f>
        <v>150</v>
      </c>
    </row>
    <row r="142" spans="1:16" ht="15.6" x14ac:dyDescent="0.3">
      <c r="A142" s="484"/>
      <c r="B142" s="345" t="s">
        <v>83</v>
      </c>
      <c r="C142" s="345" t="s">
        <v>3</v>
      </c>
      <c r="D142" s="4">
        <v>34</v>
      </c>
      <c r="E142" s="4">
        <v>25</v>
      </c>
      <c r="F142" s="4"/>
      <c r="G142" s="4"/>
      <c r="H142" s="4"/>
      <c r="I142" s="388"/>
      <c r="J142" s="388"/>
      <c r="K142" s="4">
        <v>15</v>
      </c>
      <c r="L142" s="388">
        <v>21</v>
      </c>
      <c r="M142" s="388">
        <v>15</v>
      </c>
      <c r="N142" s="388">
        <v>9</v>
      </c>
      <c r="O142" s="388"/>
      <c r="P142" s="427">
        <f>SUM(D142:O142)</f>
        <v>119</v>
      </c>
    </row>
    <row r="143" spans="1:16" ht="15.6" x14ac:dyDescent="0.3">
      <c r="A143" s="484"/>
      <c r="B143" s="345" t="s">
        <v>82</v>
      </c>
      <c r="C143" s="345" t="s">
        <v>3</v>
      </c>
      <c r="D143" s="4"/>
      <c r="E143" s="4"/>
      <c r="F143" s="4"/>
      <c r="G143" s="4"/>
      <c r="H143" s="4"/>
      <c r="I143" s="388"/>
      <c r="J143" s="388"/>
      <c r="K143" s="388"/>
      <c r="L143" s="388"/>
      <c r="M143" s="388">
        <v>16</v>
      </c>
      <c r="N143" s="388">
        <v>22</v>
      </c>
      <c r="O143" s="388">
        <v>45</v>
      </c>
      <c r="P143" s="427">
        <f>SUM(D143:O143)</f>
        <v>83</v>
      </c>
    </row>
    <row r="144" spans="1:16" ht="15.6" x14ac:dyDescent="0.3">
      <c r="A144" s="246"/>
      <c r="B144" s="345" t="s">
        <v>81</v>
      </c>
      <c r="C144" s="345" t="s">
        <v>3</v>
      </c>
      <c r="D144" s="4">
        <f>D140+D141-D142-D143</f>
        <v>307</v>
      </c>
      <c r="E144" s="4">
        <f t="shared" ref="E144:H144" si="138">E140+E141-E142-E143</f>
        <v>304</v>
      </c>
      <c r="F144" s="4">
        <f t="shared" si="138"/>
        <v>330</v>
      </c>
      <c r="G144" s="4">
        <f t="shared" si="138"/>
        <v>330</v>
      </c>
      <c r="H144" s="4">
        <f t="shared" si="138"/>
        <v>330</v>
      </c>
      <c r="I144" s="386">
        <f t="shared" ref="I144" si="139">I140+I141-I142-I143</f>
        <v>330</v>
      </c>
      <c r="J144" s="386">
        <f t="shared" ref="J144:K144" si="140">J140+J141-J142-J143</f>
        <v>330</v>
      </c>
      <c r="K144" s="386">
        <f t="shared" si="140"/>
        <v>337</v>
      </c>
      <c r="L144" s="386">
        <v>332</v>
      </c>
      <c r="M144" s="386">
        <v>312</v>
      </c>
      <c r="N144" s="386">
        <v>298</v>
      </c>
      <c r="O144" s="386">
        <v>274</v>
      </c>
      <c r="P144" s="426">
        <f>P140+P141-P142-P143</f>
        <v>274</v>
      </c>
    </row>
    <row r="145" spans="1:16" s="351" customFormat="1" ht="15.6" x14ac:dyDescent="0.3">
      <c r="A145" s="245" t="s">
        <v>86</v>
      </c>
      <c r="B145" s="345" t="s">
        <v>85</v>
      </c>
      <c r="C145" s="345" t="s">
        <v>3</v>
      </c>
      <c r="D145" s="23">
        <f>D125+D130+D135+D140</f>
        <v>326</v>
      </c>
      <c r="E145" s="23">
        <f>D149</f>
        <v>307</v>
      </c>
      <c r="F145" s="23">
        <f t="shared" ref="F145:G145" si="141">E149</f>
        <v>304</v>
      </c>
      <c r="G145" s="23">
        <f t="shared" si="141"/>
        <v>330</v>
      </c>
      <c r="H145" s="391">
        <f t="shared" ref="H145:I145" si="142">H125+H130+H135+H140</f>
        <v>330</v>
      </c>
      <c r="I145" s="391">
        <f t="shared" si="142"/>
        <v>330</v>
      </c>
      <c r="J145" s="391">
        <f t="shared" ref="J145:K145" si="143">J125+J130+J135+J140</f>
        <v>330</v>
      </c>
      <c r="K145" s="391">
        <f t="shared" si="143"/>
        <v>330</v>
      </c>
      <c r="L145" s="391">
        <f t="shared" ref="L145:M145" si="144">L125+L130+L135+L140</f>
        <v>337</v>
      </c>
      <c r="M145" s="391">
        <f t="shared" si="144"/>
        <v>332</v>
      </c>
      <c r="N145" s="391">
        <f t="shared" ref="N145" si="145">N125+N130+N135+N140</f>
        <v>312</v>
      </c>
      <c r="O145" s="391">
        <v>298</v>
      </c>
      <c r="P145" s="431">
        <f t="shared" ref="P145:P149" si="146">P125+P130+P135+P140</f>
        <v>326</v>
      </c>
    </row>
    <row r="146" spans="1:16" ht="15.6" x14ac:dyDescent="0.3">
      <c r="A146" s="484"/>
      <c r="B146" s="345" t="s">
        <v>84</v>
      </c>
      <c r="C146" s="345" t="s">
        <v>3</v>
      </c>
      <c r="D146" s="23">
        <f t="shared" ref="D146:G149" si="147">D126+D131+D136+D141</f>
        <v>15</v>
      </c>
      <c r="E146" s="23">
        <f t="shared" si="147"/>
        <v>22</v>
      </c>
      <c r="F146" s="23">
        <f t="shared" si="147"/>
        <v>26</v>
      </c>
      <c r="G146" s="23">
        <f t="shared" si="147"/>
        <v>0</v>
      </c>
      <c r="H146" s="391">
        <f t="shared" ref="H146:I146" si="148">H126+H131+H136+H141</f>
        <v>0</v>
      </c>
      <c r="I146" s="391">
        <f t="shared" si="148"/>
        <v>0</v>
      </c>
      <c r="J146" s="391">
        <f t="shared" ref="J146:K146" si="149">J126+J131+J136+J141</f>
        <v>0</v>
      </c>
      <c r="K146" s="391">
        <f t="shared" si="149"/>
        <v>22</v>
      </c>
      <c r="L146" s="391">
        <f t="shared" ref="L146:M146" si="150">L126+L131+L136+L141</f>
        <v>16</v>
      </c>
      <c r="M146" s="391">
        <f t="shared" si="150"/>
        <v>11</v>
      </c>
      <c r="N146" s="391">
        <f t="shared" ref="N146" si="151">N126+N131+N136+N141</f>
        <v>17</v>
      </c>
      <c r="O146" s="391">
        <v>21</v>
      </c>
      <c r="P146" s="431">
        <f t="shared" si="146"/>
        <v>150</v>
      </c>
    </row>
    <row r="147" spans="1:16" ht="15.6" x14ac:dyDescent="0.3">
      <c r="A147" s="484"/>
      <c r="B147" s="345" t="s">
        <v>83</v>
      </c>
      <c r="C147" s="345" t="s">
        <v>3</v>
      </c>
      <c r="D147" s="23">
        <f t="shared" si="147"/>
        <v>34</v>
      </c>
      <c r="E147" s="23">
        <f t="shared" si="147"/>
        <v>25</v>
      </c>
      <c r="F147" s="23">
        <f t="shared" si="147"/>
        <v>0</v>
      </c>
      <c r="G147" s="23">
        <f t="shared" si="147"/>
        <v>0</v>
      </c>
      <c r="H147" s="391">
        <f t="shared" ref="H147:I147" si="152">H127+H132+H137+H142</f>
        <v>0</v>
      </c>
      <c r="I147" s="391">
        <f t="shared" si="152"/>
        <v>0</v>
      </c>
      <c r="J147" s="391">
        <f t="shared" ref="J147:K147" si="153">J127+J132+J137+J142</f>
        <v>0</v>
      </c>
      <c r="K147" s="391">
        <f t="shared" si="153"/>
        <v>15</v>
      </c>
      <c r="L147" s="391">
        <f t="shared" ref="L147:M147" si="154">L127+L132+L137+L142</f>
        <v>21</v>
      </c>
      <c r="M147" s="391">
        <f t="shared" si="154"/>
        <v>15</v>
      </c>
      <c r="N147" s="391">
        <f t="shared" ref="N147" si="155">N127+N132+N137+N142</f>
        <v>9</v>
      </c>
      <c r="O147" s="391">
        <v>0</v>
      </c>
      <c r="P147" s="431">
        <f t="shared" si="146"/>
        <v>119</v>
      </c>
    </row>
    <row r="148" spans="1:16" ht="15.6" x14ac:dyDescent="0.3">
      <c r="A148" s="484"/>
      <c r="B148" s="345" t="s">
        <v>82</v>
      </c>
      <c r="C148" s="345" t="s">
        <v>3</v>
      </c>
      <c r="D148" s="23">
        <f t="shared" si="147"/>
        <v>0</v>
      </c>
      <c r="E148" s="23">
        <f t="shared" si="147"/>
        <v>0</v>
      </c>
      <c r="F148" s="23">
        <f t="shared" si="147"/>
        <v>0</v>
      </c>
      <c r="G148" s="23">
        <f t="shared" si="147"/>
        <v>0</v>
      </c>
      <c r="H148" s="391">
        <f t="shared" ref="H148:I148" si="156">H128+H133+H138+H143</f>
        <v>0</v>
      </c>
      <c r="I148" s="391">
        <f t="shared" si="156"/>
        <v>0</v>
      </c>
      <c r="J148" s="391">
        <f t="shared" ref="J148:K148" si="157">J128+J133+J138+J143</f>
        <v>0</v>
      </c>
      <c r="K148" s="391">
        <f t="shared" si="157"/>
        <v>0</v>
      </c>
      <c r="L148" s="391">
        <f t="shared" ref="L148:M148" si="158">L128+L133+L138+L143</f>
        <v>0</v>
      </c>
      <c r="M148" s="391">
        <f t="shared" si="158"/>
        <v>16</v>
      </c>
      <c r="N148" s="391">
        <f t="shared" ref="N148" si="159">N128+N133+N138+N143</f>
        <v>22</v>
      </c>
      <c r="O148" s="391">
        <v>45</v>
      </c>
      <c r="P148" s="431">
        <f t="shared" si="146"/>
        <v>83</v>
      </c>
    </row>
    <row r="149" spans="1:16" ht="15.6" x14ac:dyDescent="0.3">
      <c r="A149" s="246"/>
      <c r="B149" s="345" t="s">
        <v>81</v>
      </c>
      <c r="C149" s="345" t="s">
        <v>3</v>
      </c>
      <c r="D149" s="23">
        <f t="shared" si="147"/>
        <v>307</v>
      </c>
      <c r="E149" s="23">
        <f t="shared" si="147"/>
        <v>304</v>
      </c>
      <c r="F149" s="23">
        <f t="shared" si="147"/>
        <v>330</v>
      </c>
      <c r="G149" s="23">
        <f t="shared" si="147"/>
        <v>330</v>
      </c>
      <c r="H149" s="386">
        <f t="shared" ref="H149:I149" si="160">H145+H146-H147-H148</f>
        <v>330</v>
      </c>
      <c r="I149" s="386">
        <f t="shared" si="160"/>
        <v>330</v>
      </c>
      <c r="J149" s="386">
        <f t="shared" ref="J149:K149" si="161">J145+J146-J147-J148</f>
        <v>330</v>
      </c>
      <c r="K149" s="386">
        <f t="shared" si="161"/>
        <v>337</v>
      </c>
      <c r="L149" s="386">
        <f t="shared" ref="L149:M149" si="162">L145+L146-L147-L148</f>
        <v>332</v>
      </c>
      <c r="M149" s="386">
        <f t="shared" si="162"/>
        <v>312</v>
      </c>
      <c r="N149" s="386">
        <f t="shared" ref="N149" si="163">N145+N146-N147-N148</f>
        <v>298</v>
      </c>
      <c r="O149" s="386">
        <v>274</v>
      </c>
      <c r="P149" s="431">
        <f t="shared" si="146"/>
        <v>274</v>
      </c>
    </row>
    <row r="150" spans="1:16" x14ac:dyDescent="0.3">
      <c r="A150" s="472" t="s">
        <v>80</v>
      </c>
      <c r="B150" s="473"/>
      <c r="C150" s="473"/>
      <c r="D150" s="473"/>
      <c r="E150" s="473"/>
      <c r="F150" s="473"/>
      <c r="G150" s="473"/>
      <c r="H150" s="473"/>
      <c r="I150" s="473"/>
      <c r="J150" s="473"/>
      <c r="K150" s="473"/>
      <c r="L150" s="473"/>
      <c r="M150" s="473"/>
      <c r="N150" s="473"/>
      <c r="O150" s="473"/>
      <c r="P150" s="474"/>
    </row>
    <row r="151" spans="1:16" ht="15.6" x14ac:dyDescent="0.3">
      <c r="A151" s="475" t="s">
        <v>79</v>
      </c>
      <c r="B151" s="476"/>
      <c r="C151" s="345"/>
      <c r="D151" s="372"/>
      <c r="E151" s="372"/>
      <c r="F151" s="372"/>
      <c r="G151" s="372"/>
      <c r="H151" s="372"/>
      <c r="I151" s="372"/>
      <c r="J151" s="432"/>
      <c r="K151" s="432"/>
      <c r="L151" s="432"/>
      <c r="M151" s="432"/>
      <c r="N151" s="432"/>
      <c r="O151" s="432"/>
      <c r="P151" s="384"/>
    </row>
    <row r="152" spans="1:16" ht="15.6" x14ac:dyDescent="0.3">
      <c r="A152" s="503" t="s">
        <v>78</v>
      </c>
      <c r="B152" s="433" t="s">
        <v>63</v>
      </c>
      <c r="C152" s="345"/>
      <c r="D152" s="372"/>
      <c r="E152" s="372"/>
      <c r="F152" s="372"/>
      <c r="G152" s="372"/>
      <c r="H152" s="372"/>
      <c r="I152" s="372"/>
      <c r="J152" s="432"/>
      <c r="K152" s="432"/>
      <c r="L152" s="432"/>
      <c r="M152" s="432"/>
      <c r="N152" s="432"/>
      <c r="O152" s="432"/>
      <c r="P152" s="384"/>
    </row>
    <row r="153" spans="1:16" ht="15.6" x14ac:dyDescent="0.3">
      <c r="A153" s="504"/>
      <c r="B153" s="20" t="s">
        <v>73</v>
      </c>
      <c r="C153" s="345" t="s">
        <v>57</v>
      </c>
      <c r="D153" s="553">
        <v>104</v>
      </c>
      <c r="E153" s="4">
        <v>65</v>
      </c>
      <c r="F153" s="4">
        <v>35</v>
      </c>
      <c r="G153" s="4">
        <v>65</v>
      </c>
      <c r="H153" s="4">
        <v>54</v>
      </c>
      <c r="I153" s="4">
        <v>48</v>
      </c>
      <c r="J153" s="4">
        <v>52</v>
      </c>
      <c r="K153" s="4">
        <v>58</v>
      </c>
      <c r="L153" s="388">
        <v>73</v>
      </c>
      <c r="M153" s="388">
        <v>68</v>
      </c>
      <c r="N153" s="388">
        <v>76</v>
      </c>
      <c r="O153" s="388">
        <v>68</v>
      </c>
      <c r="P153" s="427">
        <f t="shared" ref="P153:P165" si="164">SUM(D153:O153)</f>
        <v>766</v>
      </c>
    </row>
    <row r="154" spans="1:16" ht="15.6" x14ac:dyDescent="0.3">
      <c r="A154" s="504"/>
      <c r="B154" s="20" t="s">
        <v>72</v>
      </c>
      <c r="C154" s="345" t="s">
        <v>57</v>
      </c>
      <c r="D154" s="553">
        <v>23</v>
      </c>
      <c r="E154" s="4">
        <v>15</v>
      </c>
      <c r="F154" s="4">
        <v>16</v>
      </c>
      <c r="G154" s="4">
        <v>30</v>
      </c>
      <c r="H154" s="4">
        <v>22</v>
      </c>
      <c r="I154" s="4">
        <v>20</v>
      </c>
      <c r="J154" s="4">
        <v>18</v>
      </c>
      <c r="K154" s="4">
        <v>22</v>
      </c>
      <c r="L154" s="388">
        <v>26</v>
      </c>
      <c r="M154" s="388">
        <v>22</v>
      </c>
      <c r="N154" s="388">
        <v>25</v>
      </c>
      <c r="O154" s="388">
        <v>15</v>
      </c>
      <c r="P154" s="427">
        <f t="shared" si="164"/>
        <v>254</v>
      </c>
    </row>
    <row r="155" spans="1:16" ht="15.6" x14ac:dyDescent="0.3">
      <c r="A155" s="504"/>
      <c r="B155" s="20" t="s">
        <v>53</v>
      </c>
      <c r="C155" s="345" t="s">
        <v>57</v>
      </c>
      <c r="D155" s="553">
        <v>2</v>
      </c>
      <c r="E155" s="4">
        <v>3</v>
      </c>
      <c r="F155" s="4">
        <v>7</v>
      </c>
      <c r="G155" s="4">
        <v>3</v>
      </c>
      <c r="H155" s="4">
        <v>2</v>
      </c>
      <c r="I155" s="4">
        <v>3</v>
      </c>
      <c r="J155" s="4">
        <v>4</v>
      </c>
      <c r="K155" s="4">
        <v>3</v>
      </c>
      <c r="L155" s="388">
        <v>3</v>
      </c>
      <c r="M155" s="388">
        <v>2</v>
      </c>
      <c r="N155" s="388">
        <v>3</v>
      </c>
      <c r="O155" s="388">
        <v>3</v>
      </c>
      <c r="P155" s="427">
        <f t="shared" si="164"/>
        <v>38</v>
      </c>
    </row>
    <row r="156" spans="1:16" ht="15.6" x14ac:dyDescent="0.3">
      <c r="A156" s="504"/>
      <c r="B156" s="20" t="s">
        <v>71</v>
      </c>
      <c r="C156" s="345" t="s">
        <v>57</v>
      </c>
      <c r="D156" s="553"/>
      <c r="E156" s="4">
        <v>1</v>
      </c>
      <c r="F156" s="4"/>
      <c r="G156" s="4">
        <v>2</v>
      </c>
      <c r="H156" s="4">
        <v>3</v>
      </c>
      <c r="I156" s="4">
        <v>2</v>
      </c>
      <c r="J156" s="4">
        <v>1</v>
      </c>
      <c r="K156" s="4">
        <v>2</v>
      </c>
      <c r="L156" s="388">
        <v>4</v>
      </c>
      <c r="M156" s="388">
        <v>3</v>
      </c>
      <c r="N156" s="388">
        <v>2</v>
      </c>
      <c r="O156" s="388">
        <v>2</v>
      </c>
      <c r="P156" s="427">
        <f t="shared" si="164"/>
        <v>22</v>
      </c>
    </row>
    <row r="157" spans="1:16" ht="15.6" x14ac:dyDescent="0.3">
      <c r="A157" s="504"/>
      <c r="B157" s="20" t="s">
        <v>52</v>
      </c>
      <c r="C157" s="345" t="s">
        <v>57</v>
      </c>
      <c r="D157" s="553">
        <v>1</v>
      </c>
      <c r="E157" s="4">
        <v>2</v>
      </c>
      <c r="F157" s="4">
        <v>5</v>
      </c>
      <c r="G157" s="4">
        <v>3</v>
      </c>
      <c r="H157" s="4">
        <v>4</v>
      </c>
      <c r="I157" s="4">
        <v>2</v>
      </c>
      <c r="J157" s="4">
        <v>3</v>
      </c>
      <c r="K157" s="4">
        <v>1</v>
      </c>
      <c r="L157" s="388"/>
      <c r="M157" s="388">
        <v>1</v>
      </c>
      <c r="N157" s="388">
        <v>2</v>
      </c>
      <c r="O157" s="388">
        <v>2</v>
      </c>
      <c r="P157" s="427">
        <f t="shared" si="164"/>
        <v>26</v>
      </c>
    </row>
    <row r="158" spans="1:16" ht="15.6" x14ac:dyDescent="0.3">
      <c r="A158" s="504"/>
      <c r="B158" s="20" t="s">
        <v>51</v>
      </c>
      <c r="C158" s="345" t="s">
        <v>57</v>
      </c>
      <c r="D158" s="553">
        <v>3</v>
      </c>
      <c r="E158" s="4">
        <v>2</v>
      </c>
      <c r="F158" s="4">
        <v>4</v>
      </c>
      <c r="G158" s="4">
        <v>5</v>
      </c>
      <c r="H158" s="4"/>
      <c r="I158" s="388"/>
      <c r="J158" s="4">
        <v>1</v>
      </c>
      <c r="K158" s="4">
        <v>2</v>
      </c>
      <c r="L158" s="388">
        <v>3</v>
      </c>
      <c r="M158" s="388">
        <v>2</v>
      </c>
      <c r="N158" s="388">
        <v>1</v>
      </c>
      <c r="O158" s="388"/>
      <c r="P158" s="427">
        <f t="shared" si="164"/>
        <v>23</v>
      </c>
    </row>
    <row r="159" spans="1:16" ht="15.6" x14ac:dyDescent="0.3">
      <c r="A159" s="504"/>
      <c r="B159" s="20" t="s">
        <v>62</v>
      </c>
      <c r="C159" s="345" t="s">
        <v>57</v>
      </c>
      <c r="D159" s="553"/>
      <c r="E159" s="4"/>
      <c r="F159" s="4"/>
      <c r="G159" s="4"/>
      <c r="H159" s="4"/>
      <c r="I159" s="388"/>
      <c r="J159" s="388"/>
      <c r="K159" s="4"/>
      <c r="L159" s="388"/>
      <c r="M159" s="388"/>
      <c r="N159" s="388"/>
      <c r="O159" s="388">
        <v>1</v>
      </c>
      <c r="P159" s="427">
        <f t="shared" si="164"/>
        <v>1</v>
      </c>
    </row>
    <row r="160" spans="1:16" ht="15.6" x14ac:dyDescent="0.3">
      <c r="A160" s="504"/>
      <c r="B160" s="20" t="s">
        <v>50</v>
      </c>
      <c r="C160" s="345" t="s">
        <v>57</v>
      </c>
      <c r="D160" s="4">
        <v>1</v>
      </c>
      <c r="E160" s="4"/>
      <c r="F160" s="4"/>
      <c r="G160" s="4">
        <v>1</v>
      </c>
      <c r="H160" s="4"/>
      <c r="I160" s="388"/>
      <c r="J160" s="388"/>
      <c r="K160" s="4"/>
      <c r="L160" s="388"/>
      <c r="M160" s="388"/>
      <c r="N160" s="388"/>
      <c r="O160" s="388"/>
      <c r="P160" s="427">
        <f t="shared" si="164"/>
        <v>2</v>
      </c>
    </row>
    <row r="161" spans="1:16" ht="15.6" x14ac:dyDescent="0.3">
      <c r="A161" s="504"/>
      <c r="B161" s="20" t="s">
        <v>49</v>
      </c>
      <c r="C161" s="345" t="s">
        <v>57</v>
      </c>
      <c r="D161" s="4"/>
      <c r="E161" s="4">
        <v>2</v>
      </c>
      <c r="F161" s="4"/>
      <c r="G161" s="4">
        <v>1</v>
      </c>
      <c r="H161" s="4"/>
      <c r="I161" s="388"/>
      <c r="J161" s="388"/>
      <c r="K161" s="4">
        <v>1</v>
      </c>
      <c r="L161" s="388">
        <v>1</v>
      </c>
      <c r="M161" s="388"/>
      <c r="N161" s="388"/>
      <c r="O161" s="388"/>
      <c r="P161" s="427">
        <f t="shared" si="164"/>
        <v>5</v>
      </c>
    </row>
    <row r="162" spans="1:16" ht="15.6" x14ac:dyDescent="0.3">
      <c r="A162" s="504"/>
      <c r="B162" s="20" t="s">
        <v>77</v>
      </c>
      <c r="C162" s="345" t="s">
        <v>57</v>
      </c>
      <c r="D162" s="4"/>
      <c r="E162" s="4"/>
      <c r="F162" s="4"/>
      <c r="G162" s="4"/>
      <c r="H162" s="4"/>
      <c r="I162" s="388"/>
      <c r="J162" s="388"/>
      <c r="K162" s="388"/>
      <c r="L162" s="388">
        <v>1</v>
      </c>
      <c r="M162" s="388"/>
      <c r="N162" s="388">
        <v>1</v>
      </c>
      <c r="O162" s="388"/>
      <c r="P162" s="427">
        <f t="shared" si="164"/>
        <v>2</v>
      </c>
    </row>
    <row r="163" spans="1:16" ht="15.6" x14ac:dyDescent="0.3">
      <c r="A163" s="504"/>
      <c r="B163" s="20" t="s">
        <v>69</v>
      </c>
      <c r="C163" s="345" t="s">
        <v>57</v>
      </c>
      <c r="D163" s="4"/>
      <c r="E163" s="4"/>
      <c r="F163" s="4"/>
      <c r="G163" s="4"/>
      <c r="H163" s="4"/>
      <c r="I163" s="388"/>
      <c r="J163" s="388"/>
      <c r="K163" s="388"/>
      <c r="L163" s="388"/>
      <c r="M163" s="388"/>
      <c r="N163" s="388"/>
      <c r="O163" s="388"/>
      <c r="P163" s="427">
        <f t="shared" si="164"/>
        <v>0</v>
      </c>
    </row>
    <row r="164" spans="1:16" ht="15.6" x14ac:dyDescent="0.3">
      <c r="A164" s="504"/>
      <c r="B164" s="20" t="s">
        <v>68</v>
      </c>
      <c r="C164" s="345" t="s">
        <v>57</v>
      </c>
      <c r="D164" s="4"/>
      <c r="E164" s="4"/>
      <c r="F164" s="4"/>
      <c r="G164" s="4"/>
      <c r="H164" s="4"/>
      <c r="I164" s="388"/>
      <c r="J164" s="388"/>
      <c r="K164" s="388"/>
      <c r="L164" s="388"/>
      <c r="M164" s="388"/>
      <c r="N164" s="388"/>
      <c r="O164" s="388"/>
      <c r="P164" s="427">
        <f t="shared" si="164"/>
        <v>0</v>
      </c>
    </row>
    <row r="165" spans="1:16" ht="15.6" x14ac:dyDescent="0.3">
      <c r="A165" s="505"/>
      <c r="B165" s="20" t="s">
        <v>76</v>
      </c>
      <c r="C165" s="345" t="s">
        <v>57</v>
      </c>
      <c r="D165" s="4"/>
      <c r="E165" s="4"/>
      <c r="F165" s="4"/>
      <c r="G165" s="4"/>
      <c r="H165" s="4"/>
      <c r="I165" s="388"/>
      <c r="J165" s="388"/>
      <c r="K165" s="388"/>
      <c r="L165" s="388"/>
      <c r="M165" s="388"/>
      <c r="N165" s="388"/>
      <c r="O165" s="388"/>
      <c r="P165" s="427">
        <f t="shared" si="164"/>
        <v>0</v>
      </c>
    </row>
    <row r="166" spans="1:16" ht="15.6" x14ac:dyDescent="0.3">
      <c r="A166" s="503" t="s">
        <v>75</v>
      </c>
      <c r="B166" s="434" t="s">
        <v>63</v>
      </c>
      <c r="C166" s="345"/>
      <c r="D166" s="388"/>
      <c r="E166" s="388"/>
      <c r="F166" s="388"/>
      <c r="G166" s="388"/>
      <c r="H166" s="388"/>
      <c r="I166" s="388"/>
      <c r="J166" s="388"/>
      <c r="K166" s="388"/>
      <c r="L166" s="388"/>
      <c r="M166" s="388"/>
      <c r="N166" s="388"/>
      <c r="O166" s="388"/>
      <c r="P166" s="427"/>
    </row>
    <row r="167" spans="1:16" ht="15.6" x14ac:dyDescent="0.3">
      <c r="A167" s="504"/>
      <c r="B167" s="20" t="s">
        <v>74</v>
      </c>
      <c r="C167" s="345" t="s">
        <v>57</v>
      </c>
      <c r="D167" s="4"/>
      <c r="E167" s="4"/>
      <c r="F167" s="4">
        <v>3</v>
      </c>
      <c r="G167" s="4"/>
      <c r="H167" s="388"/>
      <c r="I167" s="388"/>
      <c r="J167" s="388"/>
      <c r="K167" s="388"/>
      <c r="L167" s="388">
        <v>3</v>
      </c>
      <c r="M167" s="388"/>
      <c r="N167" s="388">
        <v>3</v>
      </c>
      <c r="O167" s="388">
        <v>3</v>
      </c>
      <c r="P167" s="427">
        <f t="shared" ref="P167:P175" si="165">SUM(D167:O167)</f>
        <v>12</v>
      </c>
    </row>
    <row r="168" spans="1:16" ht="15.6" x14ac:dyDescent="0.3">
      <c r="A168" s="504"/>
      <c r="B168" s="20" t="s">
        <v>73</v>
      </c>
      <c r="C168" s="345" t="s">
        <v>57</v>
      </c>
      <c r="D168" s="4"/>
      <c r="E168" s="4"/>
      <c r="F168" s="4"/>
      <c r="G168" s="4"/>
      <c r="H168" s="388"/>
      <c r="I168" s="388"/>
      <c r="J168" s="388"/>
      <c r="K168" s="388"/>
      <c r="L168" s="388">
        <v>2</v>
      </c>
      <c r="M168" s="388"/>
      <c r="N168" s="388"/>
      <c r="O168" s="388"/>
      <c r="P168" s="427">
        <f t="shared" si="165"/>
        <v>2</v>
      </c>
    </row>
    <row r="169" spans="1:16" ht="15.6" x14ac:dyDescent="0.3">
      <c r="A169" s="504"/>
      <c r="B169" s="20" t="s">
        <v>72</v>
      </c>
      <c r="C169" s="345" t="s">
        <v>57</v>
      </c>
      <c r="D169" s="4"/>
      <c r="E169" s="4"/>
      <c r="F169" s="4"/>
      <c r="G169" s="4"/>
      <c r="H169" s="388"/>
      <c r="I169" s="388"/>
      <c r="J169" s="388"/>
      <c r="K169" s="388"/>
      <c r="L169" s="388"/>
      <c r="M169" s="388"/>
      <c r="N169" s="388"/>
      <c r="O169" s="388"/>
      <c r="P169" s="427">
        <f t="shared" si="165"/>
        <v>0</v>
      </c>
    </row>
    <row r="170" spans="1:16" ht="15.6" x14ac:dyDescent="0.3">
      <c r="A170" s="504"/>
      <c r="B170" s="20" t="s">
        <v>71</v>
      </c>
      <c r="C170" s="345" t="s">
        <v>57</v>
      </c>
      <c r="D170" s="4"/>
      <c r="E170" s="4"/>
      <c r="F170" s="4"/>
      <c r="G170" s="4"/>
      <c r="H170" s="388"/>
      <c r="I170" s="388"/>
      <c r="J170" s="388"/>
      <c r="K170" s="388"/>
      <c r="L170" s="388"/>
      <c r="M170" s="388"/>
      <c r="N170" s="388"/>
      <c r="O170" s="388"/>
      <c r="P170" s="427">
        <f t="shared" si="165"/>
        <v>0</v>
      </c>
    </row>
    <row r="171" spans="1:16" ht="15.6" x14ac:dyDescent="0.3">
      <c r="A171" s="504"/>
      <c r="B171" s="20" t="s">
        <v>52</v>
      </c>
      <c r="C171" s="345" t="s">
        <v>57</v>
      </c>
      <c r="D171" s="4"/>
      <c r="E171" s="4"/>
      <c r="F171" s="4"/>
      <c r="G171" s="4"/>
      <c r="H171" s="388"/>
      <c r="I171" s="388"/>
      <c r="J171" s="388"/>
      <c r="K171" s="388"/>
      <c r="L171" s="388"/>
      <c r="M171" s="388"/>
      <c r="N171" s="388"/>
      <c r="O171" s="388"/>
      <c r="P171" s="427">
        <f t="shared" si="165"/>
        <v>0</v>
      </c>
    </row>
    <row r="172" spans="1:16" ht="15.6" x14ac:dyDescent="0.3">
      <c r="A172" s="504"/>
      <c r="B172" s="20" t="s">
        <v>62</v>
      </c>
      <c r="C172" s="345" t="s">
        <v>57</v>
      </c>
      <c r="D172" s="4"/>
      <c r="E172" s="4"/>
      <c r="F172" s="4"/>
      <c r="G172" s="4"/>
      <c r="H172" s="388"/>
      <c r="I172" s="388"/>
      <c r="J172" s="388"/>
      <c r="K172" s="388"/>
      <c r="L172" s="388"/>
      <c r="M172" s="388"/>
      <c r="N172" s="388"/>
      <c r="O172" s="388"/>
      <c r="P172" s="427">
        <f t="shared" si="165"/>
        <v>0</v>
      </c>
    </row>
    <row r="173" spans="1:16" ht="15.6" x14ac:dyDescent="0.3">
      <c r="A173" s="504"/>
      <c r="B173" s="20" t="s">
        <v>61</v>
      </c>
      <c r="C173" s="345" t="s">
        <v>57</v>
      </c>
      <c r="D173" s="4"/>
      <c r="E173" s="4"/>
      <c r="F173" s="4"/>
      <c r="G173" s="4"/>
      <c r="H173" s="388"/>
      <c r="I173" s="388"/>
      <c r="J173" s="388"/>
      <c r="K173" s="388"/>
      <c r="L173" s="388"/>
      <c r="M173" s="388"/>
      <c r="N173" s="388"/>
      <c r="O173" s="388"/>
      <c r="P173" s="427">
        <f t="shared" si="165"/>
        <v>0</v>
      </c>
    </row>
    <row r="174" spans="1:16" ht="15.6" x14ac:dyDescent="0.3">
      <c r="A174" s="504"/>
      <c r="B174" s="20" t="s">
        <v>60</v>
      </c>
      <c r="C174" s="345" t="s">
        <v>57</v>
      </c>
      <c r="D174" s="4"/>
      <c r="E174" s="4"/>
      <c r="F174" s="4"/>
      <c r="G174" s="4"/>
      <c r="H174" s="388"/>
      <c r="I174" s="388"/>
      <c r="J174" s="388"/>
      <c r="K174" s="388"/>
      <c r="L174" s="388"/>
      <c r="M174" s="388"/>
      <c r="N174" s="388"/>
      <c r="O174" s="388"/>
      <c r="P174" s="427">
        <f t="shared" si="165"/>
        <v>0</v>
      </c>
    </row>
    <row r="175" spans="1:16" ht="15.6" x14ac:dyDescent="0.3">
      <c r="A175" s="505"/>
      <c r="B175" s="20" t="s">
        <v>69</v>
      </c>
      <c r="C175" s="345" t="s">
        <v>57</v>
      </c>
      <c r="D175" s="4"/>
      <c r="E175" s="4"/>
      <c r="F175" s="4"/>
      <c r="G175" s="4"/>
      <c r="H175" s="388"/>
      <c r="I175" s="388"/>
      <c r="J175" s="388"/>
      <c r="K175" s="388"/>
      <c r="L175" s="388"/>
      <c r="M175" s="388"/>
      <c r="N175" s="388"/>
      <c r="O175" s="388"/>
      <c r="P175" s="427">
        <f t="shared" si="165"/>
        <v>0</v>
      </c>
    </row>
    <row r="176" spans="1:16" ht="15.6" x14ac:dyDescent="0.3">
      <c r="A176" s="503" t="s">
        <v>70</v>
      </c>
      <c r="B176" s="434" t="s">
        <v>63</v>
      </c>
      <c r="C176" s="345"/>
      <c r="D176" s="4"/>
      <c r="E176" s="4"/>
      <c r="F176" s="4"/>
      <c r="G176" s="4"/>
      <c r="H176" s="388"/>
      <c r="I176" s="388"/>
      <c r="J176" s="388"/>
      <c r="K176" s="388"/>
      <c r="L176" s="388"/>
      <c r="M176" s="388"/>
      <c r="N176" s="388"/>
      <c r="O176" s="388"/>
      <c r="P176" s="427"/>
    </row>
    <row r="177" spans="1:16" ht="15.6" x14ac:dyDescent="0.3">
      <c r="A177" s="504"/>
      <c r="B177" s="20" t="s">
        <v>60</v>
      </c>
      <c r="C177" s="345" t="s">
        <v>57</v>
      </c>
      <c r="D177" s="4"/>
      <c r="E177" s="4"/>
      <c r="F177" s="4"/>
      <c r="G177" s="4"/>
      <c r="H177" s="388"/>
      <c r="I177" s="388"/>
      <c r="J177" s="388"/>
      <c r="K177" s="388"/>
      <c r="L177" s="388"/>
      <c r="M177" s="388"/>
      <c r="N177" s="388"/>
      <c r="O177" s="388"/>
      <c r="P177" s="427">
        <f t="shared" ref="P177:P182" si="166">SUM(D177:O177)</f>
        <v>0</v>
      </c>
    </row>
    <row r="178" spans="1:16" ht="15.6" x14ac:dyDescent="0.3">
      <c r="A178" s="504"/>
      <c r="B178" s="20" t="s">
        <v>69</v>
      </c>
      <c r="C178" s="345" t="s">
        <v>57</v>
      </c>
      <c r="D178" s="4"/>
      <c r="E178" s="4"/>
      <c r="F178" s="4"/>
      <c r="G178" s="4"/>
      <c r="H178" s="388"/>
      <c r="I178" s="388"/>
      <c r="J178" s="388"/>
      <c r="K178" s="388"/>
      <c r="L178" s="388"/>
      <c r="M178" s="388"/>
      <c r="N178" s="388"/>
      <c r="O178" s="388"/>
      <c r="P178" s="427">
        <f t="shared" si="166"/>
        <v>0</v>
      </c>
    </row>
    <row r="179" spans="1:16" ht="15.6" x14ac:dyDescent="0.3">
      <c r="A179" s="504"/>
      <c r="B179" s="20" t="s">
        <v>68</v>
      </c>
      <c r="C179" s="345" t="s">
        <v>57</v>
      </c>
      <c r="D179" s="4"/>
      <c r="E179" s="4"/>
      <c r="F179" s="4"/>
      <c r="G179" s="4"/>
      <c r="H179" s="388"/>
      <c r="I179" s="388"/>
      <c r="J179" s="388"/>
      <c r="K179" s="388"/>
      <c r="L179" s="388"/>
      <c r="M179" s="388"/>
      <c r="N179" s="388"/>
      <c r="O179" s="388"/>
      <c r="P179" s="427">
        <f t="shared" si="166"/>
        <v>0</v>
      </c>
    </row>
    <row r="180" spans="1:16" ht="15.6" x14ac:dyDescent="0.3">
      <c r="A180" s="504"/>
      <c r="B180" s="20" t="s">
        <v>67</v>
      </c>
      <c r="C180" s="345" t="s">
        <v>57</v>
      </c>
      <c r="D180" s="4"/>
      <c r="E180" s="4"/>
      <c r="F180" s="4"/>
      <c r="G180" s="4"/>
      <c r="H180" s="388"/>
      <c r="I180" s="388"/>
      <c r="J180" s="388"/>
      <c r="K180" s="388"/>
      <c r="L180" s="388"/>
      <c r="M180" s="388"/>
      <c r="N180" s="388"/>
      <c r="O180" s="388"/>
      <c r="P180" s="427">
        <f t="shared" si="166"/>
        <v>0</v>
      </c>
    </row>
    <row r="181" spans="1:16" ht="15.6" x14ac:dyDescent="0.3">
      <c r="A181" s="504"/>
      <c r="B181" s="20" t="s">
        <v>66</v>
      </c>
      <c r="C181" s="345" t="s">
        <v>57</v>
      </c>
      <c r="D181" s="4"/>
      <c r="E181" s="4"/>
      <c r="F181" s="4"/>
      <c r="G181" s="4"/>
      <c r="H181" s="388"/>
      <c r="I181" s="388"/>
      <c r="J181" s="388"/>
      <c r="K181" s="388"/>
      <c r="L181" s="388"/>
      <c r="M181" s="388"/>
      <c r="N181" s="388"/>
      <c r="O181" s="388"/>
      <c r="P181" s="427">
        <f t="shared" si="166"/>
        <v>0</v>
      </c>
    </row>
    <row r="182" spans="1:16" ht="15.6" x14ac:dyDescent="0.3">
      <c r="A182" s="505"/>
      <c r="B182" s="20" t="s">
        <v>65</v>
      </c>
      <c r="C182" s="345" t="s">
        <v>57</v>
      </c>
      <c r="D182" s="388"/>
      <c r="E182" s="388"/>
      <c r="F182" s="388"/>
      <c r="G182" s="388"/>
      <c r="H182" s="388"/>
      <c r="I182" s="388"/>
      <c r="J182" s="388"/>
      <c r="K182" s="388"/>
      <c r="L182" s="388"/>
      <c r="M182" s="388"/>
      <c r="N182" s="388"/>
      <c r="O182" s="388"/>
      <c r="P182" s="427">
        <f t="shared" si="166"/>
        <v>0</v>
      </c>
    </row>
    <row r="183" spans="1:16" ht="15.6" x14ac:dyDescent="0.3">
      <c r="A183" s="503" t="s">
        <v>209</v>
      </c>
      <c r="B183" s="434" t="s">
        <v>63</v>
      </c>
      <c r="C183" s="345"/>
      <c r="D183" s="388"/>
      <c r="E183" s="388"/>
      <c r="F183" s="388"/>
      <c r="G183" s="388"/>
      <c r="H183" s="388"/>
      <c r="I183" s="388"/>
      <c r="J183" s="388"/>
      <c r="K183" s="388"/>
      <c r="L183" s="388"/>
      <c r="M183" s="388"/>
      <c r="N183" s="388"/>
      <c r="O183" s="388"/>
      <c r="P183" s="427"/>
    </row>
    <row r="184" spans="1:16" ht="15.6" x14ac:dyDescent="0.3">
      <c r="A184" s="504"/>
      <c r="B184" s="20" t="s">
        <v>73</v>
      </c>
      <c r="C184" s="345"/>
      <c r="D184" s="388"/>
      <c r="E184" s="388"/>
      <c r="F184" s="388"/>
      <c r="G184" s="388"/>
      <c r="H184" s="388"/>
      <c r="I184" s="388"/>
      <c r="J184" s="388"/>
      <c r="K184" s="388"/>
      <c r="L184" s="388"/>
      <c r="M184" s="388"/>
      <c r="N184" s="388"/>
      <c r="O184" s="388"/>
      <c r="P184" s="427">
        <f>SUM(D184:O184)</f>
        <v>0</v>
      </c>
    </row>
    <row r="185" spans="1:16" ht="15.6" x14ac:dyDescent="0.3">
      <c r="A185" s="504"/>
      <c r="B185" s="20" t="s">
        <v>72</v>
      </c>
      <c r="C185" s="345"/>
      <c r="D185" s="388"/>
      <c r="E185" s="388"/>
      <c r="F185" s="388"/>
      <c r="G185" s="388"/>
      <c r="H185" s="388"/>
      <c r="I185" s="388"/>
      <c r="J185" s="388"/>
      <c r="K185" s="388"/>
      <c r="L185" s="388"/>
      <c r="M185" s="388"/>
      <c r="N185" s="388"/>
      <c r="O185" s="388"/>
      <c r="P185" s="427">
        <f>SUM(D185:O185)</f>
        <v>0</v>
      </c>
    </row>
    <row r="186" spans="1:16" ht="15.6" x14ac:dyDescent="0.3">
      <c r="A186" s="504"/>
      <c r="B186" s="20" t="s">
        <v>53</v>
      </c>
      <c r="C186" s="345"/>
      <c r="D186" s="388"/>
      <c r="E186" s="388"/>
      <c r="F186" s="388"/>
      <c r="G186" s="388"/>
      <c r="H186" s="388"/>
      <c r="I186" s="388"/>
      <c r="J186" s="388"/>
      <c r="K186" s="388"/>
      <c r="L186" s="388"/>
      <c r="M186" s="388"/>
      <c r="N186" s="388"/>
      <c r="O186" s="388"/>
      <c r="P186" s="427">
        <f>SUM(D186:O186)</f>
        <v>0</v>
      </c>
    </row>
    <row r="187" spans="1:16" ht="15.6" x14ac:dyDescent="0.3">
      <c r="A187" s="505"/>
      <c r="B187" s="20" t="s">
        <v>52</v>
      </c>
      <c r="C187" s="345"/>
      <c r="D187" s="388"/>
      <c r="E187" s="388"/>
      <c r="F187" s="388"/>
      <c r="G187" s="388"/>
      <c r="H187" s="388"/>
      <c r="I187" s="388"/>
      <c r="J187" s="388"/>
      <c r="K187" s="388"/>
      <c r="L187" s="388"/>
      <c r="M187" s="388"/>
      <c r="N187" s="388"/>
      <c r="O187" s="388"/>
      <c r="P187" s="427">
        <f>SUM(D187:O187)</f>
        <v>0</v>
      </c>
    </row>
    <row r="188" spans="1:16" ht="15.6" x14ac:dyDescent="0.3">
      <c r="A188" s="503" t="s">
        <v>64</v>
      </c>
      <c r="B188" s="434" t="s">
        <v>63</v>
      </c>
      <c r="C188" s="345"/>
      <c r="D188" s="388"/>
      <c r="E188" s="388"/>
      <c r="F188" s="388"/>
      <c r="G188" s="388"/>
      <c r="H188" s="388"/>
      <c r="I188" s="388"/>
      <c r="J188" s="388"/>
      <c r="K188" s="388"/>
      <c r="L188" s="388"/>
      <c r="M188" s="388"/>
      <c r="N188" s="388"/>
      <c r="O188" s="388"/>
      <c r="P188" s="427"/>
    </row>
    <row r="189" spans="1:16" ht="15.6" x14ac:dyDescent="0.3">
      <c r="A189" s="504"/>
      <c r="B189" s="20" t="s">
        <v>52</v>
      </c>
      <c r="C189" s="345" t="s">
        <v>57</v>
      </c>
      <c r="D189" s="388"/>
      <c r="E189" s="388"/>
      <c r="F189" s="388"/>
      <c r="G189" s="388"/>
      <c r="H189" s="388"/>
      <c r="I189" s="388"/>
      <c r="J189" s="388"/>
      <c r="K189" s="388"/>
      <c r="L189" s="388"/>
      <c r="M189" s="388"/>
      <c r="N189" s="388"/>
      <c r="O189" s="388"/>
      <c r="P189" s="427">
        <f>SUM(D189:O189)</f>
        <v>0</v>
      </c>
    </row>
    <row r="190" spans="1:16" ht="15.6" x14ac:dyDescent="0.3">
      <c r="A190" s="504"/>
      <c r="B190" s="20" t="s">
        <v>62</v>
      </c>
      <c r="C190" s="345" t="s">
        <v>57</v>
      </c>
      <c r="D190" s="388"/>
      <c r="E190" s="388"/>
      <c r="F190" s="388"/>
      <c r="G190" s="388"/>
      <c r="H190" s="388"/>
      <c r="I190" s="388"/>
      <c r="J190" s="388"/>
      <c r="K190" s="388"/>
      <c r="L190" s="388"/>
      <c r="M190" s="388"/>
      <c r="N190" s="388"/>
      <c r="O190" s="388"/>
      <c r="P190" s="427">
        <f>SUM(D190:O190)</f>
        <v>0</v>
      </c>
    </row>
    <row r="191" spans="1:16" ht="15.6" x14ac:dyDescent="0.3">
      <c r="A191" s="504"/>
      <c r="B191" s="20" t="s">
        <v>61</v>
      </c>
      <c r="C191" s="345" t="s">
        <v>57</v>
      </c>
      <c r="D191" s="388"/>
      <c r="E191" s="388"/>
      <c r="F191" s="388"/>
      <c r="G191" s="388"/>
      <c r="H191" s="388"/>
      <c r="I191" s="388"/>
      <c r="J191" s="388"/>
      <c r="K191" s="388"/>
      <c r="L191" s="388"/>
      <c r="M191" s="388"/>
      <c r="N191" s="388"/>
      <c r="O191" s="388"/>
      <c r="P191" s="427">
        <f>SUM(D191:O191)</f>
        <v>0</v>
      </c>
    </row>
    <row r="192" spans="1:16" ht="15.6" x14ac:dyDescent="0.3">
      <c r="A192" s="505"/>
      <c r="B192" s="20" t="s">
        <v>60</v>
      </c>
      <c r="C192" s="345" t="s">
        <v>57</v>
      </c>
      <c r="D192" s="388"/>
      <c r="E192" s="388"/>
      <c r="F192" s="388"/>
      <c r="G192" s="388"/>
      <c r="H192" s="388"/>
      <c r="I192" s="388"/>
      <c r="J192" s="388"/>
      <c r="K192" s="388"/>
      <c r="L192" s="388"/>
      <c r="M192" s="388"/>
      <c r="N192" s="388"/>
      <c r="O192" s="388"/>
      <c r="P192" s="427">
        <f>SUM(D192:O192)</f>
        <v>0</v>
      </c>
    </row>
    <row r="193" spans="1:16" ht="15.6" x14ac:dyDescent="0.3">
      <c r="A193" s="435" t="s">
        <v>59</v>
      </c>
      <c r="B193" s="436"/>
      <c r="C193" s="345"/>
      <c r="D193" s="10">
        <f>SUM(D153:D192)</f>
        <v>134</v>
      </c>
      <c r="E193" s="10">
        <f t="shared" ref="E193:G193" si="167">SUM(E153:E192)</f>
        <v>90</v>
      </c>
      <c r="F193" s="10">
        <f t="shared" si="167"/>
        <v>70</v>
      </c>
      <c r="G193" s="10">
        <f t="shared" si="167"/>
        <v>110</v>
      </c>
      <c r="H193" s="10">
        <v>85</v>
      </c>
      <c r="I193" s="391">
        <f>SUM(I153:I192)</f>
        <v>75</v>
      </c>
      <c r="J193" s="391">
        <f>SUM(J153:J192)</f>
        <v>79</v>
      </c>
      <c r="K193" s="391">
        <f t="shared" ref="K193:N193" si="168">SUM(K153:K192)</f>
        <v>89</v>
      </c>
      <c r="L193" s="391">
        <f t="shared" si="168"/>
        <v>116</v>
      </c>
      <c r="M193" s="391">
        <f t="shared" si="168"/>
        <v>98</v>
      </c>
      <c r="N193" s="391">
        <f t="shared" si="168"/>
        <v>113</v>
      </c>
      <c r="O193" s="391">
        <v>94</v>
      </c>
      <c r="P193" s="373">
        <f t="shared" ref="P193" si="169">SUM(P153:P192)</f>
        <v>1153</v>
      </c>
    </row>
    <row r="194" spans="1:16" ht="15.6" x14ac:dyDescent="0.3">
      <c r="A194" s="479" t="s">
        <v>58</v>
      </c>
      <c r="B194" s="506"/>
      <c r="C194" s="345" t="s">
        <v>57</v>
      </c>
      <c r="D194" s="4">
        <v>134</v>
      </c>
      <c r="E194" s="4"/>
      <c r="F194" s="4"/>
      <c r="G194" s="4"/>
      <c r="H194" s="379"/>
      <c r="I194" s="379"/>
      <c r="J194" s="379"/>
      <c r="K194" s="379"/>
      <c r="L194" s="379"/>
      <c r="M194" s="379"/>
      <c r="N194" s="379"/>
      <c r="O194" s="379"/>
      <c r="P194" s="384">
        <f>SUM(D194:O194)</f>
        <v>134</v>
      </c>
    </row>
    <row r="195" spans="1:16" ht="15.6" x14ac:dyDescent="0.3">
      <c r="A195" s="481"/>
      <c r="B195" s="507"/>
      <c r="C195" s="438" t="s">
        <v>55</v>
      </c>
      <c r="D195" s="4"/>
      <c r="E195" s="4"/>
      <c r="F195" s="4"/>
      <c r="G195" s="4"/>
      <c r="H195" s="379"/>
      <c r="I195" s="379"/>
      <c r="J195" s="379"/>
      <c r="K195" s="379"/>
      <c r="L195" s="379"/>
      <c r="M195" s="379"/>
      <c r="N195" s="379"/>
      <c r="O195" s="379"/>
      <c r="P195" s="384">
        <f>SUM(D195:O195)</f>
        <v>0</v>
      </c>
    </row>
    <row r="196" spans="1:16" ht="15.6" x14ac:dyDescent="0.3">
      <c r="A196" s="439" t="s">
        <v>202</v>
      </c>
      <c r="B196" s="440"/>
      <c r="C196" s="438" t="s">
        <v>55</v>
      </c>
      <c r="D196" s="4">
        <v>20</v>
      </c>
      <c r="E196" s="4">
        <v>20</v>
      </c>
      <c r="F196" s="4">
        <v>20</v>
      </c>
      <c r="G196" s="4">
        <v>21</v>
      </c>
      <c r="H196" s="4">
        <v>22</v>
      </c>
      <c r="I196" s="4">
        <v>22</v>
      </c>
      <c r="J196" s="4">
        <v>22</v>
      </c>
      <c r="K196" s="4">
        <v>22</v>
      </c>
      <c r="L196" s="379">
        <v>22</v>
      </c>
      <c r="M196" s="379"/>
      <c r="N196" s="379">
        <v>22</v>
      </c>
      <c r="O196" s="379"/>
      <c r="P196" s="384">
        <f>SUM(D196:O196)/12</f>
        <v>17.75</v>
      </c>
    </row>
    <row r="197" spans="1:16" ht="15.6" x14ac:dyDescent="0.3">
      <c r="A197" s="475" t="s">
        <v>56</v>
      </c>
      <c r="B197" s="476"/>
      <c r="C197" s="438" t="s">
        <v>55</v>
      </c>
      <c r="D197" s="4"/>
      <c r="E197" s="4"/>
      <c r="F197" s="4"/>
      <c r="G197" s="4"/>
      <c r="H197" s="379"/>
      <c r="I197" s="379"/>
      <c r="J197" s="379"/>
      <c r="K197" s="4">
        <v>60</v>
      </c>
      <c r="L197" s="379"/>
      <c r="M197" s="379"/>
      <c r="N197" s="379">
        <v>29</v>
      </c>
      <c r="O197" s="379"/>
      <c r="P197" s="384">
        <f>SUM(D197:O197)</f>
        <v>89</v>
      </c>
    </row>
    <row r="198" spans="1:16" x14ac:dyDescent="0.3">
      <c r="A198" s="472" t="s">
        <v>203</v>
      </c>
      <c r="B198" s="473"/>
      <c r="C198" s="473"/>
      <c r="D198" s="473"/>
      <c r="E198" s="473"/>
      <c r="F198" s="473"/>
      <c r="G198" s="473"/>
      <c r="H198" s="473"/>
      <c r="I198" s="473"/>
      <c r="J198" s="473"/>
      <c r="K198" s="473"/>
      <c r="L198" s="473"/>
      <c r="M198" s="473"/>
      <c r="N198" s="473"/>
      <c r="O198" s="473"/>
      <c r="P198" s="474"/>
    </row>
    <row r="199" spans="1:16" ht="15.6" x14ac:dyDescent="0.3">
      <c r="A199" s="479" t="s">
        <v>54</v>
      </c>
      <c r="B199" s="355" t="s">
        <v>53</v>
      </c>
      <c r="C199" s="345" t="s">
        <v>47</v>
      </c>
      <c r="D199" s="379"/>
      <c r="E199" s="379"/>
      <c r="F199" s="379"/>
      <c r="G199" s="379"/>
      <c r="H199" s="379"/>
      <c r="I199" s="379"/>
      <c r="J199" s="379"/>
      <c r="K199" s="379"/>
      <c r="L199" s="379"/>
      <c r="M199" s="379"/>
      <c r="N199" s="379"/>
      <c r="O199" s="379"/>
      <c r="P199" s="384">
        <f t="shared" ref="P199:P204" si="170">SUM(D199:O199)</f>
        <v>0</v>
      </c>
    </row>
    <row r="200" spans="1:16" ht="15.6" x14ac:dyDescent="0.3">
      <c r="A200" s="480"/>
      <c r="B200" s="355" t="s">
        <v>52</v>
      </c>
      <c r="C200" s="345" t="s">
        <v>47</v>
      </c>
      <c r="D200" s="379"/>
      <c r="E200" s="379"/>
      <c r="F200" s="379"/>
      <c r="G200" s="379"/>
      <c r="H200" s="379"/>
      <c r="I200" s="379"/>
      <c r="J200" s="379"/>
      <c r="K200" s="379"/>
      <c r="L200" s="379"/>
      <c r="M200" s="4">
        <v>300</v>
      </c>
      <c r="N200" s="379"/>
      <c r="O200" s="379"/>
      <c r="P200" s="384">
        <f t="shared" si="170"/>
        <v>300</v>
      </c>
    </row>
    <row r="201" spans="1:16" ht="15.6" x14ac:dyDescent="0.3">
      <c r="A201" s="480"/>
      <c r="B201" s="355" t="s">
        <v>51</v>
      </c>
      <c r="C201" s="345" t="s">
        <v>47</v>
      </c>
      <c r="D201" s="379"/>
      <c r="E201" s="379"/>
      <c r="F201" s="379"/>
      <c r="G201" s="379"/>
      <c r="H201" s="379"/>
      <c r="I201" s="379"/>
      <c r="J201" s="379"/>
      <c r="K201" s="379"/>
      <c r="L201" s="379"/>
      <c r="M201" s="379"/>
      <c r="N201" s="379"/>
      <c r="O201" s="379">
        <v>300</v>
      </c>
      <c r="P201" s="384">
        <f t="shared" si="170"/>
        <v>300</v>
      </c>
    </row>
    <row r="202" spans="1:16" ht="15.6" x14ac:dyDescent="0.3">
      <c r="A202" s="480"/>
      <c r="B202" s="355" t="s">
        <v>50</v>
      </c>
      <c r="C202" s="345" t="s">
        <v>47</v>
      </c>
      <c r="D202" s="379"/>
      <c r="E202" s="379"/>
      <c r="F202" s="379"/>
      <c r="G202" s="379"/>
      <c r="H202" s="379"/>
      <c r="I202" s="379"/>
      <c r="J202" s="4">
        <v>600</v>
      </c>
      <c r="K202" s="4">
        <v>100</v>
      </c>
      <c r="L202" s="379"/>
      <c r="M202" s="379"/>
      <c r="N202" s="379"/>
      <c r="O202" s="379"/>
      <c r="P202" s="384">
        <f t="shared" si="170"/>
        <v>700</v>
      </c>
    </row>
    <row r="203" spans="1:16" ht="15.6" x14ac:dyDescent="0.3">
      <c r="A203" s="481"/>
      <c r="B203" s="355" t="s">
        <v>49</v>
      </c>
      <c r="C203" s="345" t="s">
        <v>47</v>
      </c>
      <c r="D203" s="379"/>
      <c r="E203" s="379"/>
      <c r="F203" s="379"/>
      <c r="G203" s="379"/>
      <c r="H203" s="379"/>
      <c r="I203" s="379"/>
      <c r="J203" s="379"/>
      <c r="K203" s="379"/>
      <c r="L203" s="379"/>
      <c r="M203" s="379"/>
      <c r="N203" s="379"/>
      <c r="O203" s="379">
        <v>180</v>
      </c>
      <c r="P203" s="384">
        <f t="shared" si="170"/>
        <v>180</v>
      </c>
    </row>
    <row r="204" spans="1:16" ht="15.6" x14ac:dyDescent="0.3">
      <c r="A204" s="441" t="s">
        <v>48</v>
      </c>
      <c r="B204" s="355"/>
      <c r="C204" s="345" t="s">
        <v>47</v>
      </c>
      <c r="D204" s="372">
        <f t="shared" ref="D204:N204" si="171">SUM(D199:D203)</f>
        <v>0</v>
      </c>
      <c r="E204" s="372">
        <f t="shared" si="171"/>
        <v>0</v>
      </c>
      <c r="F204" s="372">
        <f t="shared" si="171"/>
        <v>0</v>
      </c>
      <c r="G204" s="372">
        <f t="shared" si="171"/>
        <v>0</v>
      </c>
      <c r="H204" s="372">
        <f t="shared" si="171"/>
        <v>0</v>
      </c>
      <c r="I204" s="372">
        <f t="shared" si="171"/>
        <v>0</v>
      </c>
      <c r="J204" s="372">
        <f t="shared" si="171"/>
        <v>600</v>
      </c>
      <c r="K204" s="372">
        <f t="shared" si="171"/>
        <v>100</v>
      </c>
      <c r="L204" s="372">
        <f t="shared" si="171"/>
        <v>0</v>
      </c>
      <c r="M204" s="372">
        <f t="shared" si="171"/>
        <v>300</v>
      </c>
      <c r="N204" s="372">
        <f t="shared" si="171"/>
        <v>0</v>
      </c>
      <c r="O204" s="372">
        <v>480</v>
      </c>
      <c r="P204" s="442">
        <f t="shared" si="170"/>
        <v>1480</v>
      </c>
    </row>
    <row r="205" spans="1:16" s="351" customFormat="1" x14ac:dyDescent="0.3">
      <c r="A205" s="472" t="s">
        <v>46</v>
      </c>
      <c r="B205" s="473"/>
      <c r="C205" s="473"/>
      <c r="D205" s="473"/>
      <c r="E205" s="473"/>
      <c r="F205" s="473"/>
      <c r="G205" s="473"/>
      <c r="H205" s="473"/>
      <c r="I205" s="473"/>
      <c r="J205" s="473"/>
      <c r="K205" s="473"/>
      <c r="L205" s="473"/>
      <c r="M205" s="473"/>
      <c r="N205" s="473"/>
      <c r="O205" s="473"/>
      <c r="P205" s="474"/>
    </row>
    <row r="206" spans="1:16" ht="15.6" x14ac:dyDescent="0.3">
      <c r="A206" s="475" t="s">
        <v>43</v>
      </c>
      <c r="B206" s="476"/>
      <c r="C206" s="345" t="s">
        <v>31</v>
      </c>
      <c r="D206" s="556">
        <f>971980+486900+4544767.83</f>
        <v>6003647.8300000001</v>
      </c>
      <c r="E206" s="13">
        <f>1628880+370300+9873963.75</f>
        <v>11873143.75</v>
      </c>
      <c r="F206" s="13">
        <f>3065864+798465+13012425</f>
        <v>16876754</v>
      </c>
      <c r="G206" s="13">
        <f>1887015+430700+9433044</f>
        <v>11750759</v>
      </c>
      <c r="H206" s="13">
        <f>1437560+436000+6794431</f>
        <v>8667991</v>
      </c>
      <c r="I206" s="13">
        <f>2100439+546539+13496144</f>
        <v>16143122</v>
      </c>
      <c r="J206" s="13">
        <f>914250+322600+5092186</f>
        <v>6329036</v>
      </c>
      <c r="K206" s="13">
        <f>4307795+1290950+23883185</f>
        <v>29481930</v>
      </c>
      <c r="L206" s="374">
        <v>5648735</v>
      </c>
      <c r="M206" s="13">
        <f>1800300+690422+15378049</f>
        <v>17868771</v>
      </c>
      <c r="N206" s="374">
        <v>10775797</v>
      </c>
      <c r="O206" s="374">
        <v>13518913</v>
      </c>
      <c r="P206" s="384">
        <f>SUM(D206:O206)</f>
        <v>154938599.57999998</v>
      </c>
    </row>
    <row r="207" spans="1:16" ht="15.6" x14ac:dyDescent="0.3">
      <c r="A207" s="475" t="s">
        <v>42</v>
      </c>
      <c r="B207" s="476"/>
      <c r="C207" s="345" t="s">
        <v>31</v>
      </c>
      <c r="D207" s="556">
        <v>117000</v>
      </c>
      <c r="E207" s="13">
        <v>201700</v>
      </c>
      <c r="F207" s="13">
        <v>190657</v>
      </c>
      <c r="G207" s="13">
        <v>148550</v>
      </c>
      <c r="H207" s="13">
        <v>35300</v>
      </c>
      <c r="I207" s="13">
        <v>174700</v>
      </c>
      <c r="J207" s="13">
        <v>72250</v>
      </c>
      <c r="K207" s="13">
        <v>216050</v>
      </c>
      <c r="L207" s="374">
        <v>18500</v>
      </c>
      <c r="M207" s="13">
        <v>182500</v>
      </c>
      <c r="N207" s="374">
        <v>118000</v>
      </c>
      <c r="O207" s="374">
        <v>150200</v>
      </c>
      <c r="P207" s="384">
        <f>SUM(D207:O207)</f>
        <v>1625407</v>
      </c>
    </row>
    <row r="208" spans="1:16" ht="15.6" x14ac:dyDescent="0.3">
      <c r="A208" s="482" t="s">
        <v>41</v>
      </c>
      <c r="B208" s="483"/>
      <c r="C208" s="345" t="s">
        <v>31</v>
      </c>
      <c r="D208" s="556">
        <v>117800</v>
      </c>
      <c r="E208" s="13">
        <v>130950</v>
      </c>
      <c r="F208" s="13">
        <v>212000</v>
      </c>
      <c r="G208" s="13">
        <v>198050</v>
      </c>
      <c r="H208" s="13">
        <v>190100</v>
      </c>
      <c r="I208" s="13">
        <v>137840</v>
      </c>
      <c r="J208" s="13">
        <v>372000</v>
      </c>
      <c r="K208" s="13">
        <v>358000</v>
      </c>
      <c r="L208" s="374"/>
      <c r="M208" s="13">
        <v>452103</v>
      </c>
      <c r="N208" s="374">
        <v>115000</v>
      </c>
      <c r="O208" s="374">
        <v>629000</v>
      </c>
      <c r="P208" s="384">
        <f>SUM(D208:O208)</f>
        <v>2912843</v>
      </c>
    </row>
    <row r="209" spans="1:16" ht="15.6" x14ac:dyDescent="0.3">
      <c r="A209" s="475" t="s">
        <v>40</v>
      </c>
      <c r="B209" s="476"/>
      <c r="C209" s="345" t="s">
        <v>31</v>
      </c>
      <c r="D209" s="556">
        <v>353800</v>
      </c>
      <c r="E209" s="13">
        <v>2023967.48</v>
      </c>
      <c r="F209" s="13">
        <v>460000</v>
      </c>
      <c r="G209" s="13">
        <v>447360</v>
      </c>
      <c r="H209" s="13">
        <v>237020</v>
      </c>
      <c r="I209" s="13">
        <v>594250</v>
      </c>
      <c r="J209" s="13">
        <v>366240</v>
      </c>
      <c r="K209" s="13">
        <v>570840</v>
      </c>
      <c r="L209" s="374">
        <v>192500</v>
      </c>
      <c r="M209" s="13">
        <v>7195088</v>
      </c>
      <c r="N209" s="374">
        <v>182000</v>
      </c>
      <c r="O209" s="374">
        <v>650130</v>
      </c>
      <c r="P209" s="384">
        <f>SUM(D209:O209)</f>
        <v>13273195.48</v>
      </c>
    </row>
    <row r="210" spans="1:16" ht="15.6" x14ac:dyDescent="0.3">
      <c r="A210" s="477" t="s">
        <v>45</v>
      </c>
      <c r="B210" s="478"/>
      <c r="C210" s="345" t="s">
        <v>31</v>
      </c>
      <c r="D210" s="437">
        <f t="shared" ref="D210:N210" si="172">SUM(D206:D209)</f>
        <v>6592247.8300000001</v>
      </c>
      <c r="E210" s="437">
        <f t="shared" si="172"/>
        <v>14229761.23</v>
      </c>
      <c r="F210" s="437">
        <f t="shared" si="172"/>
        <v>17739411</v>
      </c>
      <c r="G210" s="437">
        <f t="shared" si="172"/>
        <v>12544719</v>
      </c>
      <c r="H210" s="437">
        <f t="shared" si="172"/>
        <v>9130411</v>
      </c>
      <c r="I210" s="437">
        <f t="shared" si="172"/>
        <v>17049912</v>
      </c>
      <c r="J210" s="437">
        <f t="shared" si="172"/>
        <v>7139526</v>
      </c>
      <c r="K210" s="437">
        <f t="shared" si="172"/>
        <v>30626820</v>
      </c>
      <c r="L210" s="437">
        <f t="shared" si="172"/>
        <v>5859735</v>
      </c>
      <c r="M210" s="437">
        <f t="shared" si="172"/>
        <v>25698462</v>
      </c>
      <c r="N210" s="437">
        <f t="shared" si="172"/>
        <v>11190797</v>
      </c>
      <c r="O210" s="437">
        <v>14948243</v>
      </c>
      <c r="P210" s="384">
        <f>SUM(D210:O210)</f>
        <v>172750045.06</v>
      </c>
    </row>
    <row r="211" spans="1:16" s="351" customFormat="1" x14ac:dyDescent="0.3">
      <c r="A211" s="472" t="s">
        <v>44</v>
      </c>
      <c r="B211" s="473"/>
      <c r="C211" s="473"/>
      <c r="D211" s="473"/>
      <c r="E211" s="473"/>
      <c r="F211" s="473"/>
      <c r="G211" s="473"/>
      <c r="H211" s="473"/>
      <c r="I211" s="473"/>
      <c r="J211" s="473"/>
      <c r="K211" s="473"/>
      <c r="L211" s="473"/>
      <c r="M211" s="473"/>
      <c r="N211" s="473"/>
      <c r="O211" s="473"/>
      <c r="P211" s="474"/>
    </row>
    <row r="212" spans="1:16" ht="15.6" x14ac:dyDescent="0.3">
      <c r="A212" s="475" t="s">
        <v>43</v>
      </c>
      <c r="B212" s="476"/>
      <c r="C212" s="345" t="s">
        <v>31</v>
      </c>
      <c r="D212" s="13"/>
      <c r="E212" s="13"/>
      <c r="F212" s="13"/>
      <c r="G212" s="13"/>
      <c r="H212" s="374"/>
      <c r="I212" s="374"/>
      <c r="J212" s="374"/>
      <c r="K212" s="374"/>
      <c r="L212" s="374"/>
      <c r="M212" s="374"/>
      <c r="N212" s="374"/>
      <c r="O212" s="374"/>
      <c r="P212" s="384">
        <f>SUM(D212:O212)</f>
        <v>0</v>
      </c>
    </row>
    <row r="213" spans="1:16" ht="15.6" x14ac:dyDescent="0.3">
      <c r="A213" s="475" t="s">
        <v>42</v>
      </c>
      <c r="B213" s="476"/>
      <c r="C213" s="345" t="s">
        <v>31</v>
      </c>
      <c r="D213" s="13"/>
      <c r="E213" s="13"/>
      <c r="F213" s="13"/>
      <c r="G213" s="13"/>
      <c r="H213" s="374"/>
      <c r="I213" s="374"/>
      <c r="J213" s="374"/>
      <c r="K213" s="374"/>
      <c r="L213" s="374"/>
      <c r="M213" s="374"/>
      <c r="N213" s="374"/>
      <c r="O213" s="374"/>
      <c r="P213" s="384">
        <f>SUM(D213:O213)</f>
        <v>0</v>
      </c>
    </row>
    <row r="214" spans="1:16" ht="15.6" x14ac:dyDescent="0.3">
      <c r="A214" s="482" t="s">
        <v>41</v>
      </c>
      <c r="B214" s="483"/>
      <c r="C214" s="345" t="s">
        <v>31</v>
      </c>
      <c r="D214" s="13"/>
      <c r="E214" s="13"/>
      <c r="F214" s="13"/>
      <c r="G214" s="13"/>
      <c r="H214" s="374"/>
      <c r="I214" s="374"/>
      <c r="J214" s="374"/>
      <c r="K214" s="374"/>
      <c r="L214" s="374"/>
      <c r="M214" s="374"/>
      <c r="N214" s="374"/>
      <c r="O214" s="374"/>
      <c r="P214" s="384">
        <f>SUM(D214:O214)</f>
        <v>0</v>
      </c>
    </row>
    <row r="215" spans="1:16" ht="15.6" x14ac:dyDescent="0.3">
      <c r="A215" s="475" t="s">
        <v>40</v>
      </c>
      <c r="B215" s="476"/>
      <c r="C215" s="345" t="s">
        <v>31</v>
      </c>
      <c r="D215" s="556">
        <v>7842269.9199999999</v>
      </c>
      <c r="E215" s="13">
        <v>8847508.7599999998</v>
      </c>
      <c r="F215" s="13">
        <v>10804306.439999999</v>
      </c>
      <c r="G215" s="13">
        <v>15090314.050000001</v>
      </c>
      <c r="H215" s="13">
        <v>22584961.5</v>
      </c>
      <c r="I215" s="13">
        <v>14172512.140000001</v>
      </c>
      <c r="J215" s="13">
        <v>13403884</v>
      </c>
      <c r="K215" s="13">
        <v>10568892.23</v>
      </c>
      <c r="L215" s="374">
        <v>14375843.529999999</v>
      </c>
      <c r="M215" s="374">
        <v>26207334.640000001</v>
      </c>
      <c r="N215" s="374">
        <v>18258089.530000001</v>
      </c>
      <c r="O215" s="374">
        <v>8859561</v>
      </c>
      <c r="P215" s="384">
        <f>SUM(D215:O215)</f>
        <v>171015477.74000001</v>
      </c>
    </row>
    <row r="216" spans="1:16" ht="15.6" x14ac:dyDescent="0.3">
      <c r="A216" s="477" t="s">
        <v>39</v>
      </c>
      <c r="B216" s="478"/>
      <c r="C216" s="345" t="s">
        <v>31</v>
      </c>
      <c r="D216" s="437">
        <f t="shared" ref="D216:N216" si="173">SUM(D212:D215)</f>
        <v>7842269.9199999999</v>
      </c>
      <c r="E216" s="437">
        <f t="shared" si="173"/>
        <v>8847508.7599999998</v>
      </c>
      <c r="F216" s="437">
        <f t="shared" si="173"/>
        <v>10804306.439999999</v>
      </c>
      <c r="G216" s="437">
        <f t="shared" si="173"/>
        <v>15090314.050000001</v>
      </c>
      <c r="H216" s="437">
        <f t="shared" si="173"/>
        <v>22584961.5</v>
      </c>
      <c r="I216" s="437">
        <f t="shared" si="173"/>
        <v>14172512.140000001</v>
      </c>
      <c r="J216" s="437">
        <f t="shared" si="173"/>
        <v>13403884</v>
      </c>
      <c r="K216" s="437">
        <f t="shared" si="173"/>
        <v>10568892.23</v>
      </c>
      <c r="L216" s="437">
        <f t="shared" si="173"/>
        <v>14375843.529999999</v>
      </c>
      <c r="M216" s="437">
        <f t="shared" si="173"/>
        <v>26207334.640000001</v>
      </c>
      <c r="N216" s="437">
        <f t="shared" si="173"/>
        <v>18258089.530000001</v>
      </c>
      <c r="O216" s="437">
        <v>8859561</v>
      </c>
      <c r="P216" s="384">
        <f>SUM(D216:O216)</f>
        <v>171015477.74000001</v>
      </c>
    </row>
    <row r="217" spans="1:16" s="351" customFormat="1" ht="15.6" x14ac:dyDescent="0.3">
      <c r="A217" s="443" t="s">
        <v>38</v>
      </c>
      <c r="B217" s="444"/>
      <c r="C217" s="345" t="s">
        <v>31</v>
      </c>
      <c r="D217" s="437">
        <f>D210+D216</f>
        <v>14434517.75</v>
      </c>
      <c r="E217" s="437">
        <f t="shared" ref="E217:P217" si="174">E210+E216</f>
        <v>23077269.990000002</v>
      </c>
      <c r="F217" s="437">
        <f t="shared" si="174"/>
        <v>28543717.439999998</v>
      </c>
      <c r="G217" s="437">
        <f t="shared" si="174"/>
        <v>27635033.050000001</v>
      </c>
      <c r="H217" s="437">
        <f t="shared" si="174"/>
        <v>31715372.5</v>
      </c>
      <c r="I217" s="437">
        <f t="shared" si="174"/>
        <v>31222424.140000001</v>
      </c>
      <c r="J217" s="437">
        <f t="shared" si="174"/>
        <v>20543410</v>
      </c>
      <c r="K217" s="437">
        <f t="shared" si="174"/>
        <v>41195712.230000004</v>
      </c>
      <c r="L217" s="437">
        <f t="shared" si="174"/>
        <v>20235578.530000001</v>
      </c>
      <c r="M217" s="437">
        <f t="shared" si="174"/>
        <v>51905796.640000001</v>
      </c>
      <c r="N217" s="437">
        <f t="shared" si="174"/>
        <v>29448886.530000001</v>
      </c>
      <c r="O217" s="437">
        <v>23807804</v>
      </c>
      <c r="P217" s="380">
        <f t="shared" si="174"/>
        <v>343765522.80000001</v>
      </c>
    </row>
    <row r="218" spans="1:16" s="351" customFormat="1" x14ac:dyDescent="0.3">
      <c r="A218" s="472" t="s">
        <v>37</v>
      </c>
      <c r="B218" s="473"/>
      <c r="C218" s="473"/>
      <c r="D218" s="473"/>
      <c r="E218" s="473"/>
      <c r="F218" s="473"/>
      <c r="G218" s="473"/>
      <c r="H218" s="473"/>
      <c r="I218" s="473"/>
      <c r="J218" s="473"/>
      <c r="K218" s="473"/>
      <c r="L218" s="473"/>
      <c r="M218" s="473"/>
      <c r="N218" s="473"/>
      <c r="O218" s="473"/>
      <c r="P218" s="474"/>
    </row>
    <row r="219" spans="1:16" ht="15.6" x14ac:dyDescent="0.3">
      <c r="A219" s="475" t="s">
        <v>35</v>
      </c>
      <c r="B219" s="476"/>
      <c r="C219" s="345" t="s">
        <v>31</v>
      </c>
      <c r="D219" s="553">
        <f>1323261.37+385763.54+6703523.49</f>
        <v>8412548.4000000004</v>
      </c>
      <c r="E219" s="13">
        <f>1880293.54+559568.49+10873981.98</f>
        <v>13313844.010000002</v>
      </c>
      <c r="F219" s="13">
        <f>2454485+855436+13386862</f>
        <v>16696783</v>
      </c>
      <c r="G219" s="13">
        <f>1860262+550406+10698928</f>
        <v>13109596</v>
      </c>
      <c r="H219" s="13">
        <f>1883644.11+513849.74+10515048.79</f>
        <v>12912542.639999999</v>
      </c>
      <c r="I219" s="13">
        <f>1953350+563043+11309130</f>
        <v>13825523</v>
      </c>
      <c r="J219" s="13">
        <f>2103880.49+669680.5+12378477.9</f>
        <v>15152038.890000001</v>
      </c>
      <c r="K219" s="13">
        <f>2037984+540626+13106055</f>
        <v>15684665</v>
      </c>
      <c r="L219" s="374">
        <v>14334177</v>
      </c>
      <c r="M219" s="374">
        <v>14645845.949999999</v>
      </c>
      <c r="N219" s="374">
        <v>15234316</v>
      </c>
      <c r="O219" s="374">
        <v>15200619</v>
      </c>
      <c r="P219" s="384">
        <f>SUM(D219:O219)</f>
        <v>168522498.89000002</v>
      </c>
    </row>
    <row r="220" spans="1:16" ht="15.6" x14ac:dyDescent="0.3">
      <c r="A220" s="475" t="s">
        <v>34</v>
      </c>
      <c r="B220" s="476"/>
      <c r="C220" s="345" t="s">
        <v>31</v>
      </c>
      <c r="D220" s="553">
        <v>154066.54</v>
      </c>
      <c r="E220" s="13">
        <v>149197.62</v>
      </c>
      <c r="F220" s="13">
        <v>179802</v>
      </c>
      <c r="G220" s="13">
        <v>125027</v>
      </c>
      <c r="H220" s="13">
        <v>150240.95999999999</v>
      </c>
      <c r="I220" s="13">
        <v>132678</v>
      </c>
      <c r="J220" s="13">
        <v>139633.67000000001</v>
      </c>
      <c r="K220" s="13">
        <v>131461</v>
      </c>
      <c r="L220" s="374">
        <v>120332</v>
      </c>
      <c r="M220" s="374">
        <v>98247.85</v>
      </c>
      <c r="N220" s="374">
        <v>136678</v>
      </c>
      <c r="O220" s="374">
        <v>153371</v>
      </c>
      <c r="P220" s="384">
        <f>SUM(D220:O220)</f>
        <v>1670735.6400000001</v>
      </c>
    </row>
    <row r="221" spans="1:16" ht="15.6" x14ac:dyDescent="0.3">
      <c r="A221" s="475" t="s">
        <v>33</v>
      </c>
      <c r="B221" s="476"/>
      <c r="C221" s="345" t="s">
        <v>31</v>
      </c>
      <c r="D221" s="553">
        <v>490989.37</v>
      </c>
      <c r="E221" s="13">
        <v>159556.85</v>
      </c>
      <c r="F221" s="13">
        <v>892688</v>
      </c>
      <c r="G221" s="13">
        <v>799272</v>
      </c>
      <c r="H221" s="13">
        <v>687328.25</v>
      </c>
      <c r="I221" s="13">
        <v>606419</v>
      </c>
      <c r="J221" s="13">
        <v>1779430.1</v>
      </c>
      <c r="K221" s="13">
        <v>1897067</v>
      </c>
      <c r="L221" s="374">
        <v>652546</v>
      </c>
      <c r="M221" s="374">
        <v>603553.49</v>
      </c>
      <c r="N221" s="374">
        <v>768911</v>
      </c>
      <c r="O221" s="374">
        <v>806282</v>
      </c>
      <c r="P221" s="384">
        <f>SUM(D221:O221)</f>
        <v>10144043.060000001</v>
      </c>
    </row>
    <row r="222" spans="1:16" ht="15.6" x14ac:dyDescent="0.3">
      <c r="A222" s="475" t="s">
        <v>32</v>
      </c>
      <c r="B222" s="476"/>
      <c r="C222" s="345" t="s">
        <v>31</v>
      </c>
      <c r="D222" s="553">
        <v>108599.11</v>
      </c>
      <c r="E222" s="13">
        <v>833306.74</v>
      </c>
      <c r="F222" s="13">
        <v>351059</v>
      </c>
      <c r="G222" s="13">
        <v>205694</v>
      </c>
      <c r="H222" s="13">
        <v>265928.39</v>
      </c>
      <c r="I222" s="13">
        <v>236313</v>
      </c>
      <c r="J222" s="13">
        <v>559583.99</v>
      </c>
      <c r="K222" s="13">
        <v>740207</v>
      </c>
      <c r="L222" s="374">
        <v>307477</v>
      </c>
      <c r="M222" s="374">
        <v>277668.21000000002</v>
      </c>
      <c r="N222" s="374">
        <v>325038</v>
      </c>
      <c r="O222" s="374">
        <v>214748</v>
      </c>
      <c r="P222" s="384">
        <f>SUM(D222:O222)</f>
        <v>4425622.4400000004</v>
      </c>
    </row>
    <row r="223" spans="1:16" ht="15.6" x14ac:dyDescent="0.3">
      <c r="A223" s="477" t="s">
        <v>36</v>
      </c>
      <c r="B223" s="478"/>
      <c r="C223" s="345" t="s">
        <v>31</v>
      </c>
      <c r="D223" s="445">
        <f t="shared" ref="D223:N223" si="175">SUM(D219:D222)</f>
        <v>9166203.4199999981</v>
      </c>
      <c r="E223" s="437">
        <f t="shared" si="175"/>
        <v>14455905.220000001</v>
      </c>
      <c r="F223" s="437">
        <f t="shared" si="175"/>
        <v>18120332</v>
      </c>
      <c r="G223" s="437">
        <f t="shared" si="175"/>
        <v>14239589</v>
      </c>
      <c r="H223" s="437">
        <f t="shared" si="175"/>
        <v>14016040.24</v>
      </c>
      <c r="I223" s="437">
        <f t="shared" si="175"/>
        <v>14800933</v>
      </c>
      <c r="J223" s="446">
        <f t="shared" si="175"/>
        <v>17630686.649999999</v>
      </c>
      <c r="K223" s="446">
        <f t="shared" si="175"/>
        <v>18453400</v>
      </c>
      <c r="L223" s="446">
        <f t="shared" si="175"/>
        <v>15414532</v>
      </c>
      <c r="M223" s="446">
        <f t="shared" si="175"/>
        <v>15625315.5</v>
      </c>
      <c r="N223" s="446">
        <f t="shared" si="175"/>
        <v>16464943</v>
      </c>
      <c r="O223" s="446">
        <v>16375020</v>
      </c>
      <c r="P223" s="384">
        <f>SUM(D223:O223)</f>
        <v>184762900.03</v>
      </c>
    </row>
    <row r="224" spans="1:16" x14ac:dyDescent="0.3">
      <c r="A224" s="472" t="s">
        <v>211</v>
      </c>
      <c r="B224" s="473"/>
      <c r="C224" s="473"/>
      <c r="D224" s="473"/>
      <c r="E224" s="473"/>
      <c r="F224" s="473"/>
      <c r="G224" s="473"/>
      <c r="H224" s="473"/>
      <c r="I224" s="473"/>
      <c r="J224" s="473"/>
      <c r="K224" s="473"/>
      <c r="L224" s="473"/>
      <c r="M224" s="473"/>
      <c r="N224" s="473"/>
      <c r="O224" s="473"/>
      <c r="P224" s="474"/>
    </row>
    <row r="225" spans="1:16" ht="15.6" x14ac:dyDescent="0.3">
      <c r="A225" s="475" t="s">
        <v>35</v>
      </c>
      <c r="B225" s="476"/>
      <c r="C225" s="345" t="s">
        <v>31</v>
      </c>
      <c r="D225" s="553"/>
      <c r="E225" s="13"/>
      <c r="F225" s="13"/>
      <c r="G225" s="13"/>
      <c r="H225" s="374"/>
      <c r="I225" s="374"/>
      <c r="J225" s="374"/>
      <c r="K225" s="374"/>
      <c r="L225" s="374"/>
      <c r="M225" s="374"/>
      <c r="N225" s="374"/>
      <c r="O225" s="374"/>
      <c r="P225" s="384">
        <f t="shared" ref="P225:P230" si="176">SUM(D225:O225)</f>
        <v>0</v>
      </c>
    </row>
    <row r="226" spans="1:16" ht="15.6" x14ac:dyDescent="0.3">
      <c r="A226" s="475" t="s">
        <v>34</v>
      </c>
      <c r="B226" s="476"/>
      <c r="C226" s="345" t="s">
        <v>31</v>
      </c>
      <c r="D226" s="553"/>
      <c r="E226" s="13"/>
      <c r="F226" s="13"/>
      <c r="G226" s="13"/>
      <c r="H226" s="374"/>
      <c r="I226" s="374"/>
      <c r="J226" s="374"/>
      <c r="K226" s="374"/>
      <c r="L226" s="374"/>
      <c r="M226" s="374"/>
      <c r="N226" s="374"/>
      <c r="O226" s="374"/>
      <c r="P226" s="384">
        <f t="shared" si="176"/>
        <v>0</v>
      </c>
    </row>
    <row r="227" spans="1:16" ht="15.6" x14ac:dyDescent="0.3">
      <c r="A227" s="475" t="s">
        <v>33</v>
      </c>
      <c r="B227" s="476"/>
      <c r="C227" s="345" t="s">
        <v>31</v>
      </c>
      <c r="D227" s="553">
        <v>7592740.6600000001</v>
      </c>
      <c r="E227" s="13">
        <v>8565104.2300000004</v>
      </c>
      <c r="F227" s="13">
        <v>10353382.220000001</v>
      </c>
      <c r="G227" s="13">
        <v>13714662.41</v>
      </c>
      <c r="H227" s="13">
        <v>22383602.329999998</v>
      </c>
      <c r="I227" s="13">
        <v>12981763.800000001</v>
      </c>
      <c r="J227" s="13">
        <v>13190375.5</v>
      </c>
      <c r="K227" s="13">
        <v>10088264.710000001</v>
      </c>
      <c r="L227" s="374">
        <v>14267009.02</v>
      </c>
      <c r="M227" s="13">
        <v>25854538.359999999</v>
      </c>
      <c r="N227" s="374">
        <v>17970806.079999998</v>
      </c>
      <c r="O227" s="374">
        <v>8797509.6500000004</v>
      </c>
      <c r="P227" s="384">
        <f t="shared" si="176"/>
        <v>165759758.97</v>
      </c>
    </row>
    <row r="228" spans="1:16" ht="15.6" x14ac:dyDescent="0.3">
      <c r="A228" s="475" t="s">
        <v>32</v>
      </c>
      <c r="B228" s="476"/>
      <c r="C228" s="345" t="s">
        <v>31</v>
      </c>
      <c r="D228" s="553"/>
      <c r="E228" s="13"/>
      <c r="F228" s="13"/>
      <c r="G228" s="13"/>
      <c r="H228" s="374"/>
      <c r="I228" s="374"/>
      <c r="J228" s="374"/>
      <c r="K228" s="374"/>
      <c r="L228" s="374"/>
      <c r="M228" s="374"/>
      <c r="N228" s="374"/>
      <c r="O228" s="374"/>
      <c r="P228" s="384">
        <f t="shared" si="176"/>
        <v>0</v>
      </c>
    </row>
    <row r="229" spans="1:16" ht="15.6" x14ac:dyDescent="0.3">
      <c r="A229" s="477" t="s">
        <v>212</v>
      </c>
      <c r="B229" s="478"/>
      <c r="C229" s="345" t="s">
        <v>31</v>
      </c>
      <c r="D229" s="445">
        <f t="shared" ref="D229:N229" si="177">SUM(D225:D228)</f>
        <v>7592740.6600000001</v>
      </c>
      <c r="E229" s="437">
        <f t="shared" si="177"/>
        <v>8565104.2300000004</v>
      </c>
      <c r="F229" s="437">
        <f t="shared" si="177"/>
        <v>10353382.220000001</v>
      </c>
      <c r="G229" s="437">
        <f t="shared" si="177"/>
        <v>13714662.41</v>
      </c>
      <c r="H229" s="437">
        <f t="shared" si="177"/>
        <v>22383602.329999998</v>
      </c>
      <c r="I229" s="437">
        <f t="shared" si="177"/>
        <v>12981763.800000001</v>
      </c>
      <c r="J229" s="446">
        <f t="shared" si="177"/>
        <v>13190375.5</v>
      </c>
      <c r="K229" s="446">
        <f t="shared" si="177"/>
        <v>10088264.710000001</v>
      </c>
      <c r="L229" s="446">
        <f t="shared" si="177"/>
        <v>14267009.02</v>
      </c>
      <c r="M229" s="446">
        <f t="shared" si="177"/>
        <v>25854538.359999999</v>
      </c>
      <c r="N229" s="446">
        <f t="shared" si="177"/>
        <v>17970806.079999998</v>
      </c>
      <c r="O229" s="446">
        <v>8797509.6500000004</v>
      </c>
      <c r="P229" s="384">
        <f t="shared" si="176"/>
        <v>165759758.97</v>
      </c>
    </row>
    <row r="230" spans="1:16" ht="15.6" x14ac:dyDescent="0.3">
      <c r="A230" s="443" t="s">
        <v>213</v>
      </c>
      <c r="B230" s="447"/>
      <c r="C230" s="345" t="s">
        <v>31</v>
      </c>
      <c r="D230" s="445">
        <f>D223+D229</f>
        <v>16758944.079999998</v>
      </c>
      <c r="E230" s="445">
        <f t="shared" ref="E230:N230" si="178">E223+E229</f>
        <v>23021009.450000003</v>
      </c>
      <c r="F230" s="445">
        <f t="shared" si="178"/>
        <v>28473714.219999999</v>
      </c>
      <c r="G230" s="445">
        <f t="shared" si="178"/>
        <v>27954251.41</v>
      </c>
      <c r="H230" s="445">
        <f t="shared" si="178"/>
        <v>36399642.57</v>
      </c>
      <c r="I230" s="445">
        <f t="shared" si="178"/>
        <v>27782696.800000001</v>
      </c>
      <c r="J230" s="445">
        <f t="shared" si="178"/>
        <v>30821062.149999999</v>
      </c>
      <c r="K230" s="445">
        <f t="shared" si="178"/>
        <v>28541664.710000001</v>
      </c>
      <c r="L230" s="445">
        <f t="shared" si="178"/>
        <v>29681541.02</v>
      </c>
      <c r="M230" s="445">
        <f t="shared" si="178"/>
        <v>41479853.859999999</v>
      </c>
      <c r="N230" s="445">
        <f t="shared" si="178"/>
        <v>34435749.079999998</v>
      </c>
      <c r="O230" s="445">
        <v>25172529.649999999</v>
      </c>
      <c r="P230" s="384">
        <f t="shared" si="176"/>
        <v>350522659</v>
      </c>
    </row>
    <row r="231" spans="1:16" x14ac:dyDescent="0.3">
      <c r="A231" s="472" t="s">
        <v>30</v>
      </c>
      <c r="B231" s="473"/>
      <c r="C231" s="473"/>
      <c r="D231" s="473"/>
      <c r="E231" s="473"/>
      <c r="F231" s="473"/>
      <c r="G231" s="473"/>
      <c r="H231" s="473"/>
      <c r="I231" s="473"/>
      <c r="J231" s="473"/>
      <c r="K231" s="473"/>
      <c r="L231" s="473"/>
      <c r="M231" s="473"/>
      <c r="N231" s="473"/>
      <c r="O231" s="473"/>
      <c r="P231" s="474"/>
    </row>
    <row r="232" spans="1:16" ht="15.6" x14ac:dyDescent="0.3">
      <c r="A232" s="475" t="s">
        <v>29</v>
      </c>
      <c r="B232" s="476"/>
      <c r="C232" s="345" t="s">
        <v>18</v>
      </c>
      <c r="D232" s="553">
        <f>65361.68+34523.96+508930.66</f>
        <v>608816.29999999993</v>
      </c>
      <c r="E232" s="13">
        <f>99774.72+51086.13+776771.52</f>
        <v>927632.37</v>
      </c>
      <c r="F232" s="13">
        <f>101853+51786+806990</f>
        <v>960629</v>
      </c>
      <c r="G232" s="13">
        <f>98735+49687+804513</f>
        <v>952935</v>
      </c>
      <c r="H232" s="13">
        <f>99428.28+50386.32+817393.5</f>
        <v>967208.1</v>
      </c>
      <c r="I232" s="13">
        <f>100121+51086+833246</f>
        <v>984453</v>
      </c>
      <c r="J232" s="13">
        <f>100121.16+51086.13+840676.83</f>
        <v>991884.12</v>
      </c>
      <c r="K232" s="13">
        <f>99775+52486+852566</f>
        <v>1004827</v>
      </c>
      <c r="L232" s="374">
        <v>1005111</v>
      </c>
      <c r="M232" s="374">
        <v>979242.81</v>
      </c>
      <c r="N232" s="374">
        <v>995491</v>
      </c>
      <c r="O232" s="374">
        <v>1015999</v>
      </c>
      <c r="P232" s="384">
        <f>SUM(D232:O232)</f>
        <v>11394228.700000001</v>
      </c>
    </row>
    <row r="233" spans="1:16" ht="15.6" x14ac:dyDescent="0.3">
      <c r="A233" s="475" t="s">
        <v>28</v>
      </c>
      <c r="B233" s="476"/>
      <c r="C233" s="345" t="s">
        <v>18</v>
      </c>
      <c r="D233" s="553">
        <v>2086.6799999999998</v>
      </c>
      <c r="E233" s="13">
        <v>2086.6799999999998</v>
      </c>
      <c r="F233" s="13">
        <v>2087</v>
      </c>
      <c r="G233" s="13">
        <v>1913</v>
      </c>
      <c r="H233" s="13">
        <v>1912.79</v>
      </c>
      <c r="I233" s="13">
        <v>1913</v>
      </c>
      <c r="J233" s="13">
        <v>1912.79</v>
      </c>
      <c r="K233" s="13">
        <v>1913</v>
      </c>
      <c r="L233" s="374">
        <v>1739</v>
      </c>
      <c r="M233" s="374">
        <v>1738.9</v>
      </c>
      <c r="N233" s="374">
        <v>1739</v>
      </c>
      <c r="O233" s="374">
        <v>1739</v>
      </c>
      <c r="P233" s="384">
        <f>SUM(D233:O233)</f>
        <v>22780.84</v>
      </c>
    </row>
    <row r="234" spans="1:16" ht="15.6" x14ac:dyDescent="0.3">
      <c r="A234" s="475" t="s">
        <v>27</v>
      </c>
      <c r="B234" s="476"/>
      <c r="C234" s="345" t="s">
        <v>18</v>
      </c>
      <c r="D234" s="553">
        <v>45248.5</v>
      </c>
      <c r="E234" s="13">
        <v>42157.7</v>
      </c>
      <c r="F234" s="13">
        <v>61703</v>
      </c>
      <c r="G234" s="13">
        <v>64788</v>
      </c>
      <c r="H234" s="13">
        <v>67872.86</v>
      </c>
      <c r="I234" s="13">
        <v>67873</v>
      </c>
      <c r="J234" s="13">
        <v>70957.990000000005</v>
      </c>
      <c r="K234" s="13">
        <v>74043</v>
      </c>
      <c r="L234" s="374">
        <v>74043</v>
      </c>
      <c r="M234" s="374">
        <v>74043.12</v>
      </c>
      <c r="N234" s="374">
        <v>74043</v>
      </c>
      <c r="O234" s="374">
        <v>74043</v>
      </c>
      <c r="P234" s="384">
        <f>SUM(D234:O234)</f>
        <v>790816.17</v>
      </c>
    </row>
    <row r="235" spans="1:16" ht="15.6" x14ac:dyDescent="0.3">
      <c r="A235" s="475" t="s">
        <v>26</v>
      </c>
      <c r="B235" s="476"/>
      <c r="C235" s="345" t="s">
        <v>18</v>
      </c>
      <c r="D235" s="553">
        <v>36536.629999999997</v>
      </c>
      <c r="E235" s="13">
        <v>64787.73</v>
      </c>
      <c r="F235" s="13">
        <v>46373</v>
      </c>
      <c r="G235" s="13">
        <v>42158</v>
      </c>
      <c r="H235" s="13">
        <v>42157.7</v>
      </c>
      <c r="I235" s="13">
        <v>42158</v>
      </c>
      <c r="J235" s="13">
        <v>42157.7</v>
      </c>
      <c r="K235" s="13">
        <v>50589</v>
      </c>
      <c r="L235" s="374">
        <v>54805</v>
      </c>
      <c r="M235" s="374">
        <v>50589.24</v>
      </c>
      <c r="N235" s="374">
        <v>54805</v>
      </c>
      <c r="O235" s="374">
        <v>59021</v>
      </c>
      <c r="P235" s="384">
        <f>SUM(D235:O235)</f>
        <v>586138</v>
      </c>
    </row>
    <row r="236" spans="1:16" ht="15.6" x14ac:dyDescent="0.3">
      <c r="A236" s="477" t="s">
        <v>25</v>
      </c>
      <c r="B236" s="478"/>
      <c r="C236" s="345" t="s">
        <v>18</v>
      </c>
      <c r="D236" s="445">
        <f t="shared" ref="D236:N236" si="179">SUM(D232:D235)</f>
        <v>692688.11</v>
      </c>
      <c r="E236" s="445">
        <f t="shared" si="179"/>
        <v>1036664.48</v>
      </c>
      <c r="F236" s="445">
        <f t="shared" si="179"/>
        <v>1070792</v>
      </c>
      <c r="G236" s="445">
        <f t="shared" si="179"/>
        <v>1061794</v>
      </c>
      <c r="H236" s="445">
        <f t="shared" si="179"/>
        <v>1079151.45</v>
      </c>
      <c r="I236" s="445">
        <f t="shared" si="179"/>
        <v>1096397</v>
      </c>
      <c r="J236" s="445">
        <f t="shared" si="179"/>
        <v>1106912.6000000001</v>
      </c>
      <c r="K236" s="445">
        <f t="shared" si="179"/>
        <v>1131372</v>
      </c>
      <c r="L236" s="445">
        <f t="shared" si="179"/>
        <v>1135698</v>
      </c>
      <c r="M236" s="445">
        <f t="shared" si="179"/>
        <v>1105614.07</v>
      </c>
      <c r="N236" s="445">
        <f t="shared" si="179"/>
        <v>1126078</v>
      </c>
      <c r="O236" s="445">
        <v>1150802</v>
      </c>
      <c r="P236" s="380">
        <f t="shared" ref="P236" si="180">SUM(P232:P235)</f>
        <v>12793963.710000001</v>
      </c>
    </row>
    <row r="237" spans="1:16" x14ac:dyDescent="0.3">
      <c r="A237" s="472" t="s">
        <v>24</v>
      </c>
      <c r="B237" s="473"/>
      <c r="C237" s="473"/>
      <c r="D237" s="473"/>
      <c r="E237" s="473"/>
      <c r="F237" s="473"/>
      <c r="G237" s="473"/>
      <c r="H237" s="473"/>
      <c r="I237" s="473"/>
      <c r="J237" s="473"/>
      <c r="K237" s="473"/>
      <c r="L237" s="473"/>
      <c r="M237" s="473"/>
      <c r="N237" s="473"/>
      <c r="O237" s="473"/>
      <c r="P237" s="474"/>
    </row>
    <row r="238" spans="1:16" ht="15.6" x14ac:dyDescent="0.3">
      <c r="A238" s="475" t="s">
        <v>23</v>
      </c>
      <c r="B238" s="476"/>
      <c r="C238" s="345" t="s">
        <v>18</v>
      </c>
      <c r="D238" s="551">
        <f>252719+66082+1376113</f>
        <v>1694914</v>
      </c>
      <c r="E238" s="13">
        <f>257184+65189+1400224</f>
        <v>1722597</v>
      </c>
      <c r="F238" s="13">
        <f>262542+66082+1454697</f>
        <v>1783321</v>
      </c>
      <c r="G238" s="13">
        <f>254505+63403+1450232</f>
        <v>1768140</v>
      </c>
      <c r="H238" s="13">
        <f>256291+64296+1473450</f>
        <v>1794037</v>
      </c>
      <c r="I238" s="13">
        <f>258077+65189+1502026</f>
        <v>1825292</v>
      </c>
      <c r="J238" s="13">
        <f>258077+65189+1515421</f>
        <v>1838687</v>
      </c>
      <c r="K238" s="13">
        <f>257184+66975+1536853</f>
        <v>1861012</v>
      </c>
      <c r="L238" s="374">
        <v>1862798</v>
      </c>
      <c r="M238" s="374">
        <v>1813683</v>
      </c>
      <c r="N238" s="374">
        <v>1844045</v>
      </c>
      <c r="O238" s="374">
        <v>1881551</v>
      </c>
      <c r="P238" s="384">
        <f>SUM(D238:O238)</f>
        <v>21690077</v>
      </c>
    </row>
    <row r="239" spans="1:16" ht="15.6" x14ac:dyDescent="0.3">
      <c r="A239" s="475" t="s">
        <v>22</v>
      </c>
      <c r="B239" s="476"/>
      <c r="C239" s="345" t="s">
        <v>18</v>
      </c>
      <c r="D239" s="551">
        <v>10716</v>
      </c>
      <c r="E239" s="13">
        <v>10716</v>
      </c>
      <c r="F239" s="15">
        <v>10716</v>
      </c>
      <c r="G239" s="15">
        <v>9823</v>
      </c>
      <c r="H239" s="15">
        <v>9823</v>
      </c>
      <c r="I239" s="15">
        <v>9823</v>
      </c>
      <c r="J239" s="15">
        <v>9823</v>
      </c>
      <c r="K239" s="15">
        <v>9823</v>
      </c>
      <c r="L239" s="372">
        <v>8930</v>
      </c>
      <c r="M239" s="372">
        <v>8930</v>
      </c>
      <c r="N239" s="372">
        <v>8930</v>
      </c>
      <c r="O239" s="372">
        <v>8930</v>
      </c>
      <c r="P239" s="384">
        <f>SUM(D239:O239)</f>
        <v>116983</v>
      </c>
    </row>
    <row r="240" spans="1:16" ht="15.6" x14ac:dyDescent="0.3">
      <c r="A240" s="475" t="s">
        <v>21</v>
      </c>
      <c r="B240" s="476"/>
      <c r="C240" s="345" t="s">
        <v>18</v>
      </c>
      <c r="D240" s="551">
        <v>19646</v>
      </c>
      <c r="E240" s="13">
        <v>8930</v>
      </c>
      <c r="F240" s="15">
        <v>17860</v>
      </c>
      <c r="G240" s="15">
        <v>18753</v>
      </c>
      <c r="H240" s="15">
        <v>19646</v>
      </c>
      <c r="I240" s="15">
        <v>19646</v>
      </c>
      <c r="J240" s="15">
        <v>20539</v>
      </c>
      <c r="K240" s="15">
        <v>21432</v>
      </c>
      <c r="L240" s="372">
        <v>21432</v>
      </c>
      <c r="M240" s="372">
        <v>21432</v>
      </c>
      <c r="N240" s="372">
        <v>21432</v>
      </c>
      <c r="O240" s="372">
        <v>21432</v>
      </c>
      <c r="P240" s="384">
        <f>SUM(D240:O240)</f>
        <v>232180</v>
      </c>
    </row>
    <row r="241" spans="1:16" ht="15.6" x14ac:dyDescent="0.3">
      <c r="A241" s="475" t="s">
        <v>20</v>
      </c>
      <c r="B241" s="476"/>
      <c r="C241" s="345" t="s">
        <v>18</v>
      </c>
      <c r="D241" s="551">
        <v>11609</v>
      </c>
      <c r="E241" s="13">
        <v>18753</v>
      </c>
      <c r="F241" s="15">
        <v>9823</v>
      </c>
      <c r="G241" s="15">
        <v>8930</v>
      </c>
      <c r="H241" s="15">
        <v>8930</v>
      </c>
      <c r="I241" s="15">
        <v>8930</v>
      </c>
      <c r="J241" s="15">
        <v>8930</v>
      </c>
      <c r="K241" s="15">
        <v>10716</v>
      </c>
      <c r="L241" s="372">
        <v>11609</v>
      </c>
      <c r="M241" s="372">
        <v>10716</v>
      </c>
      <c r="N241" s="372">
        <v>11609</v>
      </c>
      <c r="O241" s="372">
        <v>12502</v>
      </c>
      <c r="P241" s="384">
        <f>SUM(D241:O241)</f>
        <v>133057</v>
      </c>
    </row>
    <row r="242" spans="1:16" ht="15.6" x14ac:dyDescent="0.3">
      <c r="A242" s="477" t="s">
        <v>19</v>
      </c>
      <c r="B242" s="478"/>
      <c r="C242" s="345" t="s">
        <v>18</v>
      </c>
      <c r="D242" s="445">
        <f t="shared" ref="D242:P242" si="181">SUM(D238:D241)</f>
        <v>1736885</v>
      </c>
      <c r="E242" s="445">
        <f t="shared" si="181"/>
        <v>1760996</v>
      </c>
      <c r="F242" s="445">
        <f t="shared" si="181"/>
        <v>1821720</v>
      </c>
      <c r="G242" s="445">
        <f t="shared" si="181"/>
        <v>1805646</v>
      </c>
      <c r="H242" s="445">
        <f t="shared" si="181"/>
        <v>1832436</v>
      </c>
      <c r="I242" s="445">
        <f t="shared" si="181"/>
        <v>1863691</v>
      </c>
      <c r="J242" s="445">
        <f t="shared" si="181"/>
        <v>1877979</v>
      </c>
      <c r="K242" s="445">
        <f t="shared" si="181"/>
        <v>1902983</v>
      </c>
      <c r="L242" s="445">
        <f t="shared" si="181"/>
        <v>1904769</v>
      </c>
      <c r="M242" s="445">
        <f t="shared" si="181"/>
        <v>1854761</v>
      </c>
      <c r="N242" s="445">
        <f t="shared" si="181"/>
        <v>1886016</v>
      </c>
      <c r="O242" s="445">
        <v>1924415</v>
      </c>
      <c r="P242" s="380">
        <f t="shared" si="181"/>
        <v>22172297</v>
      </c>
    </row>
    <row r="243" spans="1:16" ht="15.6" x14ac:dyDescent="0.3">
      <c r="A243" s="477" t="s">
        <v>214</v>
      </c>
      <c r="B243" s="478"/>
      <c r="C243" s="345" t="s">
        <v>18</v>
      </c>
      <c r="D243" s="437">
        <f>D230+D236+D242</f>
        <v>19188517.189999998</v>
      </c>
      <c r="E243" s="437">
        <f t="shared" ref="E243:N243" si="182">E230+E236+E242</f>
        <v>25818669.930000003</v>
      </c>
      <c r="F243" s="437">
        <f t="shared" si="182"/>
        <v>31366226.219999999</v>
      </c>
      <c r="G243" s="437">
        <f t="shared" si="182"/>
        <v>30821691.41</v>
      </c>
      <c r="H243" s="437">
        <f t="shared" si="182"/>
        <v>39311230.020000003</v>
      </c>
      <c r="I243" s="437">
        <f t="shared" si="182"/>
        <v>30742784.800000001</v>
      </c>
      <c r="J243" s="437">
        <f t="shared" si="182"/>
        <v>33805953.75</v>
      </c>
      <c r="K243" s="437">
        <f t="shared" si="182"/>
        <v>31576019.710000001</v>
      </c>
      <c r="L243" s="437">
        <f t="shared" si="182"/>
        <v>32722008.02</v>
      </c>
      <c r="M243" s="437">
        <f t="shared" si="182"/>
        <v>44440228.93</v>
      </c>
      <c r="N243" s="437">
        <f t="shared" si="182"/>
        <v>37447843.079999998</v>
      </c>
      <c r="O243" s="437">
        <v>28247746.649999999</v>
      </c>
      <c r="P243" s="380">
        <f t="shared" ref="P243" si="183">P216+P223+P236+P242</f>
        <v>390744638.47999996</v>
      </c>
    </row>
    <row r="244" spans="1:16" x14ac:dyDescent="0.3">
      <c r="A244" s="472" t="s">
        <v>204</v>
      </c>
      <c r="B244" s="473"/>
      <c r="C244" s="473"/>
      <c r="D244" s="473"/>
      <c r="E244" s="473"/>
      <c r="F244" s="473"/>
      <c r="G244" s="473"/>
      <c r="H244" s="473"/>
      <c r="I244" s="473"/>
      <c r="J244" s="473"/>
      <c r="K244" s="473"/>
      <c r="L244" s="473"/>
      <c r="M244" s="473"/>
      <c r="N244" s="473"/>
      <c r="O244" s="473"/>
      <c r="P244" s="474"/>
    </row>
    <row r="245" spans="1:16" ht="15.6" x14ac:dyDescent="0.3">
      <c r="A245" s="496" t="s">
        <v>205</v>
      </c>
      <c r="B245" s="497"/>
      <c r="C245" s="345" t="s">
        <v>18</v>
      </c>
      <c r="D245" s="154">
        <v>75977339.099999994</v>
      </c>
      <c r="E245" s="154">
        <v>80623250.730000004</v>
      </c>
      <c r="F245" s="154">
        <v>84092711.640000001</v>
      </c>
      <c r="G245" s="154">
        <v>80877912.090000004</v>
      </c>
      <c r="H245" s="154">
        <v>89244604.909999996</v>
      </c>
      <c r="I245" s="154">
        <v>92050472.370000005</v>
      </c>
      <c r="J245" s="154">
        <v>99390402.709999993</v>
      </c>
      <c r="K245" s="154">
        <v>89352726.170000002</v>
      </c>
      <c r="L245" s="449">
        <v>98729961.310000002</v>
      </c>
      <c r="M245" s="154">
        <v>88427947.400000006</v>
      </c>
      <c r="N245" s="449">
        <v>98029894.150000006</v>
      </c>
      <c r="O245" s="449">
        <v>103169500.08</v>
      </c>
      <c r="P245" s="450">
        <f>O245</f>
        <v>103169500.08</v>
      </c>
    </row>
    <row r="246" spans="1:16" ht="15.6" x14ac:dyDescent="0.3">
      <c r="A246" s="496" t="s">
        <v>206</v>
      </c>
      <c r="B246" s="497"/>
      <c r="C246" s="345" t="s">
        <v>18</v>
      </c>
      <c r="D246" s="449">
        <v>0</v>
      </c>
      <c r="E246" s="449">
        <v>0</v>
      </c>
      <c r="F246" s="449">
        <v>0</v>
      </c>
      <c r="G246" s="449"/>
      <c r="H246" s="449"/>
      <c r="I246" s="449"/>
      <c r="J246" s="449"/>
      <c r="K246" s="449"/>
      <c r="L246" s="449"/>
      <c r="M246" s="449"/>
      <c r="N246" s="449"/>
      <c r="O246" s="449"/>
      <c r="P246" s="450">
        <f>O246</f>
        <v>0</v>
      </c>
    </row>
    <row r="247" spans="1:16" ht="15.6" x14ac:dyDescent="0.3">
      <c r="A247" s="494" t="s">
        <v>207</v>
      </c>
      <c r="B247" s="495"/>
      <c r="C247" s="345" t="s">
        <v>18</v>
      </c>
      <c r="D247" s="451">
        <f>D245+D246</f>
        <v>75977339.099999994</v>
      </c>
      <c r="E247" s="451">
        <f t="shared" ref="E247:G247" si="184">E245+E246</f>
        <v>80623250.730000004</v>
      </c>
      <c r="F247" s="451">
        <f t="shared" si="184"/>
        <v>84092711.640000001</v>
      </c>
      <c r="G247" s="451">
        <f t="shared" si="184"/>
        <v>80877912.090000004</v>
      </c>
      <c r="H247" s="451">
        <f t="shared" ref="H247:P247" si="185">H245+H246</f>
        <v>89244604.909999996</v>
      </c>
      <c r="I247" s="451">
        <f t="shared" si="185"/>
        <v>92050472.370000005</v>
      </c>
      <c r="J247" s="451">
        <f t="shared" si="185"/>
        <v>99390402.709999993</v>
      </c>
      <c r="K247" s="451">
        <f t="shared" si="185"/>
        <v>89352726.170000002</v>
      </c>
      <c r="L247" s="451">
        <f t="shared" si="185"/>
        <v>98729961.310000002</v>
      </c>
      <c r="M247" s="451">
        <f t="shared" si="185"/>
        <v>88427947.400000006</v>
      </c>
      <c r="N247" s="452">
        <f t="shared" si="185"/>
        <v>98029894.150000006</v>
      </c>
      <c r="O247" s="452">
        <v>103169500.08</v>
      </c>
      <c r="P247" s="450">
        <f t="shared" si="185"/>
        <v>103169500.08</v>
      </c>
    </row>
    <row r="248" spans="1:16" x14ac:dyDescent="0.3">
      <c r="A248" s="472" t="s">
        <v>17</v>
      </c>
      <c r="B248" s="473"/>
      <c r="C248" s="473"/>
      <c r="D248" s="473"/>
      <c r="E248" s="473"/>
      <c r="F248" s="473"/>
      <c r="G248" s="473"/>
      <c r="H248" s="473"/>
      <c r="I248" s="473"/>
      <c r="J248" s="473"/>
      <c r="K248" s="473"/>
      <c r="L248" s="473"/>
      <c r="M248" s="473"/>
      <c r="N248" s="473"/>
      <c r="O248" s="473"/>
      <c r="P248" s="474"/>
    </row>
    <row r="249" spans="1:16" ht="15.6" x14ac:dyDescent="0.3">
      <c r="A249" s="487" t="s">
        <v>16</v>
      </c>
      <c r="B249" s="488"/>
      <c r="C249" s="356" t="s">
        <v>6</v>
      </c>
      <c r="D249" s="8">
        <f>D58/D243</f>
        <v>0.14091954960486452</v>
      </c>
      <c r="E249" s="8">
        <f t="shared" ref="E249:G249" si="186">E58/E243</f>
        <v>0.11639305619334821</v>
      </c>
      <c r="F249" s="8">
        <f t="shared" si="186"/>
        <v>9.7676245095958514E-2</v>
      </c>
      <c r="G249" s="8">
        <f t="shared" si="186"/>
        <v>9.3600443649370771E-2</v>
      </c>
      <c r="H249" s="453">
        <f t="shared" ref="H249:P249" si="187">H58/H243%</f>
        <v>7.0554711429505144</v>
      </c>
      <c r="I249" s="453">
        <f t="shared" si="187"/>
        <v>9.0096418330976977</v>
      </c>
      <c r="J249" s="453">
        <f t="shared" si="187"/>
        <v>9.1416567059581944</v>
      </c>
      <c r="K249" s="453">
        <f t="shared" si="187"/>
        <v>9.9324118280391094</v>
      </c>
      <c r="L249" s="453">
        <f t="shared" si="187"/>
        <v>10.021539599573757</v>
      </c>
      <c r="M249" s="453">
        <f t="shared" si="187"/>
        <v>5.6504618100760089</v>
      </c>
      <c r="N249" s="453">
        <f t="shared" si="187"/>
        <v>7.3458181786954873</v>
      </c>
      <c r="O249" s="453">
        <v>9.722599372364451</v>
      </c>
      <c r="P249" s="454">
        <f t="shared" si="187"/>
        <v>8.8844456389839621</v>
      </c>
    </row>
    <row r="250" spans="1:16" ht="15.6" x14ac:dyDescent="0.3">
      <c r="A250" s="487" t="s">
        <v>208</v>
      </c>
      <c r="B250" s="488"/>
      <c r="C250" s="356" t="s">
        <v>6</v>
      </c>
      <c r="D250" s="29">
        <f>D210/(D223+D245)</f>
        <v>7.7425106295659449E-2</v>
      </c>
      <c r="E250" s="29">
        <f t="shared" ref="E250:G250" si="188">E210/(E223+E245)</f>
        <v>0.14966225864986762</v>
      </c>
      <c r="F250" s="29">
        <f t="shared" si="188"/>
        <v>0.17355329973813508</v>
      </c>
      <c r="G250" s="29">
        <f t="shared" si="188"/>
        <v>0.13188654933365218</v>
      </c>
      <c r="H250" s="424">
        <f t="shared" ref="H250:P250" si="189">H210/(H223+H245)%</f>
        <v>8.842101447978413</v>
      </c>
      <c r="I250" s="424">
        <f t="shared" si="189"/>
        <v>15.9566567617528</v>
      </c>
      <c r="J250" s="424">
        <f t="shared" si="189"/>
        <v>6.1010592526926386</v>
      </c>
      <c r="K250" s="424">
        <f t="shared" si="189"/>
        <v>28.409164755353906</v>
      </c>
      <c r="L250" s="424">
        <f t="shared" si="189"/>
        <v>5.1336116443968995</v>
      </c>
      <c r="M250" s="424">
        <f t="shared" si="189"/>
        <v>24.69741100257222</v>
      </c>
      <c r="N250" s="424">
        <f t="shared" si="189"/>
        <v>9.7740625503828653</v>
      </c>
      <c r="O250" s="424">
        <v>12.50433143233712</v>
      </c>
      <c r="P250" s="425">
        <f t="shared" si="189"/>
        <v>59.996737079260129</v>
      </c>
    </row>
    <row r="251" spans="1:16" ht="16.2" thickBot="1" x14ac:dyDescent="0.35">
      <c r="A251" s="498" t="s">
        <v>15</v>
      </c>
      <c r="B251" s="499"/>
      <c r="C251" s="356" t="s">
        <v>6</v>
      </c>
      <c r="D251" s="29">
        <f>D210/D223</f>
        <v>0.71919065374615065</v>
      </c>
      <c r="E251" s="29">
        <f t="shared" ref="E251:G251" si="190">E210/E223</f>
        <v>0.98435628993422519</v>
      </c>
      <c r="F251" s="29">
        <f t="shared" si="190"/>
        <v>0.97897825492380608</v>
      </c>
      <c r="G251" s="29">
        <f t="shared" si="190"/>
        <v>0.88097479498881603</v>
      </c>
      <c r="H251" s="455">
        <f t="shared" ref="H251:P251" si="191">H210/H223%</f>
        <v>65.142585521001621</v>
      </c>
      <c r="I251" s="455">
        <f t="shared" si="191"/>
        <v>115.19484616273853</v>
      </c>
      <c r="J251" s="455">
        <f t="shared" si="191"/>
        <v>40.494883391283011</v>
      </c>
      <c r="K251" s="455">
        <f t="shared" si="191"/>
        <v>165.96843942037782</v>
      </c>
      <c r="L251" s="455">
        <f t="shared" si="191"/>
        <v>38.014355544495281</v>
      </c>
      <c r="M251" s="455">
        <f t="shared" si="191"/>
        <v>164.4668358856498</v>
      </c>
      <c r="N251" s="455">
        <f t="shared" si="191"/>
        <v>67.967420233401356</v>
      </c>
      <c r="O251" s="455">
        <v>91.286868657259646</v>
      </c>
      <c r="P251" s="456">
        <f t="shared" si="191"/>
        <v>93.498232075784983</v>
      </c>
    </row>
    <row r="252" spans="1:16" x14ac:dyDescent="0.3">
      <c r="A252" s="500" t="s">
        <v>14</v>
      </c>
      <c r="B252" s="501"/>
      <c r="C252" s="501"/>
      <c r="D252" s="501"/>
      <c r="E252" s="501"/>
      <c r="F252" s="501"/>
      <c r="G252" s="501"/>
      <c r="H252" s="501"/>
      <c r="I252" s="501"/>
      <c r="J252" s="501"/>
      <c r="K252" s="501"/>
      <c r="L252" s="501"/>
      <c r="M252" s="501"/>
      <c r="N252" s="501"/>
      <c r="O252" s="501"/>
      <c r="P252" s="502"/>
    </row>
    <row r="253" spans="1:16" s="351" customFormat="1" ht="15" customHeight="1" x14ac:dyDescent="0.3">
      <c r="A253" s="487" t="s">
        <v>13</v>
      </c>
      <c r="B253" s="488"/>
      <c r="C253" s="356" t="s">
        <v>3</v>
      </c>
      <c r="D253" s="4">
        <v>22</v>
      </c>
      <c r="E253" s="4">
        <v>9</v>
      </c>
      <c r="F253" s="4">
        <v>11</v>
      </c>
      <c r="G253" s="4">
        <v>9</v>
      </c>
      <c r="H253" s="4">
        <v>17</v>
      </c>
      <c r="I253" s="4">
        <v>25</v>
      </c>
      <c r="J253" s="4">
        <v>14</v>
      </c>
      <c r="K253" s="4">
        <v>10</v>
      </c>
      <c r="L253" s="379">
        <v>7</v>
      </c>
      <c r="M253" s="379">
        <v>5</v>
      </c>
      <c r="N253" s="379">
        <v>19</v>
      </c>
      <c r="O253" s="379">
        <v>17</v>
      </c>
      <c r="P253" s="457">
        <f>SUM(D253:O253)</f>
        <v>165</v>
      </c>
    </row>
    <row r="254" spans="1:16" s="351" customFormat="1" ht="15.6" x14ac:dyDescent="0.3">
      <c r="A254" s="487" t="s">
        <v>12</v>
      </c>
      <c r="B254" s="488"/>
      <c r="C254" s="356" t="s">
        <v>3</v>
      </c>
      <c r="D254" s="4">
        <v>1</v>
      </c>
      <c r="E254" s="4">
        <v>1</v>
      </c>
      <c r="F254" s="4">
        <v>1</v>
      </c>
      <c r="G254" s="4">
        <v>1</v>
      </c>
      <c r="H254" s="4">
        <v>1</v>
      </c>
      <c r="I254" s="4">
        <v>1</v>
      </c>
      <c r="J254" s="4">
        <v>1</v>
      </c>
      <c r="K254" s="4">
        <v>1</v>
      </c>
      <c r="L254" s="379">
        <v>1</v>
      </c>
      <c r="M254" s="379">
        <v>1</v>
      </c>
      <c r="N254" s="379">
        <v>1</v>
      </c>
      <c r="O254" s="379">
        <v>1</v>
      </c>
      <c r="P254" s="457">
        <f>SUM(D254:O254)</f>
        <v>12</v>
      </c>
    </row>
    <row r="255" spans="1:16" ht="15.75" customHeight="1" x14ac:dyDescent="0.3">
      <c r="A255" s="487" t="s">
        <v>11</v>
      </c>
      <c r="B255" s="488"/>
      <c r="C255" s="356" t="s">
        <v>3</v>
      </c>
      <c r="D255" s="4">
        <v>6</v>
      </c>
      <c r="E255" s="4">
        <v>6</v>
      </c>
      <c r="F255" s="4">
        <v>4</v>
      </c>
      <c r="G255" s="4">
        <v>5</v>
      </c>
      <c r="H255" s="4">
        <v>4</v>
      </c>
      <c r="I255" s="4">
        <v>4</v>
      </c>
      <c r="J255" s="4">
        <v>96</v>
      </c>
      <c r="K255" s="4">
        <v>3</v>
      </c>
      <c r="L255" s="379">
        <v>0</v>
      </c>
      <c r="M255" s="379">
        <f t="shared" ref="M255" si="192">M95</f>
        <v>247</v>
      </c>
      <c r="N255" s="379">
        <f t="shared" ref="N255" si="193">N95</f>
        <v>247</v>
      </c>
      <c r="O255" s="379">
        <v>241</v>
      </c>
      <c r="P255" s="457">
        <f>SUM(D255:O255)</f>
        <v>863</v>
      </c>
    </row>
    <row r="256" spans="1:16" ht="15.6" x14ac:dyDescent="0.3">
      <c r="A256" s="487" t="s">
        <v>10</v>
      </c>
      <c r="B256" s="488"/>
      <c r="C256" s="356" t="s">
        <v>3</v>
      </c>
      <c r="D256" s="4">
        <v>122</v>
      </c>
      <c r="E256" s="4">
        <v>126</v>
      </c>
      <c r="F256" s="4">
        <v>116</v>
      </c>
      <c r="G256" s="4">
        <v>97</v>
      </c>
      <c r="H256" s="4">
        <v>99</v>
      </c>
      <c r="I256" s="4">
        <v>99</v>
      </c>
      <c r="J256" s="4">
        <v>10</v>
      </c>
      <c r="K256" s="4">
        <v>99</v>
      </c>
      <c r="L256" s="379">
        <v>97</v>
      </c>
      <c r="M256" s="379">
        <f t="shared" ref="M256" si="194">M91</f>
        <v>5</v>
      </c>
      <c r="N256" s="379">
        <f t="shared" ref="N256" si="195">N91</f>
        <v>19</v>
      </c>
      <c r="O256" s="379">
        <v>17</v>
      </c>
      <c r="P256" s="457">
        <f>SUM(D256:O256)</f>
        <v>906</v>
      </c>
    </row>
    <row r="257" spans="1:16" ht="15.6" customHeight="1" x14ac:dyDescent="0.3">
      <c r="A257" s="487" t="s">
        <v>9</v>
      </c>
      <c r="B257" s="488"/>
      <c r="C257" s="356" t="s">
        <v>3</v>
      </c>
      <c r="D257" s="4">
        <v>30</v>
      </c>
      <c r="E257" s="4">
        <v>30</v>
      </c>
      <c r="F257" s="4">
        <v>30</v>
      </c>
      <c r="G257" s="4">
        <v>30</v>
      </c>
      <c r="H257" s="4">
        <v>30</v>
      </c>
      <c r="I257" s="4">
        <v>30</v>
      </c>
      <c r="J257" s="4">
        <v>30</v>
      </c>
      <c r="K257" s="4">
        <v>30</v>
      </c>
      <c r="L257" s="379">
        <v>27</v>
      </c>
      <c r="M257" s="379">
        <v>30</v>
      </c>
      <c r="N257" s="379">
        <v>30</v>
      </c>
      <c r="O257" s="379">
        <v>30</v>
      </c>
      <c r="P257" s="457">
        <f>SUM(D257:O257)</f>
        <v>357</v>
      </c>
    </row>
    <row r="258" spans="1:16" ht="15.6" x14ac:dyDescent="0.3">
      <c r="A258" s="477" t="s">
        <v>8</v>
      </c>
      <c r="B258" s="478"/>
      <c r="C258" s="356" t="s">
        <v>3</v>
      </c>
      <c r="D258" s="3">
        <f>D257/D256</f>
        <v>0.24590163934426229</v>
      </c>
      <c r="E258" s="3">
        <f t="shared" ref="E258:H258" si="196">E257/E256</f>
        <v>0.23809523809523808</v>
      </c>
      <c r="F258" s="3">
        <f t="shared" si="196"/>
        <v>0.25862068965517243</v>
      </c>
      <c r="G258" s="1">
        <f t="shared" si="196"/>
        <v>0.30927835051546393</v>
      </c>
      <c r="H258" s="1">
        <f t="shared" si="196"/>
        <v>0.30303030303030304</v>
      </c>
      <c r="I258" s="1">
        <v>1.25</v>
      </c>
      <c r="J258" s="378">
        <f t="shared" ref="J258:P258" si="197">J257/J256</f>
        <v>3</v>
      </c>
      <c r="K258" s="378">
        <f t="shared" si="197"/>
        <v>0.30303030303030304</v>
      </c>
      <c r="L258" s="378">
        <f t="shared" si="197"/>
        <v>0.27835051546391754</v>
      </c>
      <c r="M258" s="378">
        <f t="shared" si="197"/>
        <v>6</v>
      </c>
      <c r="N258" s="378">
        <f t="shared" si="197"/>
        <v>1.5789473684210527</v>
      </c>
      <c r="O258" s="378">
        <v>1.7647058823529411</v>
      </c>
      <c r="P258" s="457">
        <f t="shared" si="197"/>
        <v>0.39403973509933776</v>
      </c>
    </row>
    <row r="259" spans="1:16" ht="15.6" x14ac:dyDescent="0.3">
      <c r="A259" s="477" t="s">
        <v>7</v>
      </c>
      <c r="B259" s="478"/>
      <c r="C259" s="356" t="s">
        <v>6</v>
      </c>
      <c r="D259" s="1">
        <f>D256/D255*100</f>
        <v>2033.3333333333333</v>
      </c>
      <c r="E259" s="1">
        <f t="shared" ref="E259:L259" si="198">E256/E255*100</f>
        <v>2100</v>
      </c>
      <c r="F259" s="1">
        <f t="shared" si="198"/>
        <v>2900</v>
      </c>
      <c r="G259" s="1">
        <f t="shared" si="198"/>
        <v>1939.9999999999998</v>
      </c>
      <c r="H259" s="1">
        <f t="shared" si="198"/>
        <v>2475</v>
      </c>
      <c r="I259" s="1">
        <f t="shared" si="198"/>
        <v>2475</v>
      </c>
      <c r="J259" s="1">
        <f t="shared" si="198"/>
        <v>10.416666666666668</v>
      </c>
      <c r="K259" s="1">
        <f t="shared" si="198"/>
        <v>3300</v>
      </c>
      <c r="L259" s="1" t="e">
        <f t="shared" si="198"/>
        <v>#DIV/0!</v>
      </c>
      <c r="M259" s="548">
        <f t="shared" ref="M259:P259" si="199">M92/M255*100</f>
        <v>9.7165991902834001</v>
      </c>
      <c r="N259" s="548">
        <f t="shared" si="199"/>
        <v>7.6923076923076925</v>
      </c>
      <c r="O259" s="548">
        <v>9.5435684647302903</v>
      </c>
      <c r="P259" s="549">
        <f t="shared" si="199"/>
        <v>33.25608342989571</v>
      </c>
    </row>
    <row r="260" spans="1:16" x14ac:dyDescent="0.3">
      <c r="A260" s="472" t="s">
        <v>5</v>
      </c>
      <c r="B260" s="473"/>
      <c r="C260" s="473"/>
      <c r="D260" s="473"/>
      <c r="E260" s="473"/>
      <c r="F260" s="473"/>
      <c r="G260" s="473"/>
      <c r="H260" s="473"/>
      <c r="I260" s="473"/>
      <c r="J260" s="473"/>
      <c r="K260" s="473"/>
      <c r="L260" s="473"/>
      <c r="M260" s="473"/>
      <c r="N260" s="473"/>
      <c r="O260" s="473"/>
      <c r="P260" s="474"/>
    </row>
    <row r="261" spans="1:16" s="351" customFormat="1" ht="15" customHeight="1" x14ac:dyDescent="0.3">
      <c r="A261" s="487" t="s">
        <v>4</v>
      </c>
      <c r="B261" s="488"/>
      <c r="C261" s="356" t="s">
        <v>3</v>
      </c>
      <c r="D261" s="4">
        <v>50</v>
      </c>
      <c r="E261" s="4">
        <v>24</v>
      </c>
      <c r="F261" s="4">
        <v>30</v>
      </c>
      <c r="G261" s="4">
        <v>38</v>
      </c>
      <c r="H261" s="4">
        <v>15</v>
      </c>
      <c r="I261" s="4">
        <v>11</v>
      </c>
      <c r="J261" s="4">
        <v>14</v>
      </c>
      <c r="K261" s="4">
        <v>15</v>
      </c>
      <c r="L261" s="379">
        <v>10</v>
      </c>
      <c r="M261" s="379">
        <v>11</v>
      </c>
      <c r="N261" s="379">
        <v>5</v>
      </c>
      <c r="O261" s="379">
        <v>11</v>
      </c>
      <c r="P261" s="380">
        <f>SUM(D261:O261)</f>
        <v>234</v>
      </c>
    </row>
    <row r="262" spans="1:16" s="351" customFormat="1" ht="15.75" customHeight="1" x14ac:dyDescent="0.3">
      <c r="A262" s="487" t="s">
        <v>2</v>
      </c>
      <c r="B262" s="488"/>
      <c r="C262" s="356" t="s">
        <v>0</v>
      </c>
      <c r="D262" s="4">
        <v>60</v>
      </c>
      <c r="E262" s="4">
        <v>60</v>
      </c>
      <c r="F262" s="4">
        <v>60</v>
      </c>
      <c r="G262" s="4">
        <v>60</v>
      </c>
      <c r="H262" s="4">
        <v>60</v>
      </c>
      <c r="I262" s="4">
        <v>60</v>
      </c>
      <c r="J262" s="4">
        <v>60</v>
      </c>
      <c r="K262" s="4">
        <v>60</v>
      </c>
      <c r="L262" s="379">
        <v>50</v>
      </c>
      <c r="M262" s="379">
        <v>60</v>
      </c>
      <c r="N262" s="379">
        <v>60</v>
      </c>
      <c r="O262" s="379">
        <v>60</v>
      </c>
      <c r="P262" s="380">
        <f>SUM(D262:O262)</f>
        <v>710</v>
      </c>
    </row>
    <row r="263" spans="1:16" ht="16.2" thickBot="1" x14ac:dyDescent="0.35">
      <c r="A263" s="485" t="s">
        <v>1</v>
      </c>
      <c r="B263" s="486"/>
      <c r="C263" s="461" t="s">
        <v>0</v>
      </c>
      <c r="D263" s="3">
        <f>D261/D262</f>
        <v>0.83333333333333337</v>
      </c>
      <c r="E263" s="3">
        <f t="shared" ref="E263:G263" si="200">E261/E262</f>
        <v>0.4</v>
      </c>
      <c r="F263" s="3">
        <f t="shared" si="200"/>
        <v>0.5</v>
      </c>
      <c r="G263" s="15">
        <f t="shared" si="200"/>
        <v>0.6333333333333333</v>
      </c>
      <c r="H263" s="462">
        <f t="shared" ref="H263:I263" si="201">H261/H262</f>
        <v>0.25</v>
      </c>
      <c r="I263" s="462">
        <f t="shared" si="201"/>
        <v>0.18333333333333332</v>
      </c>
      <c r="J263" s="462">
        <f>J261/J262</f>
        <v>0.23333333333333334</v>
      </c>
      <c r="K263" s="462">
        <f t="shared" ref="K263:N263" si="202">K261/K262</f>
        <v>0.25</v>
      </c>
      <c r="L263" s="462">
        <f t="shared" si="202"/>
        <v>0.2</v>
      </c>
      <c r="M263" s="462">
        <f t="shared" si="202"/>
        <v>0.18333333333333332</v>
      </c>
      <c r="N263" s="462">
        <f t="shared" si="202"/>
        <v>8.3333333333333329E-2</v>
      </c>
      <c r="O263" s="462">
        <v>0.18333333333333332</v>
      </c>
      <c r="P263" s="463">
        <f t="shared" ref="P263" si="203">P261/P262</f>
        <v>0.3295774647887324</v>
      </c>
    </row>
  </sheetData>
  <mergeCells count="1">
    <mergeCell ref="B29:B3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63"/>
  <sheetViews>
    <sheetView workbookViewId="0">
      <pane xSplit="2" ySplit="8" topLeftCell="N9" activePane="bottomRight" state="frozen"/>
      <selection pane="topRight" activeCell="C1" sqref="C1"/>
      <selection pane="bottomLeft" activeCell="A9" sqref="A9"/>
      <selection pane="bottomRight" activeCell="O1" sqref="O1:O1048576"/>
    </sheetView>
  </sheetViews>
  <sheetFormatPr defaultRowHeight="14.4" x14ac:dyDescent="0.3"/>
  <cols>
    <col min="1" max="1" width="39" customWidth="1"/>
    <col min="2" max="2" width="15.88671875" bestFit="1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</cols>
  <sheetData>
    <row r="1" spans="1:16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16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16" ht="18" thickBot="1" x14ac:dyDescent="0.35">
      <c r="A3" s="315" t="s">
        <v>217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16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16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3"/>
    </row>
    <row r="6" spans="1:16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16" ht="16.2" thickBot="1" x14ac:dyDescent="0.35">
      <c r="A7" s="589" t="s">
        <v>174</v>
      </c>
      <c r="B7" s="590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6" ht="15" thickBot="1" x14ac:dyDescent="0.35">
      <c r="A8" s="600" t="s">
        <v>159</v>
      </c>
      <c r="B8" s="601"/>
      <c r="C8" s="601"/>
      <c r="D8" s="601"/>
      <c r="E8" s="601"/>
      <c r="F8" s="601"/>
      <c r="G8" s="601"/>
      <c r="H8" s="601"/>
      <c r="I8" s="601"/>
      <c r="J8" s="601"/>
      <c r="K8" s="601"/>
      <c r="L8" s="601"/>
      <c r="M8" s="601"/>
      <c r="N8" s="601"/>
      <c r="O8" s="601"/>
      <c r="P8" s="602"/>
    </row>
    <row r="9" spans="1:16" ht="15.6" x14ac:dyDescent="0.3">
      <c r="A9" s="603" t="s">
        <v>176</v>
      </c>
      <c r="B9" s="604"/>
      <c r="C9" s="58" t="s">
        <v>152</v>
      </c>
      <c r="D9" s="557">
        <v>20645</v>
      </c>
      <c r="E9" s="176">
        <v>26000</v>
      </c>
      <c r="F9" s="176">
        <v>25006</v>
      </c>
      <c r="G9" s="176">
        <v>25832</v>
      </c>
      <c r="H9" s="176">
        <v>25158</v>
      </c>
      <c r="I9" s="176">
        <v>23447</v>
      </c>
      <c r="J9" s="176">
        <v>23417</v>
      </c>
      <c r="K9" s="176">
        <v>21185</v>
      </c>
      <c r="L9" s="57">
        <v>21185</v>
      </c>
      <c r="M9" s="57">
        <v>22587</v>
      </c>
      <c r="N9" s="176">
        <v>21686</v>
      </c>
      <c r="O9" s="57">
        <v>21393</v>
      </c>
      <c r="P9" s="56">
        <f>SUM(D9:O9)</f>
        <v>277541</v>
      </c>
    </row>
    <row r="10" spans="1:16" x14ac:dyDescent="0.3">
      <c r="A10" s="595" t="s">
        <v>177</v>
      </c>
      <c r="B10" s="596"/>
      <c r="C10" s="596"/>
      <c r="D10" s="596"/>
      <c r="E10" s="596"/>
      <c r="F10" s="596"/>
      <c r="G10" s="596"/>
      <c r="H10" s="596"/>
      <c r="I10" s="596"/>
      <c r="J10" s="596"/>
      <c r="K10" s="596"/>
      <c r="L10" s="596"/>
      <c r="M10" s="596"/>
      <c r="N10" s="596"/>
      <c r="O10" s="596"/>
      <c r="P10" s="597"/>
    </row>
    <row r="11" spans="1:16" ht="15.6" x14ac:dyDescent="0.3">
      <c r="A11" s="598" t="s">
        <v>157</v>
      </c>
      <c r="B11" s="599"/>
      <c r="C11" s="11" t="s">
        <v>152</v>
      </c>
      <c r="D11" s="555">
        <f>67+445+10456</f>
        <v>10968</v>
      </c>
      <c r="E11" s="26">
        <f>81+359+13256</f>
        <v>13696</v>
      </c>
      <c r="F11" s="26">
        <f>91+423+13471</f>
        <v>13985</v>
      </c>
      <c r="G11" s="26">
        <f>82+379+12695</f>
        <v>13156</v>
      </c>
      <c r="H11" s="26">
        <f>96+547+13603</f>
        <v>14246</v>
      </c>
      <c r="I11" s="26">
        <f>105+413+13937</f>
        <v>14455</v>
      </c>
      <c r="J11" s="26">
        <v>15986</v>
      </c>
      <c r="K11" s="26">
        <f>103+307+14615</f>
        <v>15025</v>
      </c>
      <c r="L11" s="26">
        <v>13022</v>
      </c>
      <c r="M11" s="26">
        <v>13549</v>
      </c>
      <c r="N11" s="26">
        <f>75+313+14476</f>
        <v>14864</v>
      </c>
      <c r="O11" s="26">
        <v>13763</v>
      </c>
      <c r="P11" s="55">
        <f>SUM(D11:O11)</f>
        <v>166715</v>
      </c>
    </row>
    <row r="12" spans="1:16" ht="15.6" x14ac:dyDescent="0.3">
      <c r="A12" s="598" t="s">
        <v>156</v>
      </c>
      <c r="B12" s="599"/>
      <c r="C12" s="11" t="s">
        <v>152</v>
      </c>
      <c r="D12" s="555">
        <v>655</v>
      </c>
      <c r="E12" s="26">
        <v>631</v>
      </c>
      <c r="F12" s="26">
        <v>754</v>
      </c>
      <c r="G12" s="26">
        <v>654</v>
      </c>
      <c r="H12" s="26">
        <v>762</v>
      </c>
      <c r="I12" s="26">
        <v>859</v>
      </c>
      <c r="J12" s="26">
        <v>637</v>
      </c>
      <c r="K12" s="26">
        <v>859</v>
      </c>
      <c r="L12" s="26">
        <v>750</v>
      </c>
      <c r="M12" s="26">
        <v>836</v>
      </c>
      <c r="N12" s="26">
        <v>772</v>
      </c>
      <c r="O12" s="26">
        <v>712</v>
      </c>
      <c r="P12" s="55">
        <f>SUM(D12:O12)</f>
        <v>8881</v>
      </c>
    </row>
    <row r="13" spans="1:16" ht="15.6" x14ac:dyDescent="0.3">
      <c r="A13" s="598" t="s">
        <v>155</v>
      </c>
      <c r="B13" s="599"/>
      <c r="C13" s="11" t="s">
        <v>152</v>
      </c>
      <c r="D13" s="555">
        <v>31</v>
      </c>
      <c r="E13" s="26">
        <v>24</v>
      </c>
      <c r="F13" s="26">
        <v>40</v>
      </c>
      <c r="G13" s="26">
        <v>113</v>
      </c>
      <c r="H13" s="26">
        <v>130</v>
      </c>
      <c r="I13" s="26">
        <v>124</v>
      </c>
      <c r="J13" s="26">
        <v>177</v>
      </c>
      <c r="K13" s="26">
        <v>75</v>
      </c>
      <c r="L13" s="26">
        <v>48</v>
      </c>
      <c r="M13" s="26">
        <v>38</v>
      </c>
      <c r="N13" s="26">
        <v>64</v>
      </c>
      <c r="O13" s="26">
        <v>84</v>
      </c>
      <c r="P13" s="55">
        <f>SUM(D13:O13)</f>
        <v>948</v>
      </c>
    </row>
    <row r="14" spans="1:16" ht="15.6" x14ac:dyDescent="0.3">
      <c r="A14" s="591" t="s">
        <v>154</v>
      </c>
      <c r="B14" s="592"/>
      <c r="C14" s="11" t="s">
        <v>152</v>
      </c>
      <c r="D14" s="555">
        <v>225</v>
      </c>
      <c r="E14" s="26">
        <v>213</v>
      </c>
      <c r="F14" s="26">
        <v>212</v>
      </c>
      <c r="G14" s="26">
        <v>392</v>
      </c>
      <c r="H14" s="26">
        <v>194</v>
      </c>
      <c r="I14" s="26">
        <v>108</v>
      </c>
      <c r="J14" s="26">
        <v>602</v>
      </c>
      <c r="K14" s="26">
        <v>85</v>
      </c>
      <c r="L14" s="26">
        <v>71</v>
      </c>
      <c r="M14" s="26">
        <v>84</v>
      </c>
      <c r="N14" s="26">
        <v>108</v>
      </c>
      <c r="O14" s="26">
        <v>145</v>
      </c>
      <c r="P14" s="55">
        <f>SUM(D14:O14)</f>
        <v>2439</v>
      </c>
    </row>
    <row r="15" spans="1:16" s="63" customFormat="1" ht="15.6" x14ac:dyDescent="0.3">
      <c r="A15" s="593" t="s">
        <v>158</v>
      </c>
      <c r="B15" s="594"/>
      <c r="C15" s="62" t="s">
        <v>152</v>
      </c>
      <c r="D15" s="34">
        <f t="shared" ref="D15:P15" si="0">SUM(D11:D14)</f>
        <v>11879</v>
      </c>
      <c r="E15" s="34">
        <f t="shared" si="0"/>
        <v>14564</v>
      </c>
      <c r="F15" s="34">
        <f t="shared" si="0"/>
        <v>14991</v>
      </c>
      <c r="G15" s="34">
        <f t="shared" si="0"/>
        <v>14315</v>
      </c>
      <c r="H15" s="34">
        <f t="shared" si="0"/>
        <v>15332</v>
      </c>
      <c r="I15" s="34">
        <f t="shared" si="0"/>
        <v>15546</v>
      </c>
      <c r="J15" s="34">
        <f t="shared" si="0"/>
        <v>17402</v>
      </c>
      <c r="K15" s="34">
        <f t="shared" si="0"/>
        <v>16044</v>
      </c>
      <c r="L15" s="34">
        <f t="shared" si="0"/>
        <v>13891</v>
      </c>
      <c r="M15" s="34">
        <f t="shared" si="0"/>
        <v>14507</v>
      </c>
      <c r="N15" s="34">
        <f t="shared" si="0"/>
        <v>15808</v>
      </c>
      <c r="O15" s="34">
        <v>14704</v>
      </c>
      <c r="P15" s="55">
        <f t="shared" si="0"/>
        <v>178983</v>
      </c>
    </row>
    <row r="16" spans="1:16" s="2" customFormat="1" x14ac:dyDescent="0.3">
      <c r="A16" s="595" t="s">
        <v>178</v>
      </c>
      <c r="B16" s="596"/>
      <c r="C16" s="596"/>
      <c r="D16" s="596"/>
      <c r="E16" s="596"/>
      <c r="F16" s="596"/>
      <c r="G16" s="596"/>
      <c r="H16" s="596"/>
      <c r="I16" s="596"/>
      <c r="J16" s="596"/>
      <c r="K16" s="596"/>
      <c r="L16" s="596"/>
      <c r="M16" s="596"/>
      <c r="N16" s="596"/>
      <c r="O16" s="596"/>
      <c r="P16" s="597"/>
    </row>
    <row r="17" spans="1:17" s="2" customFormat="1" ht="15.6" x14ac:dyDescent="0.3">
      <c r="A17" s="598" t="s">
        <v>180</v>
      </c>
      <c r="B17" s="599"/>
      <c r="C17" s="11" t="s">
        <v>152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55">
        <f>SUM(D17:O17)</f>
        <v>0</v>
      </c>
      <c r="Q17" s="169"/>
    </row>
    <row r="18" spans="1:17" s="2" customFormat="1" ht="15.6" x14ac:dyDescent="0.3">
      <c r="A18" s="598" t="s">
        <v>181</v>
      </c>
      <c r="B18" s="599"/>
      <c r="C18" s="11" t="s">
        <v>152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55">
        <f>SUM(D18:O18)</f>
        <v>0</v>
      </c>
      <c r="Q18" s="169"/>
    </row>
    <row r="19" spans="1:17" s="2" customFormat="1" ht="15.6" x14ac:dyDescent="0.3">
      <c r="A19" s="598" t="s">
        <v>182</v>
      </c>
      <c r="B19" s="599"/>
      <c r="C19" s="11" t="s">
        <v>152</v>
      </c>
      <c r="D19" s="26">
        <v>2896</v>
      </c>
      <c r="E19" s="26">
        <v>2624.8</v>
      </c>
      <c r="F19" s="26">
        <v>2399</v>
      </c>
      <c r="G19" s="26">
        <v>2220.8000000000002</v>
      </c>
      <c r="H19" s="26">
        <v>3493.4</v>
      </c>
      <c r="I19" s="26">
        <v>2577.1</v>
      </c>
      <c r="J19" s="26"/>
      <c r="K19" s="26">
        <v>2572.3000000000002</v>
      </c>
      <c r="L19" s="26">
        <v>2833.8</v>
      </c>
      <c r="M19" s="26">
        <v>2421.6</v>
      </c>
      <c r="N19" s="26">
        <v>3557.9</v>
      </c>
      <c r="O19" s="26">
        <v>2069.4</v>
      </c>
      <c r="P19" s="55">
        <f>SUM(D19:O19)</f>
        <v>29666.100000000002</v>
      </c>
      <c r="Q19" s="169"/>
    </row>
    <row r="20" spans="1:17" s="2" customFormat="1" ht="15.6" x14ac:dyDescent="0.3">
      <c r="A20" s="591" t="s">
        <v>183</v>
      </c>
      <c r="B20" s="592"/>
      <c r="C20" s="11" t="s">
        <v>152</v>
      </c>
      <c r="D20" s="555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55">
        <f>SUM(D20:O20)</f>
        <v>0</v>
      </c>
      <c r="Q20" s="169"/>
    </row>
    <row r="21" spans="1:17" s="73" customFormat="1" ht="15.6" x14ac:dyDescent="0.3">
      <c r="A21" s="593" t="s">
        <v>184</v>
      </c>
      <c r="B21" s="594"/>
      <c r="C21" s="62" t="s">
        <v>152</v>
      </c>
      <c r="D21" s="34">
        <f>SUM(D17:D20)</f>
        <v>2896</v>
      </c>
      <c r="E21" s="34">
        <f t="shared" ref="E21:P21" si="1">SUM(E17:E20)</f>
        <v>2624.8</v>
      </c>
      <c r="F21" s="34">
        <f t="shared" si="1"/>
        <v>2399</v>
      </c>
      <c r="G21" s="34">
        <f t="shared" si="1"/>
        <v>2220.8000000000002</v>
      </c>
      <c r="H21" s="34">
        <f t="shared" si="1"/>
        <v>3493.4</v>
      </c>
      <c r="I21" s="34">
        <f t="shared" si="1"/>
        <v>2577.1</v>
      </c>
      <c r="J21" s="34">
        <f t="shared" si="1"/>
        <v>0</v>
      </c>
      <c r="K21" s="34">
        <f t="shared" si="1"/>
        <v>2572.3000000000002</v>
      </c>
      <c r="L21" s="34">
        <f t="shared" si="1"/>
        <v>2833.8</v>
      </c>
      <c r="M21" s="34">
        <f t="shared" si="1"/>
        <v>2421.6</v>
      </c>
      <c r="N21" s="34">
        <f t="shared" si="1"/>
        <v>3557.9</v>
      </c>
      <c r="O21" s="34">
        <v>2069.4</v>
      </c>
      <c r="P21" s="55">
        <f t="shared" si="1"/>
        <v>29666.100000000002</v>
      </c>
      <c r="Q21" s="169"/>
    </row>
    <row r="22" spans="1:17" s="2" customFormat="1" ht="15.6" x14ac:dyDescent="0.3">
      <c r="A22" s="75" t="s">
        <v>185</v>
      </c>
      <c r="B22" s="79"/>
      <c r="C22" s="11" t="s">
        <v>152</v>
      </c>
      <c r="D22" s="34">
        <f>D21+D15</f>
        <v>14775</v>
      </c>
      <c r="E22" s="34">
        <f t="shared" ref="E22:P22" si="2">E21+E15</f>
        <v>17188.8</v>
      </c>
      <c r="F22" s="34">
        <f t="shared" si="2"/>
        <v>17390</v>
      </c>
      <c r="G22" s="34">
        <f t="shared" si="2"/>
        <v>16535.8</v>
      </c>
      <c r="H22" s="34">
        <f t="shared" si="2"/>
        <v>18825.400000000001</v>
      </c>
      <c r="I22" s="34">
        <f t="shared" si="2"/>
        <v>18123.099999999999</v>
      </c>
      <c r="J22" s="34">
        <f t="shared" si="2"/>
        <v>17402</v>
      </c>
      <c r="K22" s="34">
        <f t="shared" si="2"/>
        <v>18616.3</v>
      </c>
      <c r="L22" s="34">
        <f t="shared" si="2"/>
        <v>16724.8</v>
      </c>
      <c r="M22" s="34">
        <f t="shared" si="2"/>
        <v>16928.599999999999</v>
      </c>
      <c r="N22" s="34">
        <f t="shared" si="2"/>
        <v>19365.900000000001</v>
      </c>
      <c r="O22" s="34">
        <v>16773.400000000001</v>
      </c>
      <c r="P22" s="55">
        <f t="shared" si="2"/>
        <v>208649.1</v>
      </c>
    </row>
    <row r="23" spans="1:17" x14ac:dyDescent="0.3">
      <c r="A23" s="607"/>
      <c r="B23" s="608"/>
      <c r="C23" s="608"/>
      <c r="D23" s="608"/>
      <c r="E23" s="608"/>
      <c r="F23" s="608"/>
      <c r="G23" s="608"/>
      <c r="H23" s="608"/>
      <c r="I23" s="608"/>
      <c r="J23" s="608"/>
      <c r="K23" s="608"/>
      <c r="L23" s="608"/>
      <c r="M23" s="608"/>
      <c r="N23" s="608"/>
      <c r="O23" s="608"/>
      <c r="P23" s="609"/>
    </row>
    <row r="24" spans="1:17" ht="15.6" x14ac:dyDescent="0.3">
      <c r="A24" s="610" t="s">
        <v>179</v>
      </c>
      <c r="B24" s="37" t="s">
        <v>153</v>
      </c>
      <c r="C24" s="5" t="s">
        <v>152</v>
      </c>
      <c r="D24" s="54">
        <f>D9-D22</f>
        <v>5870</v>
      </c>
      <c r="E24" s="54">
        <f t="shared" ref="E24:G24" si="3">E9-E22</f>
        <v>8811.2000000000007</v>
      </c>
      <c r="F24" s="54">
        <f t="shared" si="3"/>
        <v>7616</v>
      </c>
      <c r="G24" s="54">
        <f t="shared" si="3"/>
        <v>9296.2000000000007</v>
      </c>
      <c r="H24" s="54">
        <f t="shared" ref="H24:P24" si="4">H9-H22</f>
        <v>6332.5999999999985</v>
      </c>
      <c r="I24" s="54">
        <f t="shared" si="4"/>
        <v>5323.9000000000015</v>
      </c>
      <c r="J24" s="54">
        <f t="shared" si="4"/>
        <v>6015</v>
      </c>
      <c r="K24" s="54">
        <f t="shared" si="4"/>
        <v>2568.7000000000007</v>
      </c>
      <c r="L24" s="54">
        <f t="shared" si="4"/>
        <v>4460.2000000000007</v>
      </c>
      <c r="M24" s="54">
        <f t="shared" si="4"/>
        <v>5658.4000000000015</v>
      </c>
      <c r="N24" s="54">
        <f t="shared" si="4"/>
        <v>2320.0999999999985</v>
      </c>
      <c r="O24" s="54">
        <v>4619.5999999999985</v>
      </c>
      <c r="P24" s="100">
        <f t="shared" si="4"/>
        <v>68891.899999999994</v>
      </c>
    </row>
    <row r="25" spans="1:17" ht="15.6" x14ac:dyDescent="0.3">
      <c r="A25" s="611"/>
      <c r="B25" s="53" t="s">
        <v>151</v>
      </c>
      <c r="C25" s="52" t="s">
        <v>6</v>
      </c>
      <c r="D25" s="51">
        <f t="shared" ref="D25:P25" si="5">D24/D9</f>
        <v>0.28433034633083071</v>
      </c>
      <c r="E25" s="51">
        <f t="shared" si="5"/>
        <v>0.33889230769230771</v>
      </c>
      <c r="F25" s="51">
        <f t="shared" si="5"/>
        <v>0.30456690394305369</v>
      </c>
      <c r="G25" s="51">
        <f t="shared" si="5"/>
        <v>0.35987147723753488</v>
      </c>
      <c r="H25" s="51">
        <f t="shared" si="5"/>
        <v>0.25171317274823113</v>
      </c>
      <c r="I25" s="51">
        <f t="shared" si="5"/>
        <v>0.2270610312619952</v>
      </c>
      <c r="J25" s="51">
        <f t="shared" si="5"/>
        <v>0.25686467096553783</v>
      </c>
      <c r="K25" s="51">
        <f t="shared" si="5"/>
        <v>0.12125088506018412</v>
      </c>
      <c r="L25" s="51">
        <f t="shared" si="5"/>
        <v>0.21053575643143738</v>
      </c>
      <c r="M25" s="51">
        <f t="shared" si="5"/>
        <v>0.25051578341523895</v>
      </c>
      <c r="N25" s="51">
        <f t="shared" si="5"/>
        <v>0.10698607396476983</v>
      </c>
      <c r="O25" s="51">
        <v>0.21593979339036126</v>
      </c>
      <c r="P25" s="101">
        <f t="shared" si="5"/>
        <v>0.24822242479489515</v>
      </c>
    </row>
    <row r="26" spans="1:17" x14ac:dyDescent="0.3">
      <c r="A26" s="595" t="s">
        <v>150</v>
      </c>
      <c r="B26" s="596"/>
      <c r="C26" s="596"/>
      <c r="D26" s="596"/>
      <c r="E26" s="596"/>
      <c r="F26" s="596"/>
      <c r="G26" s="596"/>
      <c r="H26" s="596"/>
      <c r="I26" s="596"/>
      <c r="J26" s="596"/>
      <c r="K26" s="596"/>
      <c r="L26" s="596"/>
      <c r="M26" s="596"/>
      <c r="N26" s="596"/>
      <c r="O26" s="596"/>
      <c r="P26" s="597"/>
    </row>
    <row r="27" spans="1:17" x14ac:dyDescent="0.3">
      <c r="A27" s="612" t="s">
        <v>149</v>
      </c>
      <c r="B27" s="613"/>
      <c r="C27" s="613"/>
      <c r="D27" s="613"/>
      <c r="E27" s="613"/>
      <c r="F27" s="613"/>
      <c r="G27" s="613"/>
      <c r="H27" s="613"/>
      <c r="I27" s="613"/>
      <c r="J27" s="613"/>
      <c r="K27" s="613"/>
      <c r="L27" s="613"/>
      <c r="M27" s="613"/>
      <c r="N27" s="613"/>
      <c r="O27" s="613"/>
      <c r="P27" s="614"/>
    </row>
    <row r="28" spans="1:17" ht="15.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7" ht="15.6" x14ac:dyDescent="0.3">
      <c r="A29" s="587" t="s">
        <v>146</v>
      </c>
      <c r="B29" s="585">
        <v>3525.29</v>
      </c>
      <c r="C29" s="5" t="s">
        <v>140</v>
      </c>
      <c r="D29" s="4">
        <v>18</v>
      </c>
      <c r="E29" s="4">
        <v>19</v>
      </c>
      <c r="F29" s="4">
        <v>16</v>
      </c>
      <c r="G29" s="4">
        <v>17</v>
      </c>
      <c r="H29" s="4">
        <v>18</v>
      </c>
      <c r="I29" s="4">
        <v>18</v>
      </c>
      <c r="J29" s="4">
        <v>20</v>
      </c>
      <c r="K29" s="4">
        <v>19</v>
      </c>
      <c r="L29" s="43">
        <v>20</v>
      </c>
      <c r="M29" s="43">
        <v>18</v>
      </c>
      <c r="N29" s="43">
        <v>18</v>
      </c>
      <c r="O29" s="43">
        <v>18</v>
      </c>
      <c r="P29" s="45">
        <f>SUM(D29:O29)</f>
        <v>219</v>
      </c>
    </row>
    <row r="30" spans="1:17" ht="15.6" x14ac:dyDescent="0.3">
      <c r="A30" s="588"/>
      <c r="B30" s="586"/>
      <c r="C30" s="42" t="s">
        <v>139</v>
      </c>
      <c r="D30" s="15">
        <f t="shared" ref="D30:K30" si="6">D29/(D9/1000)</f>
        <v>0.87188181157665301</v>
      </c>
      <c r="E30" s="15">
        <f t="shared" si="6"/>
        <v>0.73076923076923073</v>
      </c>
      <c r="F30" s="15">
        <f t="shared" si="6"/>
        <v>0.63984643685515474</v>
      </c>
      <c r="G30" s="15">
        <f t="shared" si="6"/>
        <v>0.65809848250232272</v>
      </c>
      <c r="H30" s="15">
        <f t="shared" si="6"/>
        <v>0.71547817791557355</v>
      </c>
      <c r="I30" s="15">
        <f t="shared" si="6"/>
        <v>0.76768883012752165</v>
      </c>
      <c r="J30" s="15">
        <f t="shared" si="6"/>
        <v>0.85408036896271933</v>
      </c>
      <c r="K30" s="15">
        <f t="shared" si="6"/>
        <v>0.89686098654708524</v>
      </c>
      <c r="L30" s="15">
        <v>0.94406419636535288</v>
      </c>
      <c r="M30" s="15">
        <f t="shared" ref="M30:P30" si="7">M29/(M9/1000)</f>
        <v>0.796918581484925</v>
      </c>
      <c r="N30" s="15">
        <f t="shared" si="7"/>
        <v>0.83002858987365125</v>
      </c>
      <c r="O30" s="15">
        <v>0.84139671855279763</v>
      </c>
      <c r="P30" s="103">
        <f t="shared" si="7"/>
        <v>0.78907260548891878</v>
      </c>
    </row>
    <row r="31" spans="1:17" ht="15.6" x14ac:dyDescent="0.3">
      <c r="A31" s="605" t="s">
        <v>145</v>
      </c>
      <c r="B31" s="243"/>
      <c r="C31" s="5" t="s">
        <v>140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5">
        <f>SUM(D31:O31)</f>
        <v>0</v>
      </c>
    </row>
    <row r="32" spans="1:17" ht="15.6" x14ac:dyDescent="0.3">
      <c r="A32" s="606"/>
      <c r="B32" s="244">
        <v>1060.01</v>
      </c>
      <c r="C32" s="42" t="s">
        <v>139</v>
      </c>
      <c r="D32" s="15">
        <f t="shared" ref="D32:G32" si="8">D31/(D9/1000)</f>
        <v>0</v>
      </c>
      <c r="E32" s="15">
        <f t="shared" si="8"/>
        <v>0</v>
      </c>
      <c r="F32" s="15">
        <f t="shared" si="8"/>
        <v>0</v>
      </c>
      <c r="G32" s="15">
        <f t="shared" si="8"/>
        <v>0</v>
      </c>
      <c r="H32" s="15">
        <f t="shared" ref="H32:P32" si="9">H31/(H9/1000)</f>
        <v>0</v>
      </c>
      <c r="I32" s="15">
        <f t="shared" si="9"/>
        <v>0</v>
      </c>
      <c r="J32" s="15">
        <f t="shared" si="9"/>
        <v>0</v>
      </c>
      <c r="K32" s="15">
        <f t="shared" si="9"/>
        <v>0</v>
      </c>
      <c r="L32" s="15">
        <f t="shared" si="9"/>
        <v>0</v>
      </c>
      <c r="M32" s="15">
        <f t="shared" si="9"/>
        <v>0</v>
      </c>
      <c r="N32" s="15">
        <f t="shared" si="9"/>
        <v>0</v>
      </c>
      <c r="O32" s="15">
        <v>0</v>
      </c>
      <c r="P32" s="103">
        <f t="shared" si="9"/>
        <v>0</v>
      </c>
    </row>
    <row r="33" spans="1:16" ht="15.6" x14ac:dyDescent="0.3">
      <c r="A33" s="605" t="s">
        <v>144</v>
      </c>
      <c r="B33" s="243"/>
      <c r="C33" s="5" t="s">
        <v>140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5">
        <f>SUM(D33:O33)</f>
        <v>0</v>
      </c>
    </row>
    <row r="34" spans="1:16" ht="15.6" x14ac:dyDescent="0.3">
      <c r="A34" s="606"/>
      <c r="B34" s="244">
        <v>1228.29</v>
      </c>
      <c r="C34" s="42" t="s">
        <v>139</v>
      </c>
      <c r="D34" s="15">
        <f t="shared" ref="D34:G34" si="10">D33/(D9/1000)</f>
        <v>0</v>
      </c>
      <c r="E34" s="15">
        <f t="shared" si="10"/>
        <v>0</v>
      </c>
      <c r="F34" s="15">
        <f t="shared" si="10"/>
        <v>0</v>
      </c>
      <c r="G34" s="15">
        <f t="shared" si="10"/>
        <v>0</v>
      </c>
      <c r="H34" s="15">
        <f t="shared" ref="H34:P34" si="11">H33/(H9/1000)</f>
        <v>0</v>
      </c>
      <c r="I34" s="15">
        <f t="shared" si="11"/>
        <v>0</v>
      </c>
      <c r="J34" s="15">
        <f t="shared" si="11"/>
        <v>0</v>
      </c>
      <c r="K34" s="15">
        <f t="shared" si="11"/>
        <v>0</v>
      </c>
      <c r="L34" s="15">
        <f t="shared" si="11"/>
        <v>0</v>
      </c>
      <c r="M34" s="15">
        <f t="shared" si="11"/>
        <v>0</v>
      </c>
      <c r="N34" s="15">
        <f t="shared" si="11"/>
        <v>0</v>
      </c>
      <c r="O34" s="15">
        <v>0</v>
      </c>
      <c r="P34" s="103">
        <f t="shared" si="11"/>
        <v>0</v>
      </c>
    </row>
    <row r="35" spans="1:16" ht="15.6" x14ac:dyDescent="0.3">
      <c r="A35" s="605" t="s">
        <v>143</v>
      </c>
      <c r="B35" s="243"/>
      <c r="C35" s="5" t="s">
        <v>126</v>
      </c>
      <c r="D35" s="43"/>
      <c r="E35" s="43"/>
      <c r="F35" s="43"/>
      <c r="G35" s="43"/>
      <c r="H35" s="13"/>
      <c r="I35" s="13"/>
      <c r="J35" s="13"/>
      <c r="K35" s="13"/>
      <c r="L35" s="13"/>
      <c r="M35" s="13"/>
      <c r="N35" s="13"/>
      <c r="O35" s="13"/>
      <c r="P35" s="103"/>
    </row>
    <row r="36" spans="1:16" ht="15.6" x14ac:dyDescent="0.3">
      <c r="A36" s="606"/>
      <c r="B36" s="244">
        <v>3726.73</v>
      </c>
      <c r="C36" s="5" t="s">
        <v>142</v>
      </c>
      <c r="D36" s="15">
        <f t="shared" ref="D36:G38" si="12">D35/(D11/1000)</f>
        <v>0</v>
      </c>
      <c r="E36" s="15">
        <f t="shared" si="12"/>
        <v>0</v>
      </c>
      <c r="F36" s="15">
        <f t="shared" si="12"/>
        <v>0</v>
      </c>
      <c r="G36" s="15">
        <f t="shared" si="12"/>
        <v>0</v>
      </c>
      <c r="H36" s="13"/>
      <c r="I36" s="13"/>
      <c r="J36" s="13"/>
      <c r="K36" s="13"/>
      <c r="L36" s="13"/>
      <c r="M36" s="13"/>
      <c r="N36" s="13"/>
      <c r="O36" s="13"/>
      <c r="P36" s="103"/>
    </row>
    <row r="37" spans="1:16" ht="15.6" x14ac:dyDescent="0.3">
      <c r="A37" s="605" t="s">
        <v>186</v>
      </c>
      <c r="B37" s="243"/>
      <c r="C37" s="5" t="s">
        <v>126</v>
      </c>
      <c r="D37" s="43"/>
      <c r="E37" s="43"/>
      <c r="F37" s="43"/>
      <c r="G37" s="43"/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5">
        <f>SUM(D37:O37)</f>
        <v>0</v>
      </c>
    </row>
    <row r="38" spans="1:16" ht="15.6" x14ac:dyDescent="0.3">
      <c r="A38" s="606"/>
      <c r="B38" s="244">
        <v>3951.59</v>
      </c>
      <c r="C38" s="5" t="s">
        <v>142</v>
      </c>
      <c r="D38" s="15">
        <f t="shared" si="12"/>
        <v>0</v>
      </c>
      <c r="E38" s="15">
        <f t="shared" si="12"/>
        <v>0</v>
      </c>
      <c r="F38" s="15">
        <f t="shared" si="12"/>
        <v>0</v>
      </c>
      <c r="G38" s="15">
        <f t="shared" si="12"/>
        <v>0</v>
      </c>
      <c r="H38" s="15">
        <f t="shared" ref="H38:P38" si="13">H37/(H9/1000)</f>
        <v>0</v>
      </c>
      <c r="I38" s="15">
        <f t="shared" si="13"/>
        <v>0</v>
      </c>
      <c r="J38" s="15">
        <f t="shared" si="13"/>
        <v>0</v>
      </c>
      <c r="K38" s="15">
        <f t="shared" si="13"/>
        <v>0</v>
      </c>
      <c r="L38" s="15">
        <f t="shared" si="13"/>
        <v>0</v>
      </c>
      <c r="M38" s="15">
        <f t="shared" si="13"/>
        <v>0</v>
      </c>
      <c r="N38" s="15">
        <f t="shared" si="13"/>
        <v>0</v>
      </c>
      <c r="O38" s="15">
        <v>0</v>
      </c>
      <c r="P38" s="103">
        <f t="shared" si="13"/>
        <v>0</v>
      </c>
    </row>
    <row r="39" spans="1:16" ht="15.6" x14ac:dyDescent="0.3">
      <c r="A39" s="605" t="s">
        <v>141</v>
      </c>
      <c r="B39" s="243"/>
      <c r="C39" s="5" t="s">
        <v>140</v>
      </c>
      <c r="D39" s="43"/>
      <c r="E39" s="43"/>
      <c r="F39" s="43"/>
      <c r="G39" s="43"/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5">
        <f>SUM(D39:O39)</f>
        <v>0</v>
      </c>
    </row>
    <row r="40" spans="1:16" ht="15.6" x14ac:dyDescent="0.3">
      <c r="A40" s="606"/>
      <c r="B40" s="244">
        <v>1950</v>
      </c>
      <c r="C40" s="42" t="s">
        <v>139</v>
      </c>
      <c r="D40" s="15">
        <f t="shared" ref="D40:G40" si="14">D39/(D15/1000)</f>
        <v>0</v>
      </c>
      <c r="E40" s="15">
        <f t="shared" si="14"/>
        <v>0</v>
      </c>
      <c r="F40" s="15">
        <f t="shared" si="14"/>
        <v>0</v>
      </c>
      <c r="G40" s="15">
        <f t="shared" si="14"/>
        <v>0</v>
      </c>
      <c r="H40" s="15">
        <f t="shared" ref="H40:P40" si="15">H39/(H9/1000)</f>
        <v>0</v>
      </c>
      <c r="I40" s="15">
        <f t="shared" si="15"/>
        <v>0</v>
      </c>
      <c r="J40" s="15">
        <f t="shared" si="15"/>
        <v>0</v>
      </c>
      <c r="K40" s="15">
        <f t="shared" si="15"/>
        <v>0</v>
      </c>
      <c r="L40" s="15">
        <f t="shared" si="15"/>
        <v>0</v>
      </c>
      <c r="M40" s="15">
        <f t="shared" si="15"/>
        <v>0</v>
      </c>
      <c r="N40" s="15">
        <f t="shared" si="15"/>
        <v>0</v>
      </c>
      <c r="O40" s="15">
        <v>0</v>
      </c>
      <c r="P40" s="103">
        <f t="shared" si="15"/>
        <v>0</v>
      </c>
    </row>
    <row r="41" spans="1:16" ht="15.6" x14ac:dyDescent="0.3">
      <c r="A41" s="591" t="s">
        <v>138</v>
      </c>
      <c r="B41" s="592"/>
      <c r="C41" s="11" t="s">
        <v>31</v>
      </c>
      <c r="D41" s="41">
        <f>(D29*$B29)+(D31*$B31)+(D33*$B33)+(D35*$B35)+(D37*$B37)+(D39*$B39)</f>
        <v>63455.22</v>
      </c>
      <c r="E41" s="41">
        <f t="shared" ref="E41:N41" si="16">(E29*$B29)+(E31*$B31)+(E33*$B33)+(E35*$B35)+(E37*$B37)+(E39*$B39)</f>
        <v>66980.509999999995</v>
      </c>
      <c r="F41" s="41">
        <f t="shared" si="16"/>
        <v>56404.639999999999</v>
      </c>
      <c r="G41" s="41">
        <f t="shared" si="16"/>
        <v>59929.93</v>
      </c>
      <c r="H41" s="41">
        <f t="shared" si="16"/>
        <v>63455.22</v>
      </c>
      <c r="I41" s="41">
        <f t="shared" si="16"/>
        <v>63455.22</v>
      </c>
      <c r="J41" s="41">
        <f t="shared" si="16"/>
        <v>70505.8</v>
      </c>
      <c r="K41" s="41">
        <f t="shared" si="16"/>
        <v>66980.509999999995</v>
      </c>
      <c r="L41" s="41">
        <f t="shared" si="16"/>
        <v>70505.8</v>
      </c>
      <c r="M41" s="41">
        <f t="shared" si="16"/>
        <v>63455.22</v>
      </c>
      <c r="N41" s="41">
        <f t="shared" si="16"/>
        <v>63455.22</v>
      </c>
      <c r="O41" s="41">
        <v>63455.22</v>
      </c>
      <c r="P41" s="39">
        <f>SUM(D41:O41)</f>
        <v>772038.50999999989</v>
      </c>
    </row>
    <row r="42" spans="1:16" ht="15.6" x14ac:dyDescent="0.3">
      <c r="A42" s="615" t="s">
        <v>137</v>
      </c>
      <c r="B42" s="616"/>
      <c r="C42" s="42" t="s">
        <v>115</v>
      </c>
      <c r="D42" s="15">
        <f t="shared" ref="D42:P42" si="17">D41/D9</f>
        <v>3.073636231533059</v>
      </c>
      <c r="E42" s="15">
        <f t="shared" si="17"/>
        <v>2.5761734615384615</v>
      </c>
      <c r="F42" s="15">
        <f t="shared" si="17"/>
        <v>2.2556442453811085</v>
      </c>
      <c r="G42" s="15">
        <f t="shared" si="17"/>
        <v>2.3199879993806132</v>
      </c>
      <c r="H42" s="15">
        <f t="shared" si="17"/>
        <v>2.5222680658239924</v>
      </c>
      <c r="I42" s="15">
        <f t="shared" si="17"/>
        <v>2.7063257559602509</v>
      </c>
      <c r="J42" s="15">
        <f t="shared" si="17"/>
        <v>3.0108809839005852</v>
      </c>
      <c r="K42" s="15">
        <f t="shared" si="17"/>
        <v>3.1616950672645738</v>
      </c>
      <c r="L42" s="15">
        <f t="shared" si="17"/>
        <v>3.328100070804815</v>
      </c>
      <c r="M42" s="15">
        <f t="shared" si="17"/>
        <v>2.8093691061229911</v>
      </c>
      <c r="N42" s="15">
        <f t="shared" si="17"/>
        <v>2.9260914875956838</v>
      </c>
      <c r="O42" s="15">
        <v>2.966167437946992</v>
      </c>
      <c r="P42" s="44">
        <f t="shared" si="17"/>
        <v>2.7817097654040301</v>
      </c>
    </row>
    <row r="43" spans="1:16" x14ac:dyDescent="0.3">
      <c r="A43" s="617" t="s">
        <v>136</v>
      </c>
      <c r="B43" s="618"/>
      <c r="C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  <c r="P43" s="619"/>
    </row>
    <row r="44" spans="1:16" ht="15.6" x14ac:dyDescent="0.3">
      <c r="A44" s="591" t="s">
        <v>135</v>
      </c>
      <c r="B44" s="592"/>
      <c r="C44" s="11" t="s">
        <v>134</v>
      </c>
      <c r="D44" s="4">
        <v>7291</v>
      </c>
      <c r="E44" s="4">
        <v>7560</v>
      </c>
      <c r="F44" s="4">
        <v>6761</v>
      </c>
      <c r="G44" s="4">
        <v>6807</v>
      </c>
      <c r="H44" s="4">
        <v>8470</v>
      </c>
      <c r="I44" s="4">
        <v>8774</v>
      </c>
      <c r="J44" s="4">
        <v>8772</v>
      </c>
      <c r="K44" s="4">
        <v>7570</v>
      </c>
      <c r="L44" s="43">
        <v>7499</v>
      </c>
      <c r="M44" s="43">
        <v>7299</v>
      </c>
      <c r="N44" s="43">
        <v>6771</v>
      </c>
      <c r="O44" s="43"/>
      <c r="P44" s="39">
        <f>SUM(D44:O44)</f>
        <v>83574</v>
      </c>
    </row>
    <row r="45" spans="1:16" ht="15.6" x14ac:dyDescent="0.3">
      <c r="A45" s="615" t="s">
        <v>133</v>
      </c>
      <c r="B45" s="616"/>
      <c r="C45" s="42" t="s">
        <v>132</v>
      </c>
      <c r="D45" s="15">
        <f t="shared" ref="D45:J45" si="18">D44/D9</f>
        <v>0.35316057156696534</v>
      </c>
      <c r="E45" s="15">
        <f t="shared" si="18"/>
        <v>0.29076923076923078</v>
      </c>
      <c r="F45" s="15">
        <f t="shared" si="18"/>
        <v>0.27037510997360631</v>
      </c>
      <c r="G45" s="15">
        <f t="shared" si="18"/>
        <v>0.26351037472901828</v>
      </c>
      <c r="H45" s="15">
        <f t="shared" si="18"/>
        <v>0.33667223149693937</v>
      </c>
      <c r="I45" s="15">
        <f t="shared" si="18"/>
        <v>0.37420565530771527</v>
      </c>
      <c r="J45" s="15">
        <f t="shared" si="18"/>
        <v>0.37459964982704874</v>
      </c>
      <c r="K45" s="15">
        <f t="shared" ref="K45:P45" si="19">K44/K9</f>
        <v>0.35732829832428603</v>
      </c>
      <c r="L45" s="15">
        <v>0.35397687042718906</v>
      </c>
      <c r="M45" s="15">
        <v>0.32315048479213709</v>
      </c>
      <c r="N45" s="15">
        <f t="shared" si="19"/>
        <v>0.31222908789080511</v>
      </c>
      <c r="O45" s="15">
        <v>0</v>
      </c>
      <c r="P45" s="103">
        <f t="shared" si="19"/>
        <v>0.3011230773111</v>
      </c>
    </row>
    <row r="46" spans="1:16" ht="15.6" x14ac:dyDescent="0.3">
      <c r="A46" s="620" t="s">
        <v>131</v>
      </c>
      <c r="B46" s="621"/>
      <c r="C46" s="5" t="s">
        <v>31</v>
      </c>
      <c r="D46" s="41">
        <f>151.1*D44</f>
        <v>1101670.0999999999</v>
      </c>
      <c r="E46" s="41">
        <f t="shared" ref="E46:I46" si="20">151.1*E44</f>
        <v>1142316</v>
      </c>
      <c r="F46" s="41">
        <f t="shared" si="20"/>
        <v>1021587.1</v>
      </c>
      <c r="G46" s="41">
        <f t="shared" si="20"/>
        <v>1028537.7</v>
      </c>
      <c r="H46" s="41">
        <f t="shared" si="20"/>
        <v>1279817</v>
      </c>
      <c r="I46" s="41">
        <f t="shared" si="20"/>
        <v>1325751.3999999999</v>
      </c>
      <c r="J46" s="3">
        <f t="shared" ref="J46:N46" si="21">1.165*(14100+(J44*119.1))</f>
        <v>1233554.6580000001</v>
      </c>
      <c r="K46" s="3">
        <f t="shared" si="21"/>
        <v>1066775.355</v>
      </c>
      <c r="L46" s="3">
        <f t="shared" si="21"/>
        <v>1056923.9985</v>
      </c>
      <c r="M46" s="3">
        <f t="shared" si="21"/>
        <v>1029173.6984999999</v>
      </c>
      <c r="N46" s="3">
        <f t="shared" si="21"/>
        <v>955912.90650000004</v>
      </c>
      <c r="O46" s="3">
        <v>16426.5</v>
      </c>
      <c r="P46" s="39">
        <f>SUM(D46:O46)</f>
        <v>12258446.4165</v>
      </c>
    </row>
    <row r="47" spans="1:16" s="2" customFormat="1" ht="15.6" x14ac:dyDescent="0.3">
      <c r="A47" s="591" t="s">
        <v>130</v>
      </c>
      <c r="B47" s="592"/>
      <c r="C47" s="11" t="s">
        <v>115</v>
      </c>
      <c r="D47" s="15">
        <f t="shared" ref="D47:G47" si="22">D46/D9</f>
        <v>53.362562363768461</v>
      </c>
      <c r="E47" s="15">
        <f t="shared" si="22"/>
        <v>43.93523076923077</v>
      </c>
      <c r="F47" s="15">
        <f t="shared" si="22"/>
        <v>40.853679117011914</v>
      </c>
      <c r="G47" s="15">
        <f t="shared" si="22"/>
        <v>39.816417621554656</v>
      </c>
      <c r="H47" s="15">
        <f t="shared" ref="H47:P47" si="23">H46/H9</f>
        <v>50.871174179187534</v>
      </c>
      <c r="I47" s="15">
        <f t="shared" si="23"/>
        <v>56.542474516995775</v>
      </c>
      <c r="J47" s="15">
        <f t="shared" si="23"/>
        <v>52.677740872016059</v>
      </c>
      <c r="K47" s="15">
        <f t="shared" si="23"/>
        <v>50.355220911021945</v>
      </c>
      <c r="L47" s="15">
        <f t="shared" si="23"/>
        <v>49.890205263157895</v>
      </c>
      <c r="M47" s="15">
        <f t="shared" si="23"/>
        <v>45.564869106122991</v>
      </c>
      <c r="N47" s="15">
        <f t="shared" si="23"/>
        <v>44.079724545789915</v>
      </c>
      <c r="O47" s="15">
        <v>0.76784462207264059</v>
      </c>
      <c r="P47" s="103">
        <f t="shared" si="23"/>
        <v>44.168055950292029</v>
      </c>
    </row>
    <row r="48" spans="1:16" x14ac:dyDescent="0.3">
      <c r="A48" s="617" t="s">
        <v>129</v>
      </c>
      <c r="B48" s="618"/>
      <c r="C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  <c r="P48" s="619"/>
    </row>
    <row r="49" spans="1:16" ht="15.6" x14ac:dyDescent="0.3">
      <c r="A49" s="591" t="s">
        <v>128</v>
      </c>
      <c r="B49" s="592"/>
      <c r="C49" s="5" t="s">
        <v>127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9">
        <f>SUM(D49:O49)</f>
        <v>0</v>
      </c>
    </row>
    <row r="50" spans="1:16" ht="15.6" x14ac:dyDescent="0.3">
      <c r="A50" s="591" t="s">
        <v>187</v>
      </c>
      <c r="B50" s="592"/>
      <c r="C50" s="5" t="s">
        <v>126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9">
        <f>SUM(D50:O50)</f>
        <v>0</v>
      </c>
    </row>
    <row r="51" spans="1:16" ht="15.6" x14ac:dyDescent="0.3">
      <c r="A51" s="620" t="s">
        <v>125</v>
      </c>
      <c r="B51" s="621"/>
      <c r="C51" s="5" t="s">
        <v>31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40">
        <f>SUM(D51:O51)</f>
        <v>0</v>
      </c>
    </row>
    <row r="52" spans="1:16" ht="15.6" x14ac:dyDescent="0.3">
      <c r="A52" s="591" t="s">
        <v>124</v>
      </c>
      <c r="B52" s="592"/>
      <c r="C52" s="5" t="s">
        <v>31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40">
        <f>SUM(D52:O52)</f>
        <v>0</v>
      </c>
    </row>
    <row r="53" spans="1:16" x14ac:dyDescent="0.3">
      <c r="A53" s="617" t="s">
        <v>123</v>
      </c>
      <c r="B53" s="618"/>
      <c r="C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  <c r="P53" s="619"/>
    </row>
    <row r="54" spans="1:16" ht="15.6" x14ac:dyDescent="0.3">
      <c r="A54" s="591" t="s">
        <v>122</v>
      </c>
      <c r="B54" s="592"/>
      <c r="C54" s="11" t="s">
        <v>18</v>
      </c>
      <c r="D54" s="13">
        <v>1522952.068</v>
      </c>
      <c r="E54" s="13">
        <v>1522952.068</v>
      </c>
      <c r="F54" s="13">
        <v>1522952.068</v>
      </c>
      <c r="G54" s="13">
        <v>1522952.068</v>
      </c>
      <c r="H54" s="13">
        <v>1522952.068</v>
      </c>
      <c r="I54" s="13">
        <v>1522952.068</v>
      </c>
      <c r="J54" s="13">
        <v>1522952.068</v>
      </c>
      <c r="K54" s="13">
        <v>1522952.068</v>
      </c>
      <c r="L54" s="13"/>
      <c r="M54" s="13"/>
      <c r="N54" s="13"/>
      <c r="O54" s="13"/>
      <c r="P54" s="39">
        <f>SUM(D54:O54)</f>
        <v>12183616.544</v>
      </c>
    </row>
    <row r="55" spans="1:16" ht="15.6" x14ac:dyDescent="0.3">
      <c r="A55" s="78" t="s">
        <v>121</v>
      </c>
      <c r="B55" s="79"/>
      <c r="C55" s="11" t="s">
        <v>18</v>
      </c>
      <c r="D55" s="13">
        <v>174038.8</v>
      </c>
      <c r="E55" s="13">
        <v>174038.8</v>
      </c>
      <c r="F55" s="13">
        <v>174038.8</v>
      </c>
      <c r="G55" s="13">
        <v>174038.8</v>
      </c>
      <c r="H55" s="13">
        <v>174038.8</v>
      </c>
      <c r="I55" s="13">
        <v>174038.8</v>
      </c>
      <c r="J55" s="13">
        <v>174038.8</v>
      </c>
      <c r="K55" s="13">
        <v>174038.8</v>
      </c>
      <c r="L55" s="13"/>
      <c r="M55" s="13"/>
      <c r="N55" s="13"/>
      <c r="O55" s="13"/>
      <c r="P55" s="39">
        <f>SUM(D55:O55)</f>
        <v>1392310.4000000001</v>
      </c>
    </row>
    <row r="56" spans="1:16" ht="15.6" x14ac:dyDescent="0.3">
      <c r="A56" s="591" t="s">
        <v>120</v>
      </c>
      <c r="B56" s="592"/>
      <c r="C56" s="5" t="s">
        <v>18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39">
        <f>SUM(D56:O56)</f>
        <v>0</v>
      </c>
    </row>
    <row r="57" spans="1:16" x14ac:dyDescent="0.3">
      <c r="A57" s="617" t="s">
        <v>119</v>
      </c>
      <c r="B57" s="618"/>
      <c r="C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  <c r="P57" s="619"/>
    </row>
    <row r="58" spans="1:16" ht="15.6" x14ac:dyDescent="0.3">
      <c r="A58" s="620" t="s">
        <v>118</v>
      </c>
      <c r="B58" s="621"/>
      <c r="C58" s="5" t="s">
        <v>18</v>
      </c>
      <c r="D58" s="13">
        <f>D41+D46+D51+D52+D54+D55+D56</f>
        <v>2862116.1879999996</v>
      </c>
      <c r="E58" s="13">
        <f t="shared" ref="E58:G58" si="24">E41+E46+E51+E52+E54+E55+E56</f>
        <v>2906287.3779999996</v>
      </c>
      <c r="F58" s="13">
        <f t="shared" si="24"/>
        <v>2774982.608</v>
      </c>
      <c r="G58" s="13">
        <f t="shared" si="24"/>
        <v>2785458.4979999997</v>
      </c>
      <c r="H58" s="13">
        <f t="shared" ref="H58:N58" si="25">H41+H46+H51+H52+H54+H55+H56</f>
        <v>3040263.0879999995</v>
      </c>
      <c r="I58" s="13">
        <f t="shared" si="25"/>
        <v>3086197.4879999999</v>
      </c>
      <c r="J58" s="13">
        <f t="shared" si="25"/>
        <v>3001051.3259999999</v>
      </c>
      <c r="K58" s="13">
        <f t="shared" si="25"/>
        <v>2830746.733</v>
      </c>
      <c r="L58" s="13">
        <f t="shared" si="25"/>
        <v>1127429.7985</v>
      </c>
      <c r="M58" s="13">
        <f t="shared" si="25"/>
        <v>1092628.9184999999</v>
      </c>
      <c r="N58" s="13">
        <f t="shared" si="25"/>
        <v>1019368.1265</v>
      </c>
      <c r="O58" s="13">
        <v>79881.72</v>
      </c>
      <c r="P58" s="64">
        <f>SUM(D58:O58)</f>
        <v>26606411.870499995</v>
      </c>
    </row>
    <row r="59" spans="1:16" ht="15.6" x14ac:dyDescent="0.3">
      <c r="A59" s="620" t="s">
        <v>117</v>
      </c>
      <c r="B59" s="621"/>
      <c r="C59" s="5" t="s">
        <v>115</v>
      </c>
      <c r="D59" s="15">
        <f t="shared" ref="D59:G59" si="26">D58/D9</f>
        <v>138.63483594090576</v>
      </c>
      <c r="E59" s="15">
        <f t="shared" si="26"/>
        <v>111.78028376923075</v>
      </c>
      <c r="F59" s="15">
        <f t="shared" si="26"/>
        <v>110.97267087898905</v>
      </c>
      <c r="G59" s="15">
        <f t="shared" si="26"/>
        <v>107.82976532982346</v>
      </c>
      <c r="H59" s="15">
        <f t="shared" ref="H59:P59" si="27">H58/H9</f>
        <v>120.84677192145638</v>
      </c>
      <c r="I59" s="15">
        <f t="shared" si="27"/>
        <v>131.62440772806755</v>
      </c>
      <c r="J59" s="15">
        <f t="shared" si="27"/>
        <v>128.15695118930691</v>
      </c>
      <c r="K59" s="15">
        <f t="shared" si="27"/>
        <v>133.62033198017465</v>
      </c>
      <c r="L59" s="15">
        <f t="shared" si="27"/>
        <v>53.218305333962711</v>
      </c>
      <c r="M59" s="15">
        <f t="shared" si="27"/>
        <v>48.374238212245977</v>
      </c>
      <c r="N59" s="15">
        <f t="shared" si="27"/>
        <v>47.005816033385592</v>
      </c>
      <c r="O59" s="15">
        <v>3.7340120600196327</v>
      </c>
      <c r="P59" s="103">
        <f t="shared" si="27"/>
        <v>95.864797887519302</v>
      </c>
    </row>
    <row r="60" spans="1:16" ht="15.6" x14ac:dyDescent="0.3">
      <c r="A60" s="620" t="s">
        <v>116</v>
      </c>
      <c r="B60" s="621"/>
      <c r="C60" s="5" t="s">
        <v>115</v>
      </c>
      <c r="D60" s="15">
        <f>D58/D22</f>
        <v>193.71344758037222</v>
      </c>
      <c r="E60" s="15">
        <f t="shared" ref="E60:G60" si="28">E58/E22</f>
        <v>169.08029519221816</v>
      </c>
      <c r="F60" s="15">
        <f t="shared" si="28"/>
        <v>159.57346797009777</v>
      </c>
      <c r="G60" s="15">
        <f t="shared" si="28"/>
        <v>168.45018069884733</v>
      </c>
      <c r="H60" s="15">
        <f t="shared" ref="H60:N60" si="29">H58/H22</f>
        <v>161.49792769343543</v>
      </c>
      <c r="I60" s="15">
        <f t="shared" si="29"/>
        <v>170.29081603037008</v>
      </c>
      <c r="J60" s="15">
        <f t="shared" si="29"/>
        <v>172.45439179404664</v>
      </c>
      <c r="K60" s="15">
        <f t="shared" si="29"/>
        <v>152.05742994042856</v>
      </c>
      <c r="L60" s="15">
        <f t="shared" si="29"/>
        <v>67.410659529560903</v>
      </c>
      <c r="M60" s="15">
        <f t="shared" si="29"/>
        <v>64.543371483761206</v>
      </c>
      <c r="N60" s="15">
        <f t="shared" si="29"/>
        <v>52.637271002122283</v>
      </c>
      <c r="O60" s="15">
        <v>4.7624047599174881</v>
      </c>
      <c r="P60" s="104">
        <f>P58/P22</f>
        <v>127.51750125210218</v>
      </c>
    </row>
    <row r="61" spans="1:16" ht="15.6" x14ac:dyDescent="0.3">
      <c r="A61" s="591" t="s">
        <v>114</v>
      </c>
      <c r="B61" s="592"/>
      <c r="C61" s="5" t="s">
        <v>3</v>
      </c>
      <c r="D61" s="4">
        <v>6</v>
      </c>
      <c r="E61" s="4">
        <v>6</v>
      </c>
      <c r="F61" s="4">
        <v>6</v>
      </c>
      <c r="G61" s="4">
        <v>6</v>
      </c>
      <c r="H61" s="4">
        <v>6</v>
      </c>
      <c r="I61" s="4">
        <v>6</v>
      </c>
      <c r="J61" s="4">
        <v>6</v>
      </c>
      <c r="K61" s="4">
        <v>6</v>
      </c>
      <c r="L61" s="4">
        <v>6</v>
      </c>
      <c r="M61" s="4">
        <v>6</v>
      </c>
      <c r="N61" s="4">
        <v>6</v>
      </c>
      <c r="O61" s="4">
        <v>6</v>
      </c>
      <c r="P61" s="9">
        <f>O61</f>
        <v>6</v>
      </c>
    </row>
    <row r="62" spans="1:16" ht="15.6" customHeight="1" x14ac:dyDescent="0.3">
      <c r="A62" s="620" t="s">
        <v>113</v>
      </c>
      <c r="B62" s="621"/>
      <c r="C62" s="5" t="s">
        <v>112</v>
      </c>
      <c r="D62" s="15">
        <f t="shared" ref="D62:H62" si="30">(D61*1000*31)/D9</f>
        <v>9.0094453862920805</v>
      </c>
      <c r="E62" s="15">
        <f t="shared" si="30"/>
        <v>7.1538461538461542</v>
      </c>
      <c r="F62" s="15">
        <f t="shared" si="30"/>
        <v>7.4382148284411738</v>
      </c>
      <c r="G62" s="15">
        <f t="shared" si="30"/>
        <v>7.200371632084237</v>
      </c>
      <c r="H62" s="15">
        <f t="shared" si="30"/>
        <v>7.3932745051275939</v>
      </c>
      <c r="I62" s="15">
        <f t="shared" ref="I62:P62" si="31">(I61*1000*31)/I9</f>
        <v>7.93278457798439</v>
      </c>
      <c r="J62" s="15">
        <f t="shared" si="31"/>
        <v>7.9429474313532902</v>
      </c>
      <c r="K62" s="15">
        <f t="shared" si="31"/>
        <v>8.779797026197782</v>
      </c>
      <c r="L62" s="15">
        <f t="shared" si="31"/>
        <v>8.779797026197782</v>
      </c>
      <c r="M62" s="15">
        <f t="shared" si="31"/>
        <v>8.2348253420108914</v>
      </c>
      <c r="N62" s="15">
        <f t="shared" si="31"/>
        <v>8.576962095361063</v>
      </c>
      <c r="O62" s="15">
        <v>8.6944327583789089</v>
      </c>
      <c r="P62" s="103">
        <f t="shared" si="31"/>
        <v>0.67017125397688992</v>
      </c>
    </row>
    <row r="63" spans="1:16" ht="15.6" x14ac:dyDescent="0.3">
      <c r="A63" s="634" t="s">
        <v>111</v>
      </c>
      <c r="B63" s="635"/>
      <c r="C63" s="38" t="s">
        <v>3</v>
      </c>
      <c r="D63" s="4">
        <v>6</v>
      </c>
      <c r="E63" s="4">
        <v>6</v>
      </c>
      <c r="F63" s="4">
        <v>6</v>
      </c>
      <c r="G63" s="4">
        <v>6</v>
      </c>
      <c r="H63" s="4">
        <v>6</v>
      </c>
      <c r="I63" s="4">
        <v>6</v>
      </c>
      <c r="J63" s="4">
        <v>6</v>
      </c>
      <c r="K63" s="4">
        <v>6</v>
      </c>
      <c r="L63" s="4">
        <v>6</v>
      </c>
      <c r="M63" s="4">
        <v>6</v>
      </c>
      <c r="N63" s="4">
        <v>6</v>
      </c>
      <c r="O63" s="4">
        <v>6</v>
      </c>
      <c r="P63" s="9">
        <f>SUM(D63:O63)</f>
        <v>72</v>
      </c>
    </row>
    <row r="64" spans="1:16" x14ac:dyDescent="0.3">
      <c r="A64" s="636"/>
      <c r="B64" s="637"/>
      <c r="C64" s="637"/>
      <c r="D64" s="637"/>
      <c r="E64" s="637"/>
      <c r="F64" s="637"/>
      <c r="G64" s="637"/>
      <c r="H64" s="637"/>
      <c r="I64" s="637"/>
      <c r="J64" s="637"/>
      <c r="K64" s="637"/>
      <c r="L64" s="637"/>
      <c r="M64" s="637"/>
      <c r="N64" s="637"/>
      <c r="O64" s="637"/>
      <c r="P64" s="638"/>
    </row>
    <row r="65" spans="1:16" ht="14.4" customHeight="1" x14ac:dyDescent="0.3">
      <c r="A65" s="617" t="s">
        <v>110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9"/>
    </row>
    <row r="66" spans="1:16" ht="15.6" x14ac:dyDescent="0.3">
      <c r="A66" s="622" t="s">
        <v>109</v>
      </c>
      <c r="B66" s="37" t="s">
        <v>85</v>
      </c>
      <c r="C66" s="5" t="s">
        <v>3</v>
      </c>
      <c r="D66" s="551">
        <v>54</v>
      </c>
      <c r="E66" s="4">
        <f>D71</f>
        <v>38</v>
      </c>
      <c r="F66" s="4">
        <f t="shared" ref="F66:K66" si="32">E71</f>
        <v>35</v>
      </c>
      <c r="G66" s="4">
        <f t="shared" si="32"/>
        <v>32</v>
      </c>
      <c r="H66" s="4">
        <f t="shared" si="32"/>
        <v>32</v>
      </c>
      <c r="I66" s="4">
        <f t="shared" si="32"/>
        <v>31</v>
      </c>
      <c r="J66" s="4">
        <f t="shared" si="32"/>
        <v>40</v>
      </c>
      <c r="K66" s="4">
        <f t="shared" si="32"/>
        <v>39</v>
      </c>
      <c r="L66" s="155">
        <v>43</v>
      </c>
      <c r="M66" s="155">
        <v>49</v>
      </c>
      <c r="N66" s="155">
        <v>32</v>
      </c>
      <c r="O66" s="155">
        <v>28</v>
      </c>
      <c r="P66" s="35">
        <f>D66</f>
        <v>54</v>
      </c>
    </row>
    <row r="67" spans="1:16" ht="15.6" x14ac:dyDescent="0.3">
      <c r="A67" s="623"/>
      <c r="B67" s="24" t="s">
        <v>104</v>
      </c>
      <c r="C67" s="5" t="s">
        <v>3</v>
      </c>
      <c r="D67" s="551">
        <v>6</v>
      </c>
      <c r="E67" s="4">
        <v>15</v>
      </c>
      <c r="F67" s="4">
        <v>13</v>
      </c>
      <c r="G67" s="4">
        <v>15</v>
      </c>
      <c r="H67" s="4">
        <v>12</v>
      </c>
      <c r="I67" s="4">
        <v>16</v>
      </c>
      <c r="J67" s="4">
        <v>7</v>
      </c>
      <c r="K67" s="4">
        <v>13</v>
      </c>
      <c r="L67" s="153">
        <v>9</v>
      </c>
      <c r="M67" s="153"/>
      <c r="N67" s="153"/>
      <c r="O67" s="153">
        <v>10</v>
      </c>
      <c r="P67" s="35">
        <f>SUM(D67:O67)</f>
        <v>116</v>
      </c>
    </row>
    <row r="68" spans="1:16" ht="27" x14ac:dyDescent="0.3">
      <c r="A68" s="623"/>
      <c r="B68" s="24" t="s">
        <v>103</v>
      </c>
      <c r="C68" s="5" t="s">
        <v>3</v>
      </c>
      <c r="D68" s="551">
        <v>22</v>
      </c>
      <c r="E68" s="4">
        <v>18</v>
      </c>
      <c r="F68" s="4">
        <v>16</v>
      </c>
      <c r="G68" s="4">
        <v>15</v>
      </c>
      <c r="H68" s="4">
        <v>13</v>
      </c>
      <c r="I68" s="4"/>
      <c r="J68" s="4">
        <v>8</v>
      </c>
      <c r="K68" s="4">
        <v>9</v>
      </c>
      <c r="L68" s="153">
        <v>3</v>
      </c>
      <c r="M68" s="153">
        <v>17</v>
      </c>
      <c r="N68" s="153">
        <v>4</v>
      </c>
      <c r="O68" s="153">
        <v>15</v>
      </c>
      <c r="P68" s="35">
        <f t="shared" ref="P68:P69" si="33">SUM(D68:O68)</f>
        <v>140</v>
      </c>
    </row>
    <row r="69" spans="1:16" s="2" customFormat="1" ht="27" x14ac:dyDescent="0.3">
      <c r="A69" s="623"/>
      <c r="B69" s="24" t="s">
        <v>102</v>
      </c>
      <c r="C69" s="11" t="s">
        <v>3</v>
      </c>
      <c r="D69" s="551"/>
      <c r="E69" s="4"/>
      <c r="F69" s="4"/>
      <c r="G69" s="4"/>
      <c r="H69" s="4"/>
      <c r="I69" s="4">
        <v>7</v>
      </c>
      <c r="J69" s="153"/>
      <c r="K69" s="4"/>
      <c r="L69" s="153"/>
      <c r="M69" s="153"/>
      <c r="N69" s="153"/>
      <c r="O69" s="153"/>
      <c r="P69" s="74">
        <f t="shared" si="33"/>
        <v>7</v>
      </c>
    </row>
    <row r="70" spans="1:16" s="2" customFormat="1" ht="15.6" x14ac:dyDescent="0.3">
      <c r="A70" s="623"/>
      <c r="B70" s="24" t="s">
        <v>188</v>
      </c>
      <c r="C70" s="11" t="s">
        <v>3</v>
      </c>
      <c r="D70" s="4">
        <f>D68+D69</f>
        <v>22</v>
      </c>
      <c r="E70" s="4">
        <f t="shared" ref="E70:I70" si="34">E68+E69</f>
        <v>18</v>
      </c>
      <c r="F70" s="4">
        <f t="shared" si="34"/>
        <v>16</v>
      </c>
      <c r="G70" s="4">
        <f t="shared" si="34"/>
        <v>15</v>
      </c>
      <c r="H70" s="4">
        <f t="shared" si="34"/>
        <v>13</v>
      </c>
      <c r="I70" s="4">
        <f t="shared" si="34"/>
        <v>7</v>
      </c>
      <c r="J70" s="153">
        <f t="shared" ref="J70:K70" si="35">J68+J69</f>
        <v>8</v>
      </c>
      <c r="K70" s="4">
        <f t="shared" si="35"/>
        <v>9</v>
      </c>
      <c r="L70" s="153">
        <v>3</v>
      </c>
      <c r="M70" s="153">
        <v>17</v>
      </c>
      <c r="N70" s="153">
        <v>4</v>
      </c>
      <c r="O70" s="153">
        <v>15</v>
      </c>
      <c r="P70" s="159">
        <f t="shared" ref="P70" si="36">P68+P69</f>
        <v>147</v>
      </c>
    </row>
    <row r="71" spans="1:16" ht="15.6" x14ac:dyDescent="0.3">
      <c r="A71" s="624"/>
      <c r="B71" s="37" t="s">
        <v>81</v>
      </c>
      <c r="C71" s="5" t="s">
        <v>3</v>
      </c>
      <c r="D71" s="26">
        <f>D66+D67-D70</f>
        <v>38</v>
      </c>
      <c r="E71" s="26">
        <f>E66+E67-E70</f>
        <v>35</v>
      </c>
      <c r="F71" s="26">
        <f t="shared" ref="F71:I71" si="37">F66+F67-F70</f>
        <v>32</v>
      </c>
      <c r="G71" s="26">
        <f t="shared" si="37"/>
        <v>32</v>
      </c>
      <c r="H71" s="26">
        <f t="shared" si="37"/>
        <v>31</v>
      </c>
      <c r="I71" s="26">
        <f t="shared" si="37"/>
        <v>40</v>
      </c>
      <c r="J71" s="156">
        <f t="shared" ref="J71:K71" si="38">J66+J67-J70</f>
        <v>39</v>
      </c>
      <c r="K71" s="26">
        <f t="shared" si="38"/>
        <v>43</v>
      </c>
      <c r="L71" s="156">
        <v>49</v>
      </c>
      <c r="M71" s="156">
        <v>32</v>
      </c>
      <c r="N71" s="156">
        <v>28</v>
      </c>
      <c r="O71" s="132">
        <v>23</v>
      </c>
      <c r="P71" s="158">
        <f>P66+P67-P70</f>
        <v>23</v>
      </c>
    </row>
    <row r="72" spans="1:16" ht="15.6" x14ac:dyDescent="0.3">
      <c r="A72" s="622" t="s">
        <v>108</v>
      </c>
      <c r="B72" s="37" t="s">
        <v>85</v>
      </c>
      <c r="C72" s="5" t="s">
        <v>3</v>
      </c>
      <c r="D72" s="551"/>
      <c r="E72" s="4">
        <f>D77</f>
        <v>0</v>
      </c>
      <c r="F72" s="4">
        <f t="shared" ref="F72:G72" si="39">E77</f>
        <v>0</v>
      </c>
      <c r="G72" s="4">
        <f t="shared" si="39"/>
        <v>0</v>
      </c>
      <c r="H72" s="155"/>
      <c r="I72" s="155"/>
      <c r="J72" s="155"/>
      <c r="K72" s="155"/>
      <c r="L72" s="155"/>
      <c r="M72" s="155"/>
      <c r="N72" s="155"/>
      <c r="O72" s="155"/>
      <c r="P72" s="35">
        <f>D72</f>
        <v>0</v>
      </c>
    </row>
    <row r="73" spans="1:16" ht="15.6" x14ac:dyDescent="0.3">
      <c r="A73" s="623"/>
      <c r="B73" s="24" t="s">
        <v>104</v>
      </c>
      <c r="C73" s="5" t="s">
        <v>3</v>
      </c>
      <c r="D73" s="551"/>
      <c r="E73" s="4"/>
      <c r="F73" s="4"/>
      <c r="G73" s="4">
        <v>1</v>
      </c>
      <c r="H73" s="153"/>
      <c r="I73" s="153"/>
      <c r="J73" s="153"/>
      <c r="K73" s="153"/>
      <c r="L73" s="153"/>
      <c r="M73" s="153"/>
      <c r="N73" s="153"/>
      <c r="O73" s="153"/>
      <c r="P73" s="35">
        <f>SUM(D73:O73)</f>
        <v>1</v>
      </c>
    </row>
    <row r="74" spans="1:16" ht="27" x14ac:dyDescent="0.3">
      <c r="A74" s="623"/>
      <c r="B74" s="24" t="s">
        <v>103</v>
      </c>
      <c r="C74" s="5" t="s">
        <v>3</v>
      </c>
      <c r="D74" s="551"/>
      <c r="E74" s="4"/>
      <c r="F74" s="4"/>
      <c r="G74" s="4">
        <v>1</v>
      </c>
      <c r="H74" s="153"/>
      <c r="I74" s="153"/>
      <c r="J74" s="153"/>
      <c r="K74" s="153"/>
      <c r="L74" s="153"/>
      <c r="M74" s="153"/>
      <c r="N74" s="153"/>
      <c r="O74" s="153"/>
      <c r="P74" s="35">
        <f>SUM(D74:O74)</f>
        <v>1</v>
      </c>
    </row>
    <row r="75" spans="1:16" s="2" customFormat="1" ht="27" x14ac:dyDescent="0.3">
      <c r="A75" s="623"/>
      <c r="B75" s="24" t="s">
        <v>102</v>
      </c>
      <c r="C75" s="11" t="s">
        <v>3</v>
      </c>
      <c r="D75" s="551"/>
      <c r="E75" s="4"/>
      <c r="F75" s="4"/>
      <c r="G75" s="4"/>
      <c r="H75" s="153"/>
      <c r="I75" s="153"/>
      <c r="J75" s="153"/>
      <c r="K75" s="153"/>
      <c r="L75" s="153"/>
      <c r="M75" s="153"/>
      <c r="N75" s="153"/>
      <c r="O75" s="153"/>
      <c r="P75" s="35">
        <f>SUM(D75:O75)</f>
        <v>0</v>
      </c>
    </row>
    <row r="76" spans="1:16" s="2" customFormat="1" ht="15.6" x14ac:dyDescent="0.3">
      <c r="A76" s="623"/>
      <c r="B76" s="24" t="s">
        <v>188</v>
      </c>
      <c r="C76" s="11" t="s">
        <v>3</v>
      </c>
      <c r="D76" s="4">
        <f>D74+D75</f>
        <v>0</v>
      </c>
      <c r="E76" s="4">
        <f t="shared" ref="E76:G76" si="40">E74+E75</f>
        <v>0</v>
      </c>
      <c r="F76" s="4">
        <f t="shared" si="40"/>
        <v>0</v>
      </c>
      <c r="G76" s="4">
        <f t="shared" si="40"/>
        <v>1</v>
      </c>
      <c r="H76" s="153">
        <f t="shared" ref="H76:I76" si="41">H74+H75</f>
        <v>0</v>
      </c>
      <c r="I76" s="153">
        <f t="shared" si="41"/>
        <v>0</v>
      </c>
      <c r="J76" s="153">
        <f t="shared" ref="J76:K76" si="42">J74+J75</f>
        <v>0</v>
      </c>
      <c r="K76" s="153">
        <f t="shared" si="42"/>
        <v>0</v>
      </c>
      <c r="L76" s="153">
        <f t="shared" ref="L76:M76" si="43">L74+L75</f>
        <v>0</v>
      </c>
      <c r="M76" s="153">
        <f t="shared" si="43"/>
        <v>0</v>
      </c>
      <c r="N76" s="153">
        <f t="shared" ref="N76:P76" si="44">N74+N75</f>
        <v>0</v>
      </c>
      <c r="O76" s="153">
        <v>0</v>
      </c>
      <c r="P76" s="159">
        <f t="shared" si="44"/>
        <v>1</v>
      </c>
    </row>
    <row r="77" spans="1:16" ht="15.6" x14ac:dyDescent="0.3">
      <c r="A77" s="624"/>
      <c r="B77" s="37" t="s">
        <v>81</v>
      </c>
      <c r="C77" s="5" t="s">
        <v>3</v>
      </c>
      <c r="D77" s="26">
        <f>D72+D73-D76</f>
        <v>0</v>
      </c>
      <c r="E77" s="26">
        <f>E72+E73-E76</f>
        <v>0</v>
      </c>
      <c r="F77" s="26">
        <f t="shared" ref="F77:G77" si="45">F72+F73-F76</f>
        <v>0</v>
      </c>
      <c r="G77" s="26">
        <f t="shared" si="45"/>
        <v>0</v>
      </c>
      <c r="H77" s="156">
        <f t="shared" ref="H77:I77" si="46">H73+H74-H76</f>
        <v>0</v>
      </c>
      <c r="I77" s="156">
        <f t="shared" si="46"/>
        <v>0</v>
      </c>
      <c r="J77" s="156">
        <f t="shared" ref="J77:K77" si="47">J73+J74-J76</f>
        <v>0</v>
      </c>
      <c r="K77" s="156">
        <f t="shared" si="47"/>
        <v>0</v>
      </c>
      <c r="L77" s="156">
        <f t="shared" ref="L77:M77" si="48">L73+L74-L76</f>
        <v>0</v>
      </c>
      <c r="M77" s="156">
        <f t="shared" si="48"/>
        <v>0</v>
      </c>
      <c r="N77" s="132">
        <f t="shared" ref="N77:P77" si="49">N73+N74-N76</f>
        <v>0</v>
      </c>
      <c r="O77" s="132">
        <v>0</v>
      </c>
      <c r="P77" s="158">
        <f t="shared" si="49"/>
        <v>1</v>
      </c>
    </row>
    <row r="78" spans="1:16" ht="15.6" customHeight="1" x14ac:dyDescent="0.3">
      <c r="A78" s="622" t="s">
        <v>107</v>
      </c>
      <c r="B78" s="37" t="s">
        <v>85</v>
      </c>
      <c r="C78" s="5" t="s">
        <v>3</v>
      </c>
      <c r="D78" s="551"/>
      <c r="E78" s="4">
        <f>D83</f>
        <v>0</v>
      </c>
      <c r="F78" s="4">
        <f t="shared" ref="F78:K78" si="50">E83</f>
        <v>0</v>
      </c>
      <c r="G78" s="4">
        <f t="shared" si="50"/>
        <v>0</v>
      </c>
      <c r="H78" s="4">
        <f t="shared" si="50"/>
        <v>0</v>
      </c>
      <c r="I78" s="4">
        <f t="shared" si="50"/>
        <v>2</v>
      </c>
      <c r="J78" s="4">
        <f t="shared" si="50"/>
        <v>2</v>
      </c>
      <c r="K78" s="4">
        <f t="shared" si="50"/>
        <v>2</v>
      </c>
      <c r="L78" s="155">
        <v>2</v>
      </c>
      <c r="M78" s="155">
        <v>2</v>
      </c>
      <c r="N78" s="155">
        <v>2</v>
      </c>
      <c r="O78" s="155">
        <v>2</v>
      </c>
      <c r="P78" s="35">
        <f>D78</f>
        <v>0</v>
      </c>
    </row>
    <row r="79" spans="1:16" ht="15.6" x14ac:dyDescent="0.3">
      <c r="A79" s="623"/>
      <c r="B79" s="24" t="s">
        <v>104</v>
      </c>
      <c r="C79" s="5" t="s">
        <v>3</v>
      </c>
      <c r="D79" s="551"/>
      <c r="E79" s="4"/>
      <c r="F79" s="4">
        <v>1</v>
      </c>
      <c r="G79" s="4"/>
      <c r="H79" s="4">
        <v>3</v>
      </c>
      <c r="I79" s="153"/>
      <c r="J79" s="153"/>
      <c r="K79" s="153"/>
      <c r="L79" s="153"/>
      <c r="M79" s="153"/>
      <c r="N79" s="153"/>
      <c r="O79" s="153"/>
      <c r="P79" s="35">
        <f>SUM(D79:O79)</f>
        <v>4</v>
      </c>
    </row>
    <row r="80" spans="1:16" ht="27" x14ac:dyDescent="0.3">
      <c r="A80" s="623"/>
      <c r="B80" s="24" t="s">
        <v>103</v>
      </c>
      <c r="C80" s="5" t="s">
        <v>3</v>
      </c>
      <c r="D80" s="551"/>
      <c r="E80" s="4"/>
      <c r="F80" s="4">
        <v>1</v>
      </c>
      <c r="G80" s="4"/>
      <c r="H80" s="4"/>
      <c r="I80" s="153"/>
      <c r="J80" s="153"/>
      <c r="K80" s="153"/>
      <c r="L80" s="153"/>
      <c r="M80" s="153"/>
      <c r="N80" s="153"/>
      <c r="O80" s="153"/>
      <c r="P80" s="35">
        <f>SUM(D80:O80)</f>
        <v>1</v>
      </c>
    </row>
    <row r="81" spans="1:16" s="2" customFormat="1" ht="27" x14ac:dyDescent="0.3">
      <c r="A81" s="623"/>
      <c r="B81" s="24" t="s">
        <v>102</v>
      </c>
      <c r="C81" s="11" t="s">
        <v>3</v>
      </c>
      <c r="D81" s="551"/>
      <c r="E81" s="4"/>
      <c r="F81" s="4"/>
      <c r="G81" s="4"/>
      <c r="H81" s="4">
        <v>1</v>
      </c>
      <c r="I81" s="153"/>
      <c r="J81" s="153"/>
      <c r="K81" s="153"/>
      <c r="L81" s="153"/>
      <c r="M81" s="153"/>
      <c r="N81" s="153"/>
      <c r="O81" s="153"/>
      <c r="P81" s="74">
        <f>SUM(D81:O81)</f>
        <v>1</v>
      </c>
    </row>
    <row r="82" spans="1:16" s="2" customFormat="1" ht="15.6" x14ac:dyDescent="0.3">
      <c r="A82" s="623"/>
      <c r="B82" s="24" t="s">
        <v>188</v>
      </c>
      <c r="C82" s="11" t="s">
        <v>3</v>
      </c>
      <c r="D82" s="4">
        <f>D80+D81</f>
        <v>0</v>
      </c>
      <c r="E82" s="4">
        <f t="shared" ref="E82:H82" si="51">E80+E81</f>
        <v>0</v>
      </c>
      <c r="F82" s="4">
        <f t="shared" si="51"/>
        <v>1</v>
      </c>
      <c r="G82" s="4">
        <f t="shared" si="51"/>
        <v>0</v>
      </c>
      <c r="H82" s="4">
        <f t="shared" si="51"/>
        <v>1</v>
      </c>
      <c r="I82" s="153">
        <f t="shared" ref="I82" si="52">I81+I80</f>
        <v>0</v>
      </c>
      <c r="J82" s="153">
        <f t="shared" ref="J82:K82" si="53">J81+J80</f>
        <v>0</v>
      </c>
      <c r="K82" s="153">
        <f t="shared" si="53"/>
        <v>0</v>
      </c>
      <c r="L82" s="153">
        <f t="shared" ref="L82:M82" si="54">L81+L80</f>
        <v>0</v>
      </c>
      <c r="M82" s="153">
        <f t="shared" si="54"/>
        <v>0</v>
      </c>
      <c r="N82" s="153">
        <f t="shared" ref="N82" si="55">N81+N80</f>
        <v>0</v>
      </c>
      <c r="O82" s="153">
        <v>0</v>
      </c>
      <c r="P82" s="159">
        <f t="shared" ref="P82" si="56">P81+P80</f>
        <v>2</v>
      </c>
    </row>
    <row r="83" spans="1:16" ht="15.6" x14ac:dyDescent="0.3">
      <c r="A83" s="624"/>
      <c r="B83" s="37" t="s">
        <v>81</v>
      </c>
      <c r="C83" s="5" t="s">
        <v>3</v>
      </c>
      <c r="D83" s="26">
        <f>D78+D79-D82</f>
        <v>0</v>
      </c>
      <c r="E83" s="26">
        <f>E78+E79-E82</f>
        <v>0</v>
      </c>
      <c r="F83" s="26">
        <f t="shared" ref="F83:H83" si="57">F78+F79-F82</f>
        <v>0</v>
      </c>
      <c r="G83" s="26">
        <f t="shared" si="57"/>
        <v>0</v>
      </c>
      <c r="H83" s="26">
        <f t="shared" si="57"/>
        <v>2</v>
      </c>
      <c r="I83" s="132">
        <f t="shared" ref="I83" si="58">I78+I79-I82</f>
        <v>2</v>
      </c>
      <c r="J83" s="156">
        <f t="shared" ref="J83:K83" si="59">J78+J79-J82</f>
        <v>2</v>
      </c>
      <c r="K83" s="156">
        <f t="shared" si="59"/>
        <v>2</v>
      </c>
      <c r="L83" s="156">
        <f t="shared" ref="L83:M83" si="60">L78+L79-L82</f>
        <v>2</v>
      </c>
      <c r="M83" s="156">
        <f t="shared" si="60"/>
        <v>2</v>
      </c>
      <c r="N83" s="156">
        <f t="shared" ref="N83" si="61">N78+N79-N82</f>
        <v>2</v>
      </c>
      <c r="O83" s="156">
        <v>2</v>
      </c>
      <c r="P83" s="158">
        <f t="shared" ref="P83" si="62">P78+P79-P82</f>
        <v>2</v>
      </c>
    </row>
    <row r="84" spans="1:16" ht="15.6" x14ac:dyDescent="0.3">
      <c r="A84" s="625" t="s">
        <v>106</v>
      </c>
      <c r="B84" s="37" t="s">
        <v>85</v>
      </c>
      <c r="C84" s="5" t="s">
        <v>3</v>
      </c>
      <c r="D84" s="155">
        <v>0</v>
      </c>
      <c r="E84" s="155">
        <v>0</v>
      </c>
      <c r="F84" s="155">
        <v>0</v>
      </c>
      <c r="G84" s="155"/>
      <c r="H84" s="155"/>
      <c r="I84" s="155"/>
      <c r="J84" s="155"/>
      <c r="K84" s="155"/>
      <c r="L84" s="155"/>
      <c r="M84" s="155"/>
      <c r="N84" s="155"/>
      <c r="O84" s="155"/>
      <c r="P84" s="35">
        <f>D84</f>
        <v>0</v>
      </c>
    </row>
    <row r="85" spans="1:16" ht="15.6" x14ac:dyDescent="0.3">
      <c r="A85" s="626"/>
      <c r="B85" s="37" t="s">
        <v>104</v>
      </c>
      <c r="C85" s="5" t="s">
        <v>3</v>
      </c>
      <c r="D85" s="153">
        <v>0</v>
      </c>
      <c r="E85" s="153">
        <v>0</v>
      </c>
      <c r="F85" s="153">
        <v>0</v>
      </c>
      <c r="G85" s="153"/>
      <c r="H85" s="153"/>
      <c r="I85" s="153"/>
      <c r="J85" s="153"/>
      <c r="K85" s="153"/>
      <c r="L85" s="153"/>
      <c r="M85" s="153"/>
      <c r="N85" s="153"/>
      <c r="O85" s="153"/>
      <c r="P85" s="35">
        <f>SUM(D85:O85)</f>
        <v>0</v>
      </c>
    </row>
    <row r="86" spans="1:16" ht="27" x14ac:dyDescent="0.3">
      <c r="A86" s="626"/>
      <c r="B86" s="37" t="s">
        <v>103</v>
      </c>
      <c r="C86" s="5" t="s">
        <v>3</v>
      </c>
      <c r="D86" s="153">
        <v>0</v>
      </c>
      <c r="E86" s="153">
        <v>0</v>
      </c>
      <c r="F86" s="153">
        <v>0</v>
      </c>
      <c r="G86" s="153"/>
      <c r="H86" s="153"/>
      <c r="I86" s="153"/>
      <c r="J86" s="153"/>
      <c r="K86" s="153"/>
      <c r="L86" s="153"/>
      <c r="M86" s="153"/>
      <c r="N86" s="153"/>
      <c r="O86" s="153"/>
      <c r="P86" s="35">
        <f>SUM(D86:O86)</f>
        <v>0</v>
      </c>
    </row>
    <row r="87" spans="1:16" s="2" customFormat="1" ht="27" x14ac:dyDescent="0.3">
      <c r="A87" s="626"/>
      <c r="B87" s="24" t="s">
        <v>102</v>
      </c>
      <c r="C87" s="11" t="s">
        <v>3</v>
      </c>
      <c r="D87" s="153">
        <v>0</v>
      </c>
      <c r="E87" s="153">
        <v>0</v>
      </c>
      <c r="F87" s="153">
        <v>0</v>
      </c>
      <c r="G87" s="153"/>
      <c r="H87" s="153"/>
      <c r="I87" s="153"/>
      <c r="J87" s="153"/>
      <c r="K87" s="153"/>
      <c r="L87" s="153"/>
      <c r="M87" s="153"/>
      <c r="N87" s="153"/>
      <c r="O87" s="153"/>
      <c r="P87" s="74">
        <f>SUM(D87:O87)</f>
        <v>0</v>
      </c>
    </row>
    <row r="88" spans="1:16" s="2" customFormat="1" ht="15.6" x14ac:dyDescent="0.3">
      <c r="A88" s="626"/>
      <c r="B88" s="24" t="s">
        <v>188</v>
      </c>
      <c r="C88" s="11" t="s">
        <v>3</v>
      </c>
      <c r="D88" s="153">
        <v>0</v>
      </c>
      <c r="E88" s="153">
        <v>0</v>
      </c>
      <c r="F88" s="153">
        <v>0</v>
      </c>
      <c r="G88" s="153">
        <v>0</v>
      </c>
      <c r="H88" s="153">
        <v>0</v>
      </c>
      <c r="I88" s="153">
        <v>0</v>
      </c>
      <c r="J88" s="153">
        <v>0</v>
      </c>
      <c r="K88" s="153">
        <v>0</v>
      </c>
      <c r="L88" s="153">
        <v>0</v>
      </c>
      <c r="M88" s="153">
        <v>0</v>
      </c>
      <c r="N88" s="153">
        <v>0</v>
      </c>
      <c r="O88" s="153">
        <v>0</v>
      </c>
      <c r="P88" s="74"/>
    </row>
    <row r="89" spans="1:16" ht="15.6" x14ac:dyDescent="0.3">
      <c r="A89" s="627"/>
      <c r="B89" s="36" t="s">
        <v>81</v>
      </c>
      <c r="C89" s="5" t="s">
        <v>3</v>
      </c>
      <c r="D89" s="156">
        <f t="shared" ref="D89:I89" si="63">D84+D85-D88</f>
        <v>0</v>
      </c>
      <c r="E89" s="156">
        <f t="shared" si="63"/>
        <v>0</v>
      </c>
      <c r="F89" s="156">
        <f t="shared" si="63"/>
        <v>0</v>
      </c>
      <c r="G89" s="156">
        <f t="shared" si="63"/>
        <v>0</v>
      </c>
      <c r="H89" s="156">
        <f t="shared" si="63"/>
        <v>0</v>
      </c>
      <c r="I89" s="156">
        <f t="shared" si="63"/>
        <v>0</v>
      </c>
      <c r="J89" s="156">
        <f t="shared" ref="J89:K89" si="64">J84+J85-J88</f>
        <v>0</v>
      </c>
      <c r="K89" s="156">
        <f t="shared" si="64"/>
        <v>0</v>
      </c>
      <c r="L89" s="156">
        <f t="shared" ref="L89:M89" si="65">L84+L85-L88</f>
        <v>0</v>
      </c>
      <c r="M89" s="156">
        <f t="shared" si="65"/>
        <v>0</v>
      </c>
      <c r="N89" s="156">
        <f t="shared" ref="N89" si="66">N84+N85-N88</f>
        <v>0</v>
      </c>
      <c r="O89" s="156">
        <v>0</v>
      </c>
      <c r="P89" s="158">
        <f t="shared" ref="P89" si="67">P84+P85-P86-P87</f>
        <v>0</v>
      </c>
    </row>
    <row r="90" spans="1:16" ht="15.6" x14ac:dyDescent="0.3">
      <c r="A90" s="628" t="s">
        <v>105</v>
      </c>
      <c r="B90" s="24" t="s">
        <v>85</v>
      </c>
      <c r="C90" s="11" t="s">
        <v>3</v>
      </c>
      <c r="D90" s="554">
        <f>D66+D72+D78+D84</f>
        <v>54</v>
      </c>
      <c r="E90" s="554">
        <f t="shared" ref="E90:G95" si="68">E66+E72+E78+E84</f>
        <v>38</v>
      </c>
      <c r="F90" s="554">
        <f t="shared" si="68"/>
        <v>35</v>
      </c>
      <c r="G90" s="554">
        <f t="shared" si="68"/>
        <v>32</v>
      </c>
      <c r="H90" s="136">
        <f t="shared" ref="H90:I90" si="69">H66+H72+H78+H84</f>
        <v>32</v>
      </c>
      <c r="I90" s="136">
        <f t="shared" si="69"/>
        <v>33</v>
      </c>
      <c r="J90" s="136">
        <f t="shared" ref="J90:K90" si="70">J66+J72+J78+J84</f>
        <v>42</v>
      </c>
      <c r="K90" s="136">
        <f t="shared" si="70"/>
        <v>41</v>
      </c>
      <c r="L90" s="136">
        <f t="shared" ref="L90:N90" si="71">L66+L72+L78+L84</f>
        <v>45</v>
      </c>
      <c r="M90" s="136">
        <f t="shared" si="71"/>
        <v>51</v>
      </c>
      <c r="N90" s="136">
        <f t="shared" si="71"/>
        <v>34</v>
      </c>
      <c r="O90" s="136">
        <v>30</v>
      </c>
      <c r="P90" s="35">
        <f>D90</f>
        <v>54</v>
      </c>
    </row>
    <row r="91" spans="1:16" ht="15.6" x14ac:dyDescent="0.3">
      <c r="A91" s="629"/>
      <c r="B91" s="24" t="s">
        <v>104</v>
      </c>
      <c r="C91" s="11" t="s">
        <v>3</v>
      </c>
      <c r="D91" s="558">
        <f t="shared" ref="D91:D95" si="72">D67+D73+D79+D85</f>
        <v>6</v>
      </c>
      <c r="E91" s="558">
        <f t="shared" si="68"/>
        <v>15</v>
      </c>
      <c r="F91" s="558">
        <f t="shared" si="68"/>
        <v>14</v>
      </c>
      <c r="G91" s="558">
        <f t="shared" si="68"/>
        <v>16</v>
      </c>
      <c r="H91" s="136">
        <f t="shared" ref="H91:I91" si="73">H67+H73+H79+H85</f>
        <v>15</v>
      </c>
      <c r="I91" s="136">
        <f t="shared" si="73"/>
        <v>16</v>
      </c>
      <c r="J91" s="136">
        <f t="shared" ref="J91:K91" si="74">J67+J73+J79+J85</f>
        <v>7</v>
      </c>
      <c r="K91" s="136">
        <f t="shared" si="74"/>
        <v>13</v>
      </c>
      <c r="L91" s="136">
        <f t="shared" ref="L91:M91" si="75">L67+L73+L79+L85</f>
        <v>9</v>
      </c>
      <c r="M91" s="136">
        <f t="shared" si="75"/>
        <v>0</v>
      </c>
      <c r="N91" s="136">
        <f t="shared" ref="N91" si="76">N67+N73+N79+N85</f>
        <v>0</v>
      </c>
      <c r="O91" s="136">
        <v>10</v>
      </c>
      <c r="P91" s="35">
        <f>SUM(D91:O91)</f>
        <v>121</v>
      </c>
    </row>
    <row r="92" spans="1:16" ht="27" x14ac:dyDescent="0.3">
      <c r="A92" s="629"/>
      <c r="B92" s="24" t="s">
        <v>103</v>
      </c>
      <c r="C92" s="11" t="s">
        <v>3</v>
      </c>
      <c r="D92" s="558">
        <f t="shared" si="72"/>
        <v>22</v>
      </c>
      <c r="E92" s="558">
        <f t="shared" si="68"/>
        <v>18</v>
      </c>
      <c r="F92" s="558">
        <f t="shared" si="68"/>
        <v>17</v>
      </c>
      <c r="G92" s="558">
        <f t="shared" si="68"/>
        <v>16</v>
      </c>
      <c r="H92" s="136">
        <f t="shared" ref="H92:I92" si="77">H68+H74+H80+H86</f>
        <v>13</v>
      </c>
      <c r="I92" s="136">
        <f t="shared" si="77"/>
        <v>0</v>
      </c>
      <c r="J92" s="136">
        <f t="shared" ref="J92:K92" si="78">J68+J74+J80+J86</f>
        <v>8</v>
      </c>
      <c r="K92" s="136">
        <f t="shared" si="78"/>
        <v>9</v>
      </c>
      <c r="L92" s="136">
        <f>L68+L74+L80+L86</f>
        <v>3</v>
      </c>
      <c r="M92" s="136">
        <f t="shared" ref="M92:N92" si="79">M68+M74+M80+M86</f>
        <v>17</v>
      </c>
      <c r="N92" s="136">
        <f t="shared" si="79"/>
        <v>4</v>
      </c>
      <c r="O92" s="136">
        <v>15</v>
      </c>
      <c r="P92" s="35">
        <f>SUM(D92:O92)</f>
        <v>142</v>
      </c>
    </row>
    <row r="93" spans="1:16" s="2" customFormat="1" ht="27" x14ac:dyDescent="0.3">
      <c r="A93" s="629"/>
      <c r="B93" s="24" t="s">
        <v>102</v>
      </c>
      <c r="C93" s="11"/>
      <c r="D93" s="558">
        <f t="shared" si="72"/>
        <v>0</v>
      </c>
      <c r="E93" s="558">
        <f t="shared" si="68"/>
        <v>0</v>
      </c>
      <c r="F93" s="558">
        <f t="shared" si="68"/>
        <v>0</v>
      </c>
      <c r="G93" s="558">
        <f t="shared" si="68"/>
        <v>0</v>
      </c>
      <c r="H93" s="136">
        <f t="shared" ref="H93:I93" si="80">H69+H75+H81+H87</f>
        <v>1</v>
      </c>
      <c r="I93" s="136">
        <f t="shared" si="80"/>
        <v>7</v>
      </c>
      <c r="J93" s="136">
        <f t="shared" ref="J93:K93" si="81">J69+J75+J81+J87</f>
        <v>0</v>
      </c>
      <c r="K93" s="136">
        <f t="shared" si="81"/>
        <v>0</v>
      </c>
      <c r="L93" s="136">
        <f t="shared" ref="L93:N93" si="82">L69+L75+L81+L87</f>
        <v>0</v>
      </c>
      <c r="M93" s="136">
        <f t="shared" si="82"/>
        <v>0</v>
      </c>
      <c r="N93" s="136">
        <f t="shared" si="82"/>
        <v>0</v>
      </c>
      <c r="O93" s="136">
        <v>0</v>
      </c>
      <c r="P93" s="35">
        <f>SUM(D93:O93)</f>
        <v>8</v>
      </c>
    </row>
    <row r="94" spans="1:16" s="2" customFormat="1" ht="15.6" x14ac:dyDescent="0.3">
      <c r="A94" s="629"/>
      <c r="B94" s="24" t="s">
        <v>188</v>
      </c>
      <c r="C94" s="11" t="s">
        <v>3</v>
      </c>
      <c r="D94" s="558">
        <f t="shared" si="72"/>
        <v>22</v>
      </c>
      <c r="E94" s="558">
        <f t="shared" si="68"/>
        <v>18</v>
      </c>
      <c r="F94" s="558">
        <f t="shared" si="68"/>
        <v>17</v>
      </c>
      <c r="G94" s="558">
        <f t="shared" si="68"/>
        <v>16</v>
      </c>
      <c r="H94" s="137">
        <f t="shared" ref="H94:I94" si="83">H93+H92</f>
        <v>14</v>
      </c>
      <c r="I94" s="137">
        <f t="shared" si="83"/>
        <v>7</v>
      </c>
      <c r="J94" s="137">
        <f t="shared" ref="J94:K94" si="84">J93+J92</f>
        <v>8</v>
      </c>
      <c r="K94" s="137">
        <f t="shared" si="84"/>
        <v>9</v>
      </c>
      <c r="L94" s="137">
        <f t="shared" ref="L94:M94" si="85">L93+L92</f>
        <v>3</v>
      </c>
      <c r="M94" s="137">
        <f t="shared" si="85"/>
        <v>17</v>
      </c>
      <c r="N94" s="137">
        <f t="shared" ref="N94:P94" si="86">N93+N92</f>
        <v>4</v>
      </c>
      <c r="O94" s="137">
        <v>15</v>
      </c>
      <c r="P94" s="144">
        <f t="shared" si="86"/>
        <v>150</v>
      </c>
    </row>
    <row r="95" spans="1:16" ht="16.2" thickBot="1" x14ac:dyDescent="0.35">
      <c r="A95" s="630"/>
      <c r="B95" s="24" t="s">
        <v>81</v>
      </c>
      <c r="C95" s="11" t="s">
        <v>3</v>
      </c>
      <c r="D95" s="558">
        <f t="shared" si="72"/>
        <v>38</v>
      </c>
      <c r="E95" s="558">
        <f t="shared" si="68"/>
        <v>35</v>
      </c>
      <c r="F95" s="558">
        <f t="shared" si="68"/>
        <v>32</v>
      </c>
      <c r="G95" s="558">
        <f t="shared" si="68"/>
        <v>32</v>
      </c>
      <c r="H95" s="138">
        <f t="shared" ref="H95:I95" si="87">H90+H91-H94</f>
        <v>33</v>
      </c>
      <c r="I95" s="138">
        <f t="shared" si="87"/>
        <v>42</v>
      </c>
      <c r="J95" s="138">
        <f t="shared" ref="J95:K95" si="88">J90+J91-J94</f>
        <v>41</v>
      </c>
      <c r="K95" s="138">
        <f t="shared" si="88"/>
        <v>45</v>
      </c>
      <c r="L95" s="138">
        <f t="shared" ref="L95:M95" si="89">L90+L91-L94</f>
        <v>51</v>
      </c>
      <c r="M95" s="138">
        <f t="shared" si="89"/>
        <v>34</v>
      </c>
      <c r="N95" s="138">
        <f t="shared" ref="N95:P95" si="90">N90+N91-N94</f>
        <v>30</v>
      </c>
      <c r="O95" s="138">
        <v>25</v>
      </c>
      <c r="P95" s="145">
        <f t="shared" si="90"/>
        <v>25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7"/>
    </row>
    <row r="97" spans="1:16" s="2" customFormat="1" ht="15.75" customHeight="1" thickBot="1" x14ac:dyDescent="0.35">
      <c r="A97" s="631" t="s">
        <v>189</v>
      </c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2"/>
      <c r="P97" s="633"/>
    </row>
    <row r="98" spans="1:16" ht="15.6" x14ac:dyDescent="0.3">
      <c r="A98" s="88" t="s">
        <v>190</v>
      </c>
      <c r="B98" s="69"/>
      <c r="C98" s="11" t="s">
        <v>3</v>
      </c>
      <c r="D98" s="70"/>
      <c r="E98" s="70"/>
      <c r="F98" s="70"/>
      <c r="G98" s="70"/>
      <c r="H98" s="70"/>
      <c r="I98" s="70"/>
      <c r="J98" s="71"/>
      <c r="K98" s="71"/>
      <c r="L98" s="71"/>
      <c r="M98" s="71"/>
      <c r="N98" s="71"/>
      <c r="O98" s="71"/>
      <c r="P98" s="108">
        <f>SUM(D98:O98)</f>
        <v>0</v>
      </c>
    </row>
    <row r="99" spans="1:16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7"/>
    </row>
    <row r="100" spans="1:16" s="2" customFormat="1" x14ac:dyDescent="0.3">
      <c r="A100" s="642" t="s">
        <v>101</v>
      </c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43"/>
      <c r="P100" s="644"/>
    </row>
    <row r="101" spans="1:16" ht="15.6" x14ac:dyDescent="0.3">
      <c r="A101" s="591" t="s">
        <v>100</v>
      </c>
      <c r="B101" s="592"/>
      <c r="C101" s="11" t="s">
        <v>3</v>
      </c>
      <c r="D101" s="551">
        <f>395+147+62</f>
        <v>604</v>
      </c>
      <c r="E101" s="4">
        <v>639</v>
      </c>
      <c r="F101" s="4">
        <v>629</v>
      </c>
      <c r="G101" s="4">
        <v>631</v>
      </c>
      <c r="H101" s="4">
        <v>625</v>
      </c>
      <c r="I101" s="4">
        <v>624</v>
      </c>
      <c r="J101" s="4">
        <v>623</v>
      </c>
      <c r="K101" s="4">
        <v>630</v>
      </c>
      <c r="L101" s="4">
        <v>623</v>
      </c>
      <c r="M101" s="4">
        <v>651</v>
      </c>
      <c r="N101" s="4">
        <v>650</v>
      </c>
      <c r="O101" s="4">
        <v>652</v>
      </c>
      <c r="P101" s="32">
        <f t="shared" ref="P101:P116" si="91">O101</f>
        <v>652</v>
      </c>
    </row>
    <row r="102" spans="1:16" ht="15.6" x14ac:dyDescent="0.3">
      <c r="A102" s="591" t="s">
        <v>99</v>
      </c>
      <c r="B102" s="592"/>
      <c r="C102" s="11" t="s">
        <v>3</v>
      </c>
      <c r="D102" s="551">
        <v>17</v>
      </c>
      <c r="E102" s="4">
        <v>17</v>
      </c>
      <c r="F102" s="4">
        <v>17</v>
      </c>
      <c r="G102" s="4">
        <v>17</v>
      </c>
      <c r="H102" s="4">
        <v>17</v>
      </c>
      <c r="I102" s="4">
        <v>17</v>
      </c>
      <c r="J102" s="4">
        <v>17</v>
      </c>
      <c r="K102" s="4">
        <v>17</v>
      </c>
      <c r="L102" s="4">
        <v>17</v>
      </c>
      <c r="M102" s="4">
        <v>17</v>
      </c>
      <c r="N102" s="4">
        <v>17</v>
      </c>
      <c r="O102" s="4">
        <v>17</v>
      </c>
      <c r="P102" s="32">
        <f t="shared" si="91"/>
        <v>17</v>
      </c>
    </row>
    <row r="103" spans="1:16" ht="15.6" customHeight="1" x14ac:dyDescent="0.3">
      <c r="A103" s="598" t="s">
        <v>98</v>
      </c>
      <c r="B103" s="599"/>
      <c r="C103" s="11" t="s">
        <v>3</v>
      </c>
      <c r="D103" s="551">
        <v>27</v>
      </c>
      <c r="E103" s="4">
        <v>27</v>
      </c>
      <c r="F103" s="4">
        <v>27</v>
      </c>
      <c r="G103" s="4">
        <v>27</v>
      </c>
      <c r="H103" s="4">
        <v>27</v>
      </c>
      <c r="I103" s="4">
        <v>27</v>
      </c>
      <c r="J103" s="4">
        <v>27</v>
      </c>
      <c r="K103" s="4">
        <v>27</v>
      </c>
      <c r="L103" s="4">
        <v>27</v>
      </c>
      <c r="M103" s="4">
        <v>27</v>
      </c>
      <c r="N103" s="4">
        <v>27</v>
      </c>
      <c r="O103" s="4">
        <v>27</v>
      </c>
      <c r="P103" s="32">
        <f t="shared" si="91"/>
        <v>27</v>
      </c>
    </row>
    <row r="104" spans="1:16" ht="15.6" x14ac:dyDescent="0.3">
      <c r="A104" s="598" t="s">
        <v>97</v>
      </c>
      <c r="B104" s="599"/>
      <c r="C104" s="11" t="s">
        <v>3</v>
      </c>
      <c r="D104" s="551">
        <v>8</v>
      </c>
      <c r="E104" s="4">
        <v>11</v>
      </c>
      <c r="F104" s="4">
        <v>11</v>
      </c>
      <c r="G104" s="4">
        <v>11</v>
      </c>
      <c r="H104" s="4">
        <v>11</v>
      </c>
      <c r="I104" s="4">
        <v>11</v>
      </c>
      <c r="J104" s="4">
        <v>11</v>
      </c>
      <c r="K104" s="4">
        <v>11</v>
      </c>
      <c r="L104" s="4">
        <v>11</v>
      </c>
      <c r="M104" s="4">
        <v>11</v>
      </c>
      <c r="N104" s="4">
        <v>11</v>
      </c>
      <c r="O104" s="4">
        <v>11</v>
      </c>
      <c r="P104" s="32">
        <f t="shared" si="91"/>
        <v>11</v>
      </c>
    </row>
    <row r="105" spans="1:16" ht="15.6" x14ac:dyDescent="0.3">
      <c r="A105" s="645" t="s">
        <v>96</v>
      </c>
      <c r="B105" s="646"/>
      <c r="C105" s="11" t="s">
        <v>3</v>
      </c>
      <c r="D105" s="33">
        <f>SUM(D101:D104)</f>
        <v>656</v>
      </c>
      <c r="E105" s="33">
        <f t="shared" ref="E105:N105" si="92">SUM(E101:E104)</f>
        <v>694</v>
      </c>
      <c r="F105" s="33">
        <f t="shared" si="92"/>
        <v>684</v>
      </c>
      <c r="G105" s="33">
        <f t="shared" si="92"/>
        <v>686</v>
      </c>
      <c r="H105" s="33">
        <f t="shared" si="92"/>
        <v>680</v>
      </c>
      <c r="I105" s="33">
        <f t="shared" si="92"/>
        <v>679</v>
      </c>
      <c r="J105" s="33">
        <f t="shared" si="92"/>
        <v>678</v>
      </c>
      <c r="K105" s="33">
        <f t="shared" si="92"/>
        <v>685</v>
      </c>
      <c r="L105" s="33">
        <f t="shared" si="92"/>
        <v>678</v>
      </c>
      <c r="M105" s="33">
        <f t="shared" si="92"/>
        <v>706</v>
      </c>
      <c r="N105" s="33">
        <f t="shared" si="92"/>
        <v>705</v>
      </c>
      <c r="O105" s="33">
        <v>707</v>
      </c>
      <c r="P105" s="32">
        <f t="shared" si="91"/>
        <v>707</v>
      </c>
    </row>
    <row r="106" spans="1:16" s="2" customFormat="1" ht="15.6" customHeight="1" x14ac:dyDescent="0.3">
      <c r="A106" s="639" t="s">
        <v>210</v>
      </c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40"/>
      <c r="P106" s="641"/>
    </row>
    <row r="107" spans="1:16" ht="15.6" x14ac:dyDescent="0.3">
      <c r="A107" s="591" t="s">
        <v>193</v>
      </c>
      <c r="B107" s="592"/>
      <c r="C107" s="11" t="s">
        <v>3</v>
      </c>
      <c r="D107" s="551">
        <v>1339</v>
      </c>
      <c r="E107" s="4">
        <v>1319</v>
      </c>
      <c r="F107" s="4">
        <v>1345</v>
      </c>
      <c r="G107" s="4">
        <v>1358</v>
      </c>
      <c r="H107" s="4">
        <v>1377</v>
      </c>
      <c r="I107" s="4">
        <v>1378</v>
      </c>
      <c r="J107" s="4">
        <v>1387</v>
      </c>
      <c r="K107" s="4">
        <v>1389</v>
      </c>
      <c r="L107" s="4">
        <v>1399</v>
      </c>
      <c r="M107" s="4">
        <v>1388</v>
      </c>
      <c r="N107" s="4">
        <v>1393</v>
      </c>
      <c r="O107" s="4">
        <v>1406</v>
      </c>
      <c r="P107" s="32">
        <f t="shared" si="91"/>
        <v>1406</v>
      </c>
    </row>
    <row r="108" spans="1:16" ht="15.6" x14ac:dyDescent="0.3">
      <c r="A108" s="591" t="s">
        <v>194</v>
      </c>
      <c r="B108" s="592"/>
      <c r="C108" s="11" t="s">
        <v>3</v>
      </c>
      <c r="D108" s="551">
        <v>5</v>
      </c>
      <c r="E108" s="4">
        <v>5</v>
      </c>
      <c r="F108" s="4">
        <v>5</v>
      </c>
      <c r="G108" s="4">
        <v>6</v>
      </c>
      <c r="H108" s="4">
        <v>6</v>
      </c>
      <c r="I108" s="4">
        <v>6</v>
      </c>
      <c r="J108" s="4">
        <v>6</v>
      </c>
      <c r="K108" s="4">
        <v>6</v>
      </c>
      <c r="L108" s="4">
        <v>6</v>
      </c>
      <c r="M108" s="4">
        <v>6</v>
      </c>
      <c r="N108" s="4">
        <v>6</v>
      </c>
      <c r="O108" s="4">
        <v>6</v>
      </c>
      <c r="P108" s="32">
        <f t="shared" si="91"/>
        <v>6</v>
      </c>
    </row>
    <row r="109" spans="1:16" ht="15.6" x14ac:dyDescent="0.3">
      <c r="A109" s="591" t="s">
        <v>195</v>
      </c>
      <c r="B109" s="592"/>
      <c r="C109" s="11" t="s">
        <v>3</v>
      </c>
      <c r="D109" s="551">
        <v>8</v>
      </c>
      <c r="E109" s="4">
        <v>8</v>
      </c>
      <c r="F109" s="4">
        <v>9</v>
      </c>
      <c r="G109" s="4">
        <v>9</v>
      </c>
      <c r="H109" s="4">
        <v>9</v>
      </c>
      <c r="I109" s="4">
        <v>9</v>
      </c>
      <c r="J109" s="4">
        <v>9</v>
      </c>
      <c r="K109" s="4">
        <v>9</v>
      </c>
      <c r="L109" s="4">
        <v>9</v>
      </c>
      <c r="M109" s="4">
        <v>9</v>
      </c>
      <c r="N109" s="4">
        <v>9</v>
      </c>
      <c r="O109" s="4">
        <v>9</v>
      </c>
      <c r="P109" s="32">
        <f t="shared" si="91"/>
        <v>9</v>
      </c>
    </row>
    <row r="110" spans="1:16" ht="15.6" x14ac:dyDescent="0.3">
      <c r="A110" s="591" t="s">
        <v>196</v>
      </c>
      <c r="B110" s="592"/>
      <c r="C110" s="11" t="s">
        <v>3</v>
      </c>
      <c r="D110" s="551">
        <v>8</v>
      </c>
      <c r="E110" s="4">
        <v>8</v>
      </c>
      <c r="F110" s="4">
        <v>8</v>
      </c>
      <c r="G110" s="4">
        <v>8</v>
      </c>
      <c r="H110" s="4">
        <v>8</v>
      </c>
      <c r="I110" s="4">
        <v>8</v>
      </c>
      <c r="J110" s="4">
        <v>8</v>
      </c>
      <c r="K110" s="4">
        <v>8</v>
      </c>
      <c r="L110" s="4">
        <v>8</v>
      </c>
      <c r="M110" s="4">
        <v>8</v>
      </c>
      <c r="N110" s="4">
        <v>8</v>
      </c>
      <c r="O110" s="4">
        <v>8</v>
      </c>
      <c r="P110" s="32">
        <f t="shared" si="91"/>
        <v>8</v>
      </c>
    </row>
    <row r="111" spans="1:16" ht="15.6" x14ac:dyDescent="0.3">
      <c r="A111" s="593" t="s">
        <v>95</v>
      </c>
      <c r="B111" s="594"/>
      <c r="C111" s="11" t="s">
        <v>3</v>
      </c>
      <c r="D111" s="33">
        <f>SUM(D107:D110)</f>
        <v>1360</v>
      </c>
      <c r="E111" s="33">
        <f t="shared" ref="E111:N111" si="93">SUM(E107:E110)</f>
        <v>1340</v>
      </c>
      <c r="F111" s="33">
        <f t="shared" si="93"/>
        <v>1367</v>
      </c>
      <c r="G111" s="33">
        <f t="shared" si="93"/>
        <v>1381</v>
      </c>
      <c r="H111" s="33">
        <f t="shared" si="93"/>
        <v>1400</v>
      </c>
      <c r="I111" s="33">
        <f t="shared" si="93"/>
        <v>1401</v>
      </c>
      <c r="J111" s="33">
        <f t="shared" si="93"/>
        <v>1410</v>
      </c>
      <c r="K111" s="33">
        <f t="shared" si="93"/>
        <v>1412</v>
      </c>
      <c r="L111" s="33">
        <f t="shared" si="93"/>
        <v>1422</v>
      </c>
      <c r="M111" s="33">
        <f t="shared" si="93"/>
        <v>1411</v>
      </c>
      <c r="N111" s="33">
        <f t="shared" si="93"/>
        <v>1416</v>
      </c>
      <c r="O111" s="33">
        <v>1429</v>
      </c>
      <c r="P111" s="32">
        <f t="shared" si="91"/>
        <v>1429</v>
      </c>
    </row>
    <row r="112" spans="1:16" s="2" customFormat="1" ht="15.6" customHeight="1" x14ac:dyDescent="0.3">
      <c r="A112" s="642" t="s">
        <v>210</v>
      </c>
      <c r="B112" s="643"/>
      <c r="C112" s="643"/>
      <c r="D112" s="643"/>
      <c r="E112" s="643"/>
      <c r="F112" s="643"/>
      <c r="G112" s="643"/>
      <c r="H112" s="643"/>
      <c r="I112" s="643"/>
      <c r="J112" s="643"/>
      <c r="K112" s="643"/>
      <c r="L112" s="643"/>
      <c r="M112" s="643"/>
      <c r="N112" s="643"/>
      <c r="O112" s="643"/>
      <c r="P112" s="644"/>
    </row>
    <row r="113" spans="1:16" ht="15.6" x14ac:dyDescent="0.3">
      <c r="A113" s="591" t="s">
        <v>197</v>
      </c>
      <c r="B113" s="592"/>
      <c r="C113" s="11" t="s">
        <v>3</v>
      </c>
      <c r="D113" s="33">
        <v>307</v>
      </c>
      <c r="E113" s="33">
        <v>307</v>
      </c>
      <c r="F113" s="33">
        <v>307</v>
      </c>
      <c r="G113" s="33">
        <v>307</v>
      </c>
      <c r="H113" s="33">
        <v>307</v>
      </c>
      <c r="I113" s="33">
        <v>307</v>
      </c>
      <c r="J113" s="33">
        <v>307</v>
      </c>
      <c r="K113" s="33">
        <v>307</v>
      </c>
      <c r="L113" s="130">
        <v>307</v>
      </c>
      <c r="M113" s="130">
        <v>307</v>
      </c>
      <c r="N113" s="130">
        <v>307</v>
      </c>
      <c r="O113" s="130">
        <v>307</v>
      </c>
      <c r="P113" s="32">
        <f t="shared" si="91"/>
        <v>307</v>
      </c>
    </row>
    <row r="114" spans="1:16" ht="15.6" x14ac:dyDescent="0.3">
      <c r="A114" s="591" t="s">
        <v>198</v>
      </c>
      <c r="B114" s="592"/>
      <c r="C114" s="11" t="s">
        <v>3</v>
      </c>
      <c r="D114" s="33">
        <v>27</v>
      </c>
      <c r="E114" s="4">
        <f>D114+E77</f>
        <v>27</v>
      </c>
      <c r="F114" s="4">
        <f t="shared" ref="F114:I114" si="94">E114+F77</f>
        <v>27</v>
      </c>
      <c r="G114" s="4">
        <f t="shared" si="94"/>
        <v>27</v>
      </c>
      <c r="H114" s="4">
        <f t="shared" si="94"/>
        <v>27</v>
      </c>
      <c r="I114" s="4">
        <f t="shared" si="94"/>
        <v>27</v>
      </c>
      <c r="J114" s="4">
        <v>27</v>
      </c>
      <c r="K114" s="4">
        <f t="shared" ref="K114" si="95">J114+K77</f>
        <v>27</v>
      </c>
      <c r="L114" s="130">
        <v>27</v>
      </c>
      <c r="M114" s="130">
        <v>27</v>
      </c>
      <c r="N114" s="130">
        <v>27</v>
      </c>
      <c r="O114" s="130">
        <v>27</v>
      </c>
      <c r="P114" s="32">
        <f t="shared" si="91"/>
        <v>27</v>
      </c>
    </row>
    <row r="115" spans="1:16" ht="15.6" x14ac:dyDescent="0.3">
      <c r="A115" s="591" t="s">
        <v>199</v>
      </c>
      <c r="B115" s="592"/>
      <c r="C115" s="11" t="s">
        <v>3</v>
      </c>
      <c r="D115" s="33">
        <v>61</v>
      </c>
      <c r="E115" s="4">
        <f>D115+E83</f>
        <v>61</v>
      </c>
      <c r="F115" s="4">
        <f t="shared" ref="F115:G115" si="96">E115+F83</f>
        <v>61</v>
      </c>
      <c r="G115" s="4">
        <f t="shared" si="96"/>
        <v>61</v>
      </c>
      <c r="H115" s="4">
        <v>62</v>
      </c>
      <c r="I115" s="4">
        <v>62</v>
      </c>
      <c r="J115" s="4">
        <v>62</v>
      </c>
      <c r="K115" s="4">
        <f t="shared" ref="K115" si="97">J115+K83</f>
        <v>64</v>
      </c>
      <c r="L115" s="130">
        <v>62</v>
      </c>
      <c r="M115" s="130">
        <v>62</v>
      </c>
      <c r="N115" s="130">
        <v>62</v>
      </c>
      <c r="O115" s="130">
        <v>62</v>
      </c>
      <c r="P115" s="32">
        <f t="shared" si="91"/>
        <v>62</v>
      </c>
    </row>
    <row r="116" spans="1:16" ht="15.6" x14ac:dyDescent="0.3">
      <c r="A116" s="591" t="s">
        <v>200</v>
      </c>
      <c r="B116" s="592"/>
      <c r="C116" s="11" t="s">
        <v>3</v>
      </c>
      <c r="D116" s="33">
        <v>1</v>
      </c>
      <c r="E116" s="4">
        <f>D116+E89</f>
        <v>1</v>
      </c>
      <c r="F116" s="4">
        <f t="shared" ref="F116:I116" si="98">E116+F89</f>
        <v>1</v>
      </c>
      <c r="G116" s="4">
        <f t="shared" si="98"/>
        <v>1</v>
      </c>
      <c r="H116" s="4">
        <f t="shared" si="98"/>
        <v>1</v>
      </c>
      <c r="I116" s="4">
        <f t="shared" si="98"/>
        <v>1</v>
      </c>
      <c r="J116" s="4">
        <v>1</v>
      </c>
      <c r="K116" s="4">
        <f t="shared" ref="K116" si="99">J116+K89</f>
        <v>1</v>
      </c>
      <c r="L116" s="130">
        <v>1</v>
      </c>
      <c r="M116" s="130">
        <v>1</v>
      </c>
      <c r="N116" s="130">
        <v>1</v>
      </c>
      <c r="O116" s="130">
        <v>1</v>
      </c>
      <c r="P116" s="32">
        <f t="shared" si="91"/>
        <v>1</v>
      </c>
    </row>
    <row r="117" spans="1:16" ht="15.6" x14ac:dyDescent="0.3">
      <c r="A117" s="593" t="s">
        <v>94</v>
      </c>
      <c r="B117" s="594"/>
      <c r="C117" s="11" t="s">
        <v>3</v>
      </c>
      <c r="D117" s="33">
        <f>SUM(D113:D116)</f>
        <v>396</v>
      </c>
      <c r="E117" s="33">
        <f t="shared" ref="E117:P117" si="100">SUM(E113:E116)</f>
        <v>396</v>
      </c>
      <c r="F117" s="33">
        <f t="shared" si="100"/>
        <v>396</v>
      </c>
      <c r="G117" s="33">
        <f t="shared" si="100"/>
        <v>396</v>
      </c>
      <c r="H117" s="33">
        <f t="shared" ref="H117:I117" si="101">SUM(H113:H116)</f>
        <v>397</v>
      </c>
      <c r="I117" s="33">
        <f t="shared" si="101"/>
        <v>397</v>
      </c>
      <c r="J117" s="166">
        <f t="shared" ref="J117:K117" si="102">SUM(J113:J116)</f>
        <v>397</v>
      </c>
      <c r="K117" s="166">
        <f t="shared" si="102"/>
        <v>399</v>
      </c>
      <c r="L117" s="166">
        <f t="shared" si="100"/>
        <v>397</v>
      </c>
      <c r="M117" s="166">
        <f t="shared" ref="M117" si="103">SUM(M113:M116)</f>
        <v>397</v>
      </c>
      <c r="N117" s="166">
        <f t="shared" si="100"/>
        <v>397</v>
      </c>
      <c r="O117" s="166">
        <v>397</v>
      </c>
      <c r="P117" s="55">
        <f t="shared" si="100"/>
        <v>397</v>
      </c>
    </row>
    <row r="118" spans="1:16" s="2" customFormat="1" ht="15.6" x14ac:dyDescent="0.3">
      <c r="A118" s="80" t="s">
        <v>191</v>
      </c>
      <c r="B118" s="81"/>
      <c r="C118" s="11" t="s">
        <v>3</v>
      </c>
      <c r="D118" s="33">
        <f t="shared" ref="D118:I118" si="104">D111+D117</f>
        <v>1756</v>
      </c>
      <c r="E118" s="33">
        <f t="shared" si="104"/>
        <v>1736</v>
      </c>
      <c r="F118" s="33">
        <f t="shared" si="104"/>
        <v>1763</v>
      </c>
      <c r="G118" s="33">
        <f t="shared" si="104"/>
        <v>1777</v>
      </c>
      <c r="H118" s="33">
        <f t="shared" si="104"/>
        <v>1797</v>
      </c>
      <c r="I118" s="33">
        <f t="shared" si="104"/>
        <v>1798</v>
      </c>
      <c r="J118" s="166">
        <f t="shared" ref="J118:K118" si="105">J111+J117</f>
        <v>1807</v>
      </c>
      <c r="K118" s="166">
        <f t="shared" si="105"/>
        <v>1811</v>
      </c>
      <c r="L118" s="166">
        <f t="shared" ref="L118:M118" si="106">L111+L117</f>
        <v>1819</v>
      </c>
      <c r="M118" s="166">
        <f t="shared" si="106"/>
        <v>1808</v>
      </c>
      <c r="N118" s="166">
        <f t="shared" ref="N118" si="107">N111+N117</f>
        <v>1813</v>
      </c>
      <c r="O118" s="166">
        <v>1826</v>
      </c>
      <c r="P118" s="166">
        <f t="shared" ref="P118" si="108">P111+P117</f>
        <v>1826</v>
      </c>
    </row>
    <row r="119" spans="1:16" ht="15.6" x14ac:dyDescent="0.3">
      <c r="A119" s="593" t="s">
        <v>192</v>
      </c>
      <c r="B119" s="594"/>
      <c r="C119" s="11" t="s">
        <v>3</v>
      </c>
      <c r="D119" s="33">
        <f t="shared" ref="D119:I119" si="109">D105+D118</f>
        <v>2412</v>
      </c>
      <c r="E119" s="33">
        <f t="shared" si="109"/>
        <v>2430</v>
      </c>
      <c r="F119" s="33">
        <f t="shared" si="109"/>
        <v>2447</v>
      </c>
      <c r="G119" s="33">
        <f t="shared" si="109"/>
        <v>2463</v>
      </c>
      <c r="H119" s="33">
        <f t="shared" si="109"/>
        <v>2477</v>
      </c>
      <c r="I119" s="33">
        <f t="shared" si="109"/>
        <v>2477</v>
      </c>
      <c r="J119" s="166">
        <f t="shared" ref="J119:K119" si="110">J105+J118</f>
        <v>2485</v>
      </c>
      <c r="K119" s="166">
        <f t="shared" si="110"/>
        <v>2496</v>
      </c>
      <c r="L119" s="166">
        <f t="shared" ref="L119:M119" si="111">L105+L118</f>
        <v>2497</v>
      </c>
      <c r="M119" s="166">
        <f t="shared" si="111"/>
        <v>2514</v>
      </c>
      <c r="N119" s="166">
        <f t="shared" ref="N119" si="112">N105+N118</f>
        <v>2518</v>
      </c>
      <c r="O119" s="166">
        <v>2533</v>
      </c>
      <c r="P119" s="166">
        <f t="shared" ref="P119" si="113">P105+P118</f>
        <v>2533</v>
      </c>
    </row>
    <row r="120" spans="1:16" x14ac:dyDescent="0.3">
      <c r="A120" s="595" t="s">
        <v>201</v>
      </c>
      <c r="B120" s="596"/>
      <c r="C120" s="596"/>
      <c r="D120" s="596"/>
      <c r="E120" s="596"/>
      <c r="F120" s="596"/>
      <c r="G120" s="596"/>
      <c r="H120" s="596"/>
      <c r="I120" s="596"/>
      <c r="J120" s="596"/>
      <c r="K120" s="596"/>
      <c r="L120" s="596"/>
      <c r="M120" s="596"/>
      <c r="N120" s="596"/>
      <c r="O120" s="596"/>
      <c r="P120" s="597"/>
    </row>
    <row r="121" spans="1:16" ht="15.6" x14ac:dyDescent="0.3">
      <c r="A121" s="591" t="s">
        <v>93</v>
      </c>
      <c r="B121" s="592"/>
      <c r="C121" s="5" t="s">
        <v>3</v>
      </c>
      <c r="D121" s="551">
        <v>20989</v>
      </c>
      <c r="E121" s="4">
        <f>D121*1.002</f>
        <v>21030.977999999999</v>
      </c>
      <c r="F121" s="4">
        <f t="shared" ref="F121:G121" si="114">E121*1.002</f>
        <v>21073.039956000001</v>
      </c>
      <c r="G121" s="4">
        <f t="shared" si="114"/>
        <v>21115.186035912</v>
      </c>
      <c r="H121" s="129">
        <v>21157.416407983823</v>
      </c>
      <c r="I121" s="4">
        <f t="shared" ref="I121:K121" si="115">H121*1.002</f>
        <v>21199.731240799789</v>
      </c>
      <c r="J121" s="4">
        <f t="shared" si="115"/>
        <v>21242.130703281389</v>
      </c>
      <c r="K121" s="4">
        <f t="shared" si="115"/>
        <v>21284.614964687953</v>
      </c>
      <c r="L121" s="129">
        <v>21327.18419461733</v>
      </c>
      <c r="M121" s="129">
        <v>21369.838563006564</v>
      </c>
      <c r="N121" s="4">
        <f t="shared" ref="N121" si="116">M121*1.002</f>
        <v>21412.578240132578</v>
      </c>
      <c r="O121" s="129">
        <v>21455.403396612845</v>
      </c>
      <c r="P121" s="31">
        <f>O121</f>
        <v>21455.403396612845</v>
      </c>
    </row>
    <row r="122" spans="1:16" ht="15.6" x14ac:dyDescent="0.3">
      <c r="A122" s="591" t="s">
        <v>92</v>
      </c>
      <c r="B122" s="592"/>
      <c r="C122" s="5" t="s">
        <v>3</v>
      </c>
      <c r="D122" s="551">
        <v>16373</v>
      </c>
      <c r="E122" s="4">
        <f>D122+(E96*2)</f>
        <v>16373</v>
      </c>
      <c r="F122" s="4">
        <f t="shared" ref="F122:G122" si="117">E122+(F96*2)</f>
        <v>16373</v>
      </c>
      <c r="G122" s="4">
        <f t="shared" si="117"/>
        <v>16373</v>
      </c>
      <c r="H122" s="129">
        <v>16503</v>
      </c>
      <c r="I122" s="4">
        <f t="shared" ref="I122:K122" si="118">H122+(I96*2)</f>
        <v>16503</v>
      </c>
      <c r="J122" s="4">
        <f t="shared" si="118"/>
        <v>16503</v>
      </c>
      <c r="K122" s="4">
        <f t="shared" si="118"/>
        <v>16503</v>
      </c>
      <c r="L122" s="129">
        <v>16557</v>
      </c>
      <c r="M122" s="129">
        <v>16591</v>
      </c>
      <c r="N122" s="4">
        <f t="shared" ref="N122" si="119">M122+(N96*2)</f>
        <v>16591</v>
      </c>
      <c r="O122" s="129">
        <v>16629</v>
      </c>
      <c r="P122" s="31">
        <f>O122</f>
        <v>16629</v>
      </c>
    </row>
    <row r="123" spans="1:16" ht="15.6" x14ac:dyDescent="0.3">
      <c r="A123" s="647" t="s">
        <v>91</v>
      </c>
      <c r="B123" s="648"/>
      <c r="C123" s="30" t="s">
        <v>6</v>
      </c>
      <c r="D123" s="29">
        <f t="shared" ref="D123:G123" si="120">D122/D121</f>
        <v>0.78007527752632333</v>
      </c>
      <c r="E123" s="29">
        <f t="shared" si="120"/>
        <v>0.77851824104423484</v>
      </c>
      <c r="F123" s="29">
        <f t="shared" si="120"/>
        <v>0.77696431241939601</v>
      </c>
      <c r="G123" s="29">
        <f t="shared" si="120"/>
        <v>0.77541348544849908</v>
      </c>
      <c r="H123" s="29">
        <f t="shared" ref="H123:P123" si="121">H122/H121</f>
        <v>0.7800101714580111</v>
      </c>
      <c r="I123" s="29">
        <f t="shared" si="121"/>
        <v>0.77845326492815492</v>
      </c>
      <c r="J123" s="29">
        <f t="shared" si="121"/>
        <v>0.77689946599616255</v>
      </c>
      <c r="K123" s="29">
        <f t="shared" si="121"/>
        <v>0.77534876845924405</v>
      </c>
      <c r="L123" s="29">
        <f t="shared" si="121"/>
        <v>0.7763331459470747</v>
      </c>
      <c r="M123" s="29">
        <f t="shared" si="121"/>
        <v>0.77637460625092247</v>
      </c>
      <c r="N123" s="29">
        <f t="shared" si="121"/>
        <v>0.774824956338246</v>
      </c>
      <c r="O123" s="29">
        <v>0.77504951515501286</v>
      </c>
      <c r="P123" s="109">
        <f t="shared" si="121"/>
        <v>0.77504951515501286</v>
      </c>
    </row>
    <row r="124" spans="1:16" x14ac:dyDescent="0.3">
      <c r="A124" s="649" t="s">
        <v>90</v>
      </c>
      <c r="B124" s="650"/>
      <c r="C124" s="650"/>
      <c r="D124" s="650"/>
      <c r="E124" s="650"/>
      <c r="F124" s="650"/>
      <c r="G124" s="650"/>
      <c r="H124" s="650"/>
      <c r="I124" s="650"/>
      <c r="J124" s="650"/>
      <c r="K124" s="650"/>
      <c r="L124" s="650"/>
      <c r="M124" s="650"/>
      <c r="N124" s="650"/>
      <c r="O124" s="650"/>
      <c r="P124" s="651"/>
    </row>
    <row r="125" spans="1:16" ht="15.6" x14ac:dyDescent="0.3">
      <c r="A125" s="605" t="s">
        <v>227</v>
      </c>
      <c r="B125" s="24" t="s">
        <v>85</v>
      </c>
      <c r="C125" s="11" t="s">
        <v>3</v>
      </c>
      <c r="D125" s="4"/>
      <c r="E125" s="4">
        <f>D129</f>
        <v>0</v>
      </c>
      <c r="F125" s="4">
        <f t="shared" ref="F125:G125" si="122">E129</f>
        <v>0</v>
      </c>
      <c r="G125" s="4">
        <f t="shared" si="122"/>
        <v>0</v>
      </c>
      <c r="H125" s="155"/>
      <c r="I125" s="155"/>
      <c r="J125" s="155"/>
      <c r="K125" s="155"/>
      <c r="L125" s="155"/>
      <c r="M125" s="155"/>
      <c r="N125" s="155"/>
      <c r="O125" s="155"/>
      <c r="P125" s="25">
        <f>D125</f>
        <v>0</v>
      </c>
    </row>
    <row r="126" spans="1:16" ht="15.6" x14ac:dyDescent="0.3">
      <c r="A126" s="655"/>
      <c r="B126" s="24" t="s">
        <v>84</v>
      </c>
      <c r="C126" s="11" t="s">
        <v>3</v>
      </c>
      <c r="D126" s="4"/>
      <c r="E126" s="4"/>
      <c r="F126" s="4"/>
      <c r="G126" s="4"/>
      <c r="H126" s="153"/>
      <c r="I126" s="153"/>
      <c r="J126" s="153"/>
      <c r="K126" s="153"/>
      <c r="L126" s="153"/>
      <c r="M126" s="153"/>
      <c r="N126" s="153"/>
      <c r="O126" s="153"/>
      <c r="P126" s="18">
        <f>SUM(D126:O126)</f>
        <v>0</v>
      </c>
    </row>
    <row r="127" spans="1:16" ht="15.6" x14ac:dyDescent="0.3">
      <c r="A127" s="655"/>
      <c r="B127" s="82" t="s">
        <v>88</v>
      </c>
      <c r="C127" s="11" t="s">
        <v>3</v>
      </c>
      <c r="D127" s="4"/>
      <c r="E127" s="4"/>
      <c r="F127" s="4"/>
      <c r="G127" s="4"/>
      <c r="H127" s="153"/>
      <c r="I127" s="153"/>
      <c r="J127" s="153"/>
      <c r="K127" s="153"/>
      <c r="L127" s="153"/>
      <c r="M127" s="153"/>
      <c r="N127" s="153"/>
      <c r="O127" s="153"/>
      <c r="P127" s="18">
        <f>SUM(D127:O127)</f>
        <v>0</v>
      </c>
    </row>
    <row r="128" spans="1:16" ht="15.6" x14ac:dyDescent="0.3">
      <c r="A128" s="655"/>
      <c r="B128" s="24" t="s">
        <v>82</v>
      </c>
      <c r="C128" s="11" t="s">
        <v>3</v>
      </c>
      <c r="D128" s="4"/>
      <c r="E128" s="4"/>
      <c r="F128" s="4"/>
      <c r="G128" s="4"/>
      <c r="H128" s="153"/>
      <c r="I128" s="153"/>
      <c r="J128" s="153"/>
      <c r="K128" s="153"/>
      <c r="L128" s="153"/>
      <c r="M128" s="153"/>
      <c r="N128" s="153"/>
      <c r="O128" s="153"/>
      <c r="P128" s="18">
        <f>SUM(D128:O128)</f>
        <v>0</v>
      </c>
    </row>
    <row r="129" spans="1:16" ht="15.6" x14ac:dyDescent="0.3">
      <c r="A129" s="606"/>
      <c r="B129" s="24" t="s">
        <v>81</v>
      </c>
      <c r="C129" s="11" t="s">
        <v>3</v>
      </c>
      <c r="D129" s="4">
        <f>D125+D126-D127-D128</f>
        <v>0</v>
      </c>
      <c r="E129" s="4">
        <f t="shared" ref="E129:G129" si="123">E125+E126-E127-E128</f>
        <v>0</v>
      </c>
      <c r="F129" s="4">
        <f t="shared" si="123"/>
        <v>0</v>
      </c>
      <c r="G129" s="4">
        <f t="shared" si="123"/>
        <v>0</v>
      </c>
      <c r="H129" s="155">
        <f t="shared" ref="H129:I129" si="124">H125+H126-H127-H128</f>
        <v>0</v>
      </c>
      <c r="I129" s="155">
        <f t="shared" si="124"/>
        <v>0</v>
      </c>
      <c r="J129" s="155">
        <f t="shared" ref="J129:K129" si="125">J125+J126-J127-J128</f>
        <v>0</v>
      </c>
      <c r="K129" s="155">
        <f t="shared" si="125"/>
        <v>0</v>
      </c>
      <c r="L129" s="155">
        <f t="shared" ref="L129:M129" si="126">L125+L126-L127-L128</f>
        <v>0</v>
      </c>
      <c r="M129" s="155">
        <f t="shared" si="126"/>
        <v>0</v>
      </c>
      <c r="N129" s="155">
        <f t="shared" ref="N129" si="127">N125+N126-N127-N128</f>
        <v>0</v>
      </c>
      <c r="O129" s="155">
        <v>0</v>
      </c>
      <c r="P129" s="25">
        <f>P125+P126-P127-P128</f>
        <v>0</v>
      </c>
    </row>
    <row r="130" spans="1:16" ht="15.6" x14ac:dyDescent="0.3">
      <c r="A130" s="605" t="s">
        <v>228</v>
      </c>
      <c r="B130" s="28" t="s">
        <v>85</v>
      </c>
      <c r="C130" s="27" t="s">
        <v>3</v>
      </c>
      <c r="D130" s="4">
        <v>1</v>
      </c>
      <c r="E130" s="4">
        <f>D134</f>
        <v>1</v>
      </c>
      <c r="F130" s="4">
        <f t="shared" ref="F130:K130" si="128">E134</f>
        <v>1</v>
      </c>
      <c r="G130" s="4">
        <f t="shared" si="128"/>
        <v>1</v>
      </c>
      <c r="H130" s="4">
        <f t="shared" si="128"/>
        <v>1</v>
      </c>
      <c r="I130" s="4">
        <f t="shared" si="128"/>
        <v>1</v>
      </c>
      <c r="J130" s="4">
        <f t="shared" si="128"/>
        <v>1</v>
      </c>
      <c r="K130" s="4">
        <f t="shared" si="128"/>
        <v>1</v>
      </c>
      <c r="L130" s="155">
        <v>1</v>
      </c>
      <c r="M130" s="155">
        <v>1</v>
      </c>
      <c r="N130" s="4">
        <f t="shared" ref="N130" si="129">M134</f>
        <v>1</v>
      </c>
      <c r="O130" s="155">
        <v>1</v>
      </c>
      <c r="P130" s="25">
        <f>D130</f>
        <v>1</v>
      </c>
    </row>
    <row r="131" spans="1:16" ht="15.6" x14ac:dyDescent="0.3">
      <c r="A131" s="655"/>
      <c r="B131" s="24" t="s">
        <v>84</v>
      </c>
      <c r="C131" s="11" t="s">
        <v>3</v>
      </c>
      <c r="D131" s="4"/>
      <c r="E131" s="4"/>
      <c r="F131" s="4"/>
      <c r="G131" s="4"/>
      <c r="H131" s="4"/>
      <c r="I131" s="153"/>
      <c r="J131" s="153"/>
      <c r="K131" s="153"/>
      <c r="L131" s="153"/>
      <c r="M131" s="153"/>
      <c r="N131" s="153"/>
      <c r="O131" s="153"/>
      <c r="P131" s="18">
        <f>SUM(D131:O131)</f>
        <v>0</v>
      </c>
    </row>
    <row r="132" spans="1:16" ht="15.6" x14ac:dyDescent="0.3">
      <c r="A132" s="655"/>
      <c r="B132" s="82" t="s">
        <v>88</v>
      </c>
      <c r="C132" s="11" t="s">
        <v>3</v>
      </c>
      <c r="D132" s="4"/>
      <c r="E132" s="4"/>
      <c r="F132" s="4"/>
      <c r="G132" s="4"/>
      <c r="H132" s="4"/>
      <c r="I132" s="153"/>
      <c r="J132" s="153"/>
      <c r="K132" s="153"/>
      <c r="L132" s="153"/>
      <c r="M132" s="153"/>
      <c r="N132" s="153"/>
      <c r="O132" s="153"/>
      <c r="P132" s="18">
        <f>SUM(D132:O132)</f>
        <v>0</v>
      </c>
    </row>
    <row r="133" spans="1:16" ht="15.6" x14ac:dyDescent="0.3">
      <c r="A133" s="655"/>
      <c r="B133" s="24" t="s">
        <v>82</v>
      </c>
      <c r="C133" s="11" t="s">
        <v>3</v>
      </c>
      <c r="D133" s="4"/>
      <c r="E133" s="4"/>
      <c r="F133" s="4"/>
      <c r="G133" s="4"/>
      <c r="H133" s="4"/>
      <c r="I133" s="153"/>
      <c r="J133" s="153"/>
      <c r="K133" s="153"/>
      <c r="L133" s="153"/>
      <c r="M133" s="153"/>
      <c r="N133" s="153"/>
      <c r="O133" s="153"/>
      <c r="P133" s="18">
        <f>SUM(D133:O133)</f>
        <v>0</v>
      </c>
    </row>
    <row r="134" spans="1:16" ht="15.6" x14ac:dyDescent="0.3">
      <c r="A134" s="606"/>
      <c r="B134" s="24" t="s">
        <v>81</v>
      </c>
      <c r="C134" s="11" t="s">
        <v>3</v>
      </c>
      <c r="D134" s="4">
        <f>D130+D131-D132-D133</f>
        <v>1</v>
      </c>
      <c r="E134" s="4">
        <f t="shared" ref="E134:H134" si="130">E130+E131-E132-E133</f>
        <v>1</v>
      </c>
      <c r="F134" s="4">
        <f t="shared" si="130"/>
        <v>1</v>
      </c>
      <c r="G134" s="4">
        <f t="shared" si="130"/>
        <v>1</v>
      </c>
      <c r="H134" s="4">
        <f t="shared" si="130"/>
        <v>1</v>
      </c>
      <c r="I134" s="155">
        <f t="shared" ref="I134" si="131">I130+I131-I132-I133</f>
        <v>1</v>
      </c>
      <c r="J134" s="155">
        <f t="shared" ref="J134:K134" si="132">J130+J131-J132-J133</f>
        <v>1</v>
      </c>
      <c r="K134" s="155">
        <f t="shared" si="132"/>
        <v>1</v>
      </c>
      <c r="L134" s="155">
        <f t="shared" ref="L134:M134" si="133">L130+L131-L132-L133</f>
        <v>1</v>
      </c>
      <c r="M134" s="155">
        <f t="shared" si="133"/>
        <v>1</v>
      </c>
      <c r="N134" s="155">
        <f t="shared" ref="N134" si="134">N130+N131-N132-N133</f>
        <v>1</v>
      </c>
      <c r="O134" s="155">
        <v>1</v>
      </c>
      <c r="P134" s="25">
        <f>P130+P131-P132-P133</f>
        <v>1</v>
      </c>
    </row>
    <row r="135" spans="1:16" ht="15.6" x14ac:dyDescent="0.3">
      <c r="A135" s="605" t="s">
        <v>89</v>
      </c>
      <c r="B135" s="24" t="s">
        <v>85</v>
      </c>
      <c r="C135" s="11" t="s">
        <v>3</v>
      </c>
      <c r="D135" s="4"/>
      <c r="E135" s="4">
        <f>D139</f>
        <v>0</v>
      </c>
      <c r="F135" s="4">
        <f t="shared" ref="F135:G135" si="135">E139</f>
        <v>0</v>
      </c>
      <c r="G135" s="4">
        <f t="shared" si="135"/>
        <v>0</v>
      </c>
      <c r="H135" s="155"/>
      <c r="I135" s="155"/>
      <c r="J135" s="155"/>
      <c r="K135" s="155"/>
      <c r="L135" s="155"/>
      <c r="M135" s="155"/>
      <c r="N135" s="155"/>
      <c r="O135" s="155"/>
      <c r="P135" s="25">
        <f>D135</f>
        <v>0</v>
      </c>
    </row>
    <row r="136" spans="1:16" ht="15.6" x14ac:dyDescent="0.3">
      <c r="A136" s="655"/>
      <c r="B136" s="24" t="s">
        <v>84</v>
      </c>
      <c r="C136" s="11" t="s">
        <v>3</v>
      </c>
      <c r="D136" s="4"/>
      <c r="E136" s="4"/>
      <c r="F136" s="4"/>
      <c r="G136" s="4"/>
      <c r="H136" s="153"/>
      <c r="I136" s="153"/>
      <c r="J136" s="153"/>
      <c r="K136" s="153"/>
      <c r="L136" s="153"/>
      <c r="M136" s="153"/>
      <c r="N136" s="153"/>
      <c r="O136" s="153"/>
      <c r="P136" s="18">
        <f>SUM(D136:O136)</f>
        <v>0</v>
      </c>
    </row>
    <row r="137" spans="1:16" ht="15.6" x14ac:dyDescent="0.3">
      <c r="A137" s="655"/>
      <c r="B137" s="82" t="s">
        <v>88</v>
      </c>
      <c r="C137" s="11" t="s">
        <v>3</v>
      </c>
      <c r="D137" s="4"/>
      <c r="E137" s="4"/>
      <c r="F137" s="4"/>
      <c r="G137" s="4"/>
      <c r="H137" s="153"/>
      <c r="I137" s="153"/>
      <c r="J137" s="153"/>
      <c r="K137" s="153"/>
      <c r="L137" s="153"/>
      <c r="M137" s="153"/>
      <c r="N137" s="153"/>
      <c r="O137" s="153"/>
      <c r="P137" s="18">
        <f>SUM(D137:O137)</f>
        <v>0</v>
      </c>
    </row>
    <row r="138" spans="1:16" ht="15.6" x14ac:dyDescent="0.3">
      <c r="A138" s="655"/>
      <c r="B138" s="24" t="s">
        <v>82</v>
      </c>
      <c r="C138" s="11" t="s">
        <v>3</v>
      </c>
      <c r="D138" s="4"/>
      <c r="E138" s="4"/>
      <c r="F138" s="4"/>
      <c r="G138" s="4"/>
      <c r="H138" s="153"/>
      <c r="I138" s="153"/>
      <c r="J138" s="153"/>
      <c r="K138" s="153"/>
      <c r="L138" s="153"/>
      <c r="M138" s="153"/>
      <c r="N138" s="153"/>
      <c r="O138" s="153"/>
      <c r="P138" s="18">
        <f>SUM(D138:O138)</f>
        <v>0</v>
      </c>
    </row>
    <row r="139" spans="1:16" ht="15.6" x14ac:dyDescent="0.3">
      <c r="A139" s="606"/>
      <c r="B139" s="24" t="s">
        <v>81</v>
      </c>
      <c r="C139" s="11" t="s">
        <v>3</v>
      </c>
      <c r="D139" s="4">
        <f>D135+D136-D137-D138</f>
        <v>0</v>
      </c>
      <c r="E139" s="4">
        <f t="shared" ref="E139:G139" si="136">E135+E136-E137-E138</f>
        <v>0</v>
      </c>
      <c r="F139" s="4">
        <f t="shared" si="136"/>
        <v>0</v>
      </c>
      <c r="G139" s="4">
        <f t="shared" si="136"/>
        <v>0</v>
      </c>
      <c r="H139" s="155">
        <f t="shared" ref="H139:I139" si="137">H135+H136-H137-H138</f>
        <v>0</v>
      </c>
      <c r="I139" s="155">
        <f t="shared" si="137"/>
        <v>0</v>
      </c>
      <c r="J139" s="155">
        <f t="shared" ref="J139:K139" si="138">J135+J136-J137-J138</f>
        <v>0</v>
      </c>
      <c r="K139" s="155">
        <f t="shared" si="138"/>
        <v>0</v>
      </c>
      <c r="L139" s="155">
        <f t="shared" ref="L139:M139" si="139">L135+L136-L137-L138</f>
        <v>0</v>
      </c>
      <c r="M139" s="155">
        <f t="shared" si="139"/>
        <v>0</v>
      </c>
      <c r="N139" s="155">
        <f t="shared" ref="N139" si="140">N135+N136-N137-N138</f>
        <v>0</v>
      </c>
      <c r="O139" s="155">
        <v>0</v>
      </c>
      <c r="P139" s="25">
        <f>P135+P136-P137-P138</f>
        <v>0</v>
      </c>
    </row>
    <row r="140" spans="1:16" ht="15.6" x14ac:dyDescent="0.3">
      <c r="A140" s="605" t="s">
        <v>87</v>
      </c>
      <c r="B140" s="24" t="s">
        <v>85</v>
      </c>
      <c r="C140" s="11" t="s">
        <v>3</v>
      </c>
      <c r="D140" s="4">
        <v>432</v>
      </c>
      <c r="E140" s="4">
        <f>D144</f>
        <v>418</v>
      </c>
      <c r="F140" s="4">
        <f t="shared" ref="F140:K140" si="141">E144</f>
        <v>422</v>
      </c>
      <c r="G140" s="4">
        <f t="shared" si="141"/>
        <v>393</v>
      </c>
      <c r="H140" s="4">
        <f t="shared" si="141"/>
        <v>379</v>
      </c>
      <c r="I140" s="4">
        <f t="shared" si="141"/>
        <v>379</v>
      </c>
      <c r="J140" s="4">
        <f t="shared" si="141"/>
        <v>379</v>
      </c>
      <c r="K140" s="4">
        <f t="shared" si="141"/>
        <v>379</v>
      </c>
      <c r="L140" s="155"/>
      <c r="M140" s="155">
        <v>508</v>
      </c>
      <c r="N140" s="155">
        <v>213</v>
      </c>
      <c r="O140" s="155">
        <v>192</v>
      </c>
      <c r="P140" s="25">
        <f>D140</f>
        <v>432</v>
      </c>
    </row>
    <row r="141" spans="1:16" ht="15.6" x14ac:dyDescent="0.3">
      <c r="A141" s="655"/>
      <c r="B141" s="24" t="s">
        <v>84</v>
      </c>
      <c r="C141" s="11" t="s">
        <v>3</v>
      </c>
      <c r="D141" s="4">
        <v>4</v>
      </c>
      <c r="E141" s="4">
        <v>14</v>
      </c>
      <c r="F141" s="4"/>
      <c r="G141" s="4"/>
      <c r="H141" s="153"/>
      <c r="I141" s="153"/>
      <c r="J141" s="153"/>
      <c r="K141" s="153">
        <v>135</v>
      </c>
      <c r="L141" s="153"/>
      <c r="M141" s="153"/>
      <c r="N141" s="153">
        <v>7</v>
      </c>
      <c r="O141" s="153">
        <v>7</v>
      </c>
      <c r="P141" s="18">
        <f>SUM(D141:O141)</f>
        <v>167</v>
      </c>
    </row>
    <row r="142" spans="1:16" ht="15.6" x14ac:dyDescent="0.3">
      <c r="A142" s="655"/>
      <c r="B142" s="24" t="s">
        <v>83</v>
      </c>
      <c r="C142" s="11" t="s">
        <v>3</v>
      </c>
      <c r="D142" s="4">
        <v>18</v>
      </c>
      <c r="E142" s="4"/>
      <c r="F142" s="4"/>
      <c r="G142" s="4"/>
      <c r="H142" s="153"/>
      <c r="I142" s="153"/>
      <c r="J142" s="153"/>
      <c r="K142" s="153"/>
      <c r="L142" s="153"/>
      <c r="M142" s="153"/>
      <c r="N142" s="153">
        <v>15</v>
      </c>
      <c r="O142" s="153"/>
      <c r="P142" s="18">
        <f>SUM(D142:O142)</f>
        <v>33</v>
      </c>
    </row>
    <row r="143" spans="1:16" ht="15.6" x14ac:dyDescent="0.3">
      <c r="A143" s="655"/>
      <c r="B143" s="24" t="s">
        <v>82</v>
      </c>
      <c r="C143" s="11" t="s">
        <v>3</v>
      </c>
      <c r="D143" s="4"/>
      <c r="E143" s="4">
        <v>10</v>
      </c>
      <c r="F143" s="4">
        <v>29</v>
      </c>
      <c r="G143" s="4">
        <v>14</v>
      </c>
      <c r="H143" s="153"/>
      <c r="I143" s="153"/>
      <c r="J143" s="153"/>
      <c r="K143" s="153">
        <v>6</v>
      </c>
      <c r="L143" s="153"/>
      <c r="M143" s="153">
        <v>295</v>
      </c>
      <c r="N143" s="153">
        <v>13</v>
      </c>
      <c r="O143" s="153"/>
      <c r="P143" s="18">
        <f>SUM(D143:O143)</f>
        <v>367</v>
      </c>
    </row>
    <row r="144" spans="1:16" ht="15.6" x14ac:dyDescent="0.3">
      <c r="A144" s="606"/>
      <c r="B144" s="24" t="s">
        <v>81</v>
      </c>
      <c r="C144" s="11" t="s">
        <v>3</v>
      </c>
      <c r="D144" s="4">
        <f>D140+D141-D142-D143</f>
        <v>418</v>
      </c>
      <c r="E144" s="4">
        <f t="shared" ref="E144:G144" si="142">E140+E141-E142-E143</f>
        <v>422</v>
      </c>
      <c r="F144" s="4">
        <f t="shared" si="142"/>
        <v>393</v>
      </c>
      <c r="G144" s="4">
        <f t="shared" si="142"/>
        <v>379</v>
      </c>
      <c r="H144" s="155">
        <f t="shared" ref="H144:I144" si="143">H140+H141-H142-H143</f>
        <v>379</v>
      </c>
      <c r="I144" s="155">
        <f t="shared" si="143"/>
        <v>379</v>
      </c>
      <c r="J144" s="155">
        <f t="shared" ref="J144:K144" si="144">J140+J141-J142-J143</f>
        <v>379</v>
      </c>
      <c r="K144" s="155">
        <f t="shared" si="144"/>
        <v>508</v>
      </c>
      <c r="L144" s="155">
        <f t="shared" ref="L144" si="145">L140+L141-L142-L143</f>
        <v>0</v>
      </c>
      <c r="M144" s="155">
        <v>213</v>
      </c>
      <c r="N144" s="155">
        <v>192</v>
      </c>
      <c r="O144" s="155">
        <v>199</v>
      </c>
      <c r="P144" s="25">
        <f>P140+P141-P142-P143</f>
        <v>199</v>
      </c>
    </row>
    <row r="145" spans="1:16" s="2" customFormat="1" ht="15.6" x14ac:dyDescent="0.3">
      <c r="A145" s="605" t="s">
        <v>86</v>
      </c>
      <c r="B145" s="24" t="s">
        <v>85</v>
      </c>
      <c r="C145" s="11" t="s">
        <v>3</v>
      </c>
      <c r="D145" s="23">
        <f t="shared" ref="D145:I145" si="146">D125+D130+D135+D140</f>
        <v>433</v>
      </c>
      <c r="E145" s="23">
        <f t="shared" si="146"/>
        <v>419</v>
      </c>
      <c r="F145" s="23">
        <f t="shared" si="146"/>
        <v>423</v>
      </c>
      <c r="G145" s="23">
        <f t="shared" si="146"/>
        <v>394</v>
      </c>
      <c r="H145" s="23">
        <f t="shared" si="146"/>
        <v>380</v>
      </c>
      <c r="I145" s="23">
        <f t="shared" si="146"/>
        <v>380</v>
      </c>
      <c r="J145" s="23">
        <f t="shared" ref="J145:K145" si="147">J125+J130+J135+J140</f>
        <v>380</v>
      </c>
      <c r="K145" s="23">
        <f t="shared" si="147"/>
        <v>380</v>
      </c>
      <c r="L145" s="23">
        <f t="shared" ref="L145:M145" si="148">L125+L130+L135+L140</f>
        <v>1</v>
      </c>
      <c r="M145" s="23">
        <f t="shared" si="148"/>
        <v>509</v>
      </c>
      <c r="N145" s="23">
        <f t="shared" ref="N145" si="149">N125+N130+N135+N140</f>
        <v>214</v>
      </c>
      <c r="O145" s="23">
        <v>193</v>
      </c>
      <c r="P145" s="110">
        <f t="shared" ref="P145:P149" si="150">P125+P130+P135+P140</f>
        <v>433</v>
      </c>
    </row>
    <row r="146" spans="1:16" ht="15.6" x14ac:dyDescent="0.3">
      <c r="A146" s="655"/>
      <c r="B146" s="24" t="s">
        <v>84</v>
      </c>
      <c r="C146" s="11" t="s">
        <v>3</v>
      </c>
      <c r="D146" s="23">
        <f t="shared" ref="D146:E148" si="151">D126+D131+D136+D141</f>
        <v>4</v>
      </c>
      <c r="E146" s="23">
        <f t="shared" si="151"/>
        <v>14</v>
      </c>
      <c r="F146" s="23">
        <f t="shared" ref="F146:G146" si="152">F126+F131+F136+F141</f>
        <v>0</v>
      </c>
      <c r="G146" s="23">
        <f t="shared" si="152"/>
        <v>0</v>
      </c>
      <c r="H146" s="23">
        <f t="shared" ref="H146:I146" si="153">H126+H131+H136+H141</f>
        <v>0</v>
      </c>
      <c r="I146" s="23">
        <f t="shared" si="153"/>
        <v>0</v>
      </c>
      <c r="J146" s="23">
        <f t="shared" ref="J146:K146" si="154">J126+J131+J136+J141</f>
        <v>0</v>
      </c>
      <c r="K146" s="23">
        <f t="shared" si="154"/>
        <v>135</v>
      </c>
      <c r="L146" s="23">
        <f t="shared" ref="L146:M146" si="155">L126+L131+L136+L141</f>
        <v>0</v>
      </c>
      <c r="M146" s="23">
        <f t="shared" si="155"/>
        <v>0</v>
      </c>
      <c r="N146" s="23">
        <f t="shared" ref="N146" si="156">N126+N131+N136+N141</f>
        <v>7</v>
      </c>
      <c r="O146" s="23">
        <v>7</v>
      </c>
      <c r="P146" s="110">
        <f t="shared" si="150"/>
        <v>167</v>
      </c>
    </row>
    <row r="147" spans="1:16" ht="15.6" x14ac:dyDescent="0.3">
      <c r="A147" s="655"/>
      <c r="B147" s="24" t="s">
        <v>83</v>
      </c>
      <c r="C147" s="11" t="s">
        <v>3</v>
      </c>
      <c r="D147" s="23">
        <f t="shared" si="151"/>
        <v>18</v>
      </c>
      <c r="E147" s="23">
        <f t="shared" si="151"/>
        <v>0</v>
      </c>
      <c r="F147" s="23">
        <f t="shared" ref="F147:G147" si="157">F127+F132+F137+F142</f>
        <v>0</v>
      </c>
      <c r="G147" s="23">
        <f t="shared" si="157"/>
        <v>0</v>
      </c>
      <c r="H147" s="23">
        <f t="shared" ref="H147:I147" si="158">H127+H132+H137+H142</f>
        <v>0</v>
      </c>
      <c r="I147" s="23">
        <f t="shared" si="158"/>
        <v>0</v>
      </c>
      <c r="J147" s="23">
        <f t="shared" ref="J147:K147" si="159">J127+J132+J137+J142</f>
        <v>0</v>
      </c>
      <c r="K147" s="23">
        <f t="shared" si="159"/>
        <v>0</v>
      </c>
      <c r="L147" s="23">
        <f t="shared" ref="L147:M147" si="160">L127+L132+L137+L142</f>
        <v>0</v>
      </c>
      <c r="M147" s="23">
        <f t="shared" si="160"/>
        <v>0</v>
      </c>
      <c r="N147" s="23">
        <f t="shared" ref="N147" si="161">N127+N132+N137+N142</f>
        <v>15</v>
      </c>
      <c r="O147" s="23">
        <v>0</v>
      </c>
      <c r="P147" s="110">
        <f t="shared" si="150"/>
        <v>33</v>
      </c>
    </row>
    <row r="148" spans="1:16" ht="15.6" x14ac:dyDescent="0.3">
      <c r="A148" s="655"/>
      <c r="B148" s="24" t="s">
        <v>82</v>
      </c>
      <c r="C148" s="11" t="s">
        <v>3</v>
      </c>
      <c r="D148" s="23">
        <f t="shared" si="151"/>
        <v>0</v>
      </c>
      <c r="E148" s="23">
        <f t="shared" si="151"/>
        <v>10</v>
      </c>
      <c r="F148" s="23">
        <f t="shared" ref="F148:G148" si="162">F128+F133+F138+F143</f>
        <v>29</v>
      </c>
      <c r="G148" s="23">
        <f t="shared" si="162"/>
        <v>14</v>
      </c>
      <c r="H148" s="23">
        <f t="shared" ref="H148:I148" si="163">H128+H133+H138+H143</f>
        <v>0</v>
      </c>
      <c r="I148" s="23">
        <f t="shared" si="163"/>
        <v>0</v>
      </c>
      <c r="J148" s="23">
        <f t="shared" ref="J148:K148" si="164">J128+J133+J138+J143</f>
        <v>0</v>
      </c>
      <c r="K148" s="23">
        <f t="shared" si="164"/>
        <v>6</v>
      </c>
      <c r="L148" s="23">
        <f t="shared" ref="L148:M148" si="165">L128+L133+L138+L143</f>
        <v>0</v>
      </c>
      <c r="M148" s="23">
        <f t="shared" si="165"/>
        <v>295</v>
      </c>
      <c r="N148" s="23">
        <f t="shared" ref="N148" si="166">N128+N133+N138+N143</f>
        <v>13</v>
      </c>
      <c r="O148" s="23">
        <v>0</v>
      </c>
      <c r="P148" s="110">
        <f t="shared" si="150"/>
        <v>367</v>
      </c>
    </row>
    <row r="149" spans="1:16" ht="15.6" x14ac:dyDescent="0.3">
      <c r="A149" s="606"/>
      <c r="B149" s="24" t="s">
        <v>81</v>
      </c>
      <c r="C149" s="11" t="s">
        <v>3</v>
      </c>
      <c r="D149" s="155">
        <f t="shared" ref="D149:I149" si="167">D145+D146-D147-D148</f>
        <v>419</v>
      </c>
      <c r="E149" s="155">
        <f t="shared" si="167"/>
        <v>423</v>
      </c>
      <c r="F149" s="155">
        <f t="shared" si="167"/>
        <v>394</v>
      </c>
      <c r="G149" s="155">
        <f t="shared" si="167"/>
        <v>380</v>
      </c>
      <c r="H149" s="155">
        <f t="shared" si="167"/>
        <v>380</v>
      </c>
      <c r="I149" s="155">
        <f t="shared" si="167"/>
        <v>380</v>
      </c>
      <c r="J149" s="155">
        <f t="shared" ref="J149:K149" si="168">J145+J146-J147-J148</f>
        <v>380</v>
      </c>
      <c r="K149" s="155">
        <f t="shared" si="168"/>
        <v>509</v>
      </c>
      <c r="L149" s="155">
        <f t="shared" ref="L149:M149" si="169">L145+L146-L147-L148</f>
        <v>1</v>
      </c>
      <c r="M149" s="155">
        <f t="shared" si="169"/>
        <v>214</v>
      </c>
      <c r="N149" s="155">
        <f t="shared" ref="N149" si="170">N145+N146-N147-N148</f>
        <v>193</v>
      </c>
      <c r="O149" s="155">
        <v>200</v>
      </c>
      <c r="P149" s="110">
        <f t="shared" si="150"/>
        <v>200</v>
      </c>
    </row>
    <row r="150" spans="1:16" x14ac:dyDescent="0.3">
      <c r="A150" s="595" t="s">
        <v>80</v>
      </c>
      <c r="B150" s="596"/>
      <c r="C150" s="596"/>
      <c r="D150" s="596"/>
      <c r="E150" s="596"/>
      <c r="F150" s="596"/>
      <c r="G150" s="596"/>
      <c r="H150" s="596"/>
      <c r="I150" s="596"/>
      <c r="J150" s="596"/>
      <c r="K150" s="596"/>
      <c r="L150" s="596"/>
      <c r="M150" s="596"/>
      <c r="N150" s="596"/>
      <c r="O150" s="596"/>
      <c r="P150" s="597"/>
    </row>
    <row r="151" spans="1:16" ht="15.6" x14ac:dyDescent="0.3">
      <c r="A151" s="591" t="s">
        <v>79</v>
      </c>
      <c r="B151" s="592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9"/>
    </row>
    <row r="152" spans="1:16" ht="15.6" x14ac:dyDescent="0.3">
      <c r="A152" s="652" t="s">
        <v>78</v>
      </c>
      <c r="B152" s="92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9"/>
    </row>
    <row r="153" spans="1:16" ht="15.6" x14ac:dyDescent="0.3">
      <c r="A153" s="653"/>
      <c r="B153" s="19" t="s">
        <v>73</v>
      </c>
      <c r="C153" s="11" t="s">
        <v>57</v>
      </c>
      <c r="D153" s="551">
        <v>27</v>
      </c>
      <c r="E153" s="4">
        <v>30</v>
      </c>
      <c r="F153" s="4">
        <v>41</v>
      </c>
      <c r="G153" s="4">
        <v>30</v>
      </c>
      <c r="H153" s="4">
        <v>24</v>
      </c>
      <c r="I153" s="4">
        <v>25</v>
      </c>
      <c r="J153" s="4">
        <v>40</v>
      </c>
      <c r="K153" s="4">
        <v>32</v>
      </c>
      <c r="L153" s="153">
        <v>25</v>
      </c>
      <c r="M153" s="153">
        <v>45</v>
      </c>
      <c r="N153" s="153">
        <v>26</v>
      </c>
      <c r="O153" s="153">
        <v>35</v>
      </c>
      <c r="P153" s="18">
        <f t="shared" ref="P153:P165" si="171">SUM(D153:O153)</f>
        <v>380</v>
      </c>
    </row>
    <row r="154" spans="1:16" ht="15.6" x14ac:dyDescent="0.3">
      <c r="A154" s="653"/>
      <c r="B154" s="19" t="s">
        <v>72</v>
      </c>
      <c r="C154" s="11" t="s">
        <v>57</v>
      </c>
      <c r="D154" s="551">
        <v>11</v>
      </c>
      <c r="E154" s="4">
        <v>26</v>
      </c>
      <c r="F154" s="4">
        <v>36</v>
      </c>
      <c r="G154" s="4">
        <v>25</v>
      </c>
      <c r="H154" s="4">
        <v>27</v>
      </c>
      <c r="I154" s="4">
        <v>20</v>
      </c>
      <c r="J154" s="4">
        <v>43</v>
      </c>
      <c r="K154" s="4">
        <v>36</v>
      </c>
      <c r="L154" s="153">
        <v>42</v>
      </c>
      <c r="M154" s="153">
        <v>22</v>
      </c>
      <c r="N154" s="153">
        <v>34</v>
      </c>
      <c r="O154" s="153">
        <v>38</v>
      </c>
      <c r="P154" s="18">
        <f t="shared" si="171"/>
        <v>360</v>
      </c>
    </row>
    <row r="155" spans="1:16" ht="15.6" x14ac:dyDescent="0.3">
      <c r="A155" s="653"/>
      <c r="B155" s="19" t="s">
        <v>53</v>
      </c>
      <c r="C155" s="11" t="s">
        <v>57</v>
      </c>
      <c r="D155" s="551"/>
      <c r="E155" s="4">
        <v>7</v>
      </c>
      <c r="F155" s="4">
        <v>8</v>
      </c>
      <c r="G155" s="4">
        <v>11</v>
      </c>
      <c r="H155" s="4">
        <v>6</v>
      </c>
      <c r="I155" s="4">
        <v>12</v>
      </c>
      <c r="J155" s="4">
        <v>15</v>
      </c>
      <c r="K155" s="4">
        <v>13</v>
      </c>
      <c r="L155" s="153">
        <v>18</v>
      </c>
      <c r="M155" s="153">
        <v>20</v>
      </c>
      <c r="N155" s="153">
        <v>15</v>
      </c>
      <c r="O155" s="153">
        <v>19</v>
      </c>
      <c r="P155" s="18">
        <f t="shared" si="171"/>
        <v>144</v>
      </c>
    </row>
    <row r="156" spans="1:16" ht="15.6" x14ac:dyDescent="0.3">
      <c r="A156" s="653"/>
      <c r="B156" s="19" t="s">
        <v>71</v>
      </c>
      <c r="C156" s="11" t="s">
        <v>57</v>
      </c>
      <c r="D156" s="551">
        <v>2</v>
      </c>
      <c r="E156" s="4">
        <v>4</v>
      </c>
      <c r="F156" s="4">
        <v>6</v>
      </c>
      <c r="G156" s="4">
        <v>5</v>
      </c>
      <c r="H156" s="4">
        <v>9</v>
      </c>
      <c r="I156" s="4">
        <v>14</v>
      </c>
      <c r="J156" s="4">
        <v>16</v>
      </c>
      <c r="K156" s="4">
        <v>12</v>
      </c>
      <c r="L156" s="153">
        <v>12</v>
      </c>
      <c r="M156" s="153">
        <v>10</v>
      </c>
      <c r="N156" s="153">
        <v>16</v>
      </c>
      <c r="O156" s="153">
        <v>15</v>
      </c>
      <c r="P156" s="18">
        <f t="shared" si="171"/>
        <v>121</v>
      </c>
    </row>
    <row r="157" spans="1:16" ht="15.6" x14ac:dyDescent="0.3">
      <c r="A157" s="653"/>
      <c r="B157" s="19" t="s">
        <v>52</v>
      </c>
      <c r="C157" s="11" t="s">
        <v>57</v>
      </c>
      <c r="D157" s="551">
        <v>1</v>
      </c>
      <c r="E157" s="4"/>
      <c r="F157" s="4">
        <v>1</v>
      </c>
      <c r="G157" s="4">
        <v>2</v>
      </c>
      <c r="H157" s="4">
        <v>2</v>
      </c>
      <c r="I157" s="4">
        <v>8</v>
      </c>
      <c r="J157" s="4">
        <v>6</v>
      </c>
      <c r="K157" s="4">
        <v>13</v>
      </c>
      <c r="L157" s="153">
        <v>11</v>
      </c>
      <c r="M157" s="153">
        <v>12</v>
      </c>
      <c r="N157" s="153">
        <v>7</v>
      </c>
      <c r="O157" s="153">
        <v>8</v>
      </c>
      <c r="P157" s="18">
        <f t="shared" si="171"/>
        <v>71</v>
      </c>
    </row>
    <row r="158" spans="1:16" ht="15.6" x14ac:dyDescent="0.3">
      <c r="A158" s="653"/>
      <c r="B158" s="19" t="s">
        <v>51</v>
      </c>
      <c r="C158" s="11" t="s">
        <v>57</v>
      </c>
      <c r="D158" s="551">
        <v>2</v>
      </c>
      <c r="E158" s="4">
        <v>2</v>
      </c>
      <c r="F158" s="4">
        <v>1</v>
      </c>
      <c r="G158" s="4">
        <v>3</v>
      </c>
      <c r="H158" s="4">
        <v>4</v>
      </c>
      <c r="I158" s="4">
        <v>10</v>
      </c>
      <c r="J158" s="4">
        <v>14</v>
      </c>
      <c r="K158" s="4">
        <v>14</v>
      </c>
      <c r="L158" s="153">
        <v>9</v>
      </c>
      <c r="M158" s="153">
        <v>14</v>
      </c>
      <c r="N158" s="153">
        <v>8</v>
      </c>
      <c r="O158" s="153">
        <v>7</v>
      </c>
      <c r="P158" s="18">
        <f t="shared" si="171"/>
        <v>88</v>
      </c>
    </row>
    <row r="159" spans="1:16" ht="15.6" x14ac:dyDescent="0.3">
      <c r="A159" s="653"/>
      <c r="B159" s="19" t="s">
        <v>62</v>
      </c>
      <c r="C159" s="11" t="s">
        <v>57</v>
      </c>
      <c r="D159" s="551"/>
      <c r="E159" s="4"/>
      <c r="F159" s="4"/>
      <c r="G159" s="4"/>
      <c r="H159" s="4">
        <v>1</v>
      </c>
      <c r="I159" s="4">
        <v>4</v>
      </c>
      <c r="J159" s="4">
        <v>3</v>
      </c>
      <c r="K159" s="4">
        <v>3</v>
      </c>
      <c r="L159" s="153">
        <v>6</v>
      </c>
      <c r="M159" s="153">
        <v>7</v>
      </c>
      <c r="N159" s="153">
        <v>7</v>
      </c>
      <c r="O159" s="153">
        <v>8</v>
      </c>
      <c r="P159" s="18">
        <f t="shared" si="171"/>
        <v>39</v>
      </c>
    </row>
    <row r="160" spans="1:16" ht="15.6" x14ac:dyDescent="0.3">
      <c r="A160" s="653"/>
      <c r="B160" s="19" t="s">
        <v>50</v>
      </c>
      <c r="C160" s="11" t="s">
        <v>57</v>
      </c>
      <c r="D160" s="551"/>
      <c r="E160" s="4"/>
      <c r="F160" s="4"/>
      <c r="G160" s="4">
        <v>1</v>
      </c>
      <c r="H160" s="4"/>
      <c r="I160" s="4">
        <v>2</v>
      </c>
      <c r="J160" s="4">
        <v>3</v>
      </c>
      <c r="K160" s="4">
        <v>2</v>
      </c>
      <c r="L160" s="153"/>
      <c r="M160" s="153"/>
      <c r="N160" s="153"/>
      <c r="O160" s="153"/>
      <c r="P160" s="18">
        <f t="shared" si="171"/>
        <v>8</v>
      </c>
    </row>
    <row r="161" spans="1:16" ht="15.6" x14ac:dyDescent="0.3">
      <c r="A161" s="653"/>
      <c r="B161" s="19" t="s">
        <v>49</v>
      </c>
      <c r="C161" s="11" t="s">
        <v>57</v>
      </c>
      <c r="D161" s="551">
        <v>3</v>
      </c>
      <c r="E161" s="4">
        <v>2</v>
      </c>
      <c r="F161" s="4">
        <v>1</v>
      </c>
      <c r="G161" s="4"/>
      <c r="H161" s="4">
        <v>2</v>
      </c>
      <c r="I161" s="4">
        <v>6</v>
      </c>
      <c r="J161" s="4">
        <v>4</v>
      </c>
      <c r="K161" s="4">
        <v>3</v>
      </c>
      <c r="L161" s="153">
        <v>3</v>
      </c>
      <c r="M161" s="153">
        <v>4</v>
      </c>
      <c r="N161" s="153">
        <v>3</v>
      </c>
      <c r="O161" s="153">
        <v>4</v>
      </c>
      <c r="P161" s="18">
        <f t="shared" si="171"/>
        <v>35</v>
      </c>
    </row>
    <row r="162" spans="1:16" ht="15.6" x14ac:dyDescent="0.3">
      <c r="A162" s="653"/>
      <c r="B162" s="19" t="s">
        <v>77</v>
      </c>
      <c r="C162" s="11" t="s">
        <v>57</v>
      </c>
      <c r="D162" s="551">
        <v>3</v>
      </c>
      <c r="E162" s="4"/>
      <c r="F162" s="4">
        <v>1</v>
      </c>
      <c r="G162" s="4">
        <v>2</v>
      </c>
      <c r="H162" s="4">
        <v>1</v>
      </c>
      <c r="I162" s="4">
        <v>3</v>
      </c>
      <c r="J162" s="4">
        <v>3</v>
      </c>
      <c r="K162" s="4">
        <v>3</v>
      </c>
      <c r="L162" s="153">
        <v>4</v>
      </c>
      <c r="M162" s="153">
        <v>5</v>
      </c>
      <c r="N162" s="153">
        <v>4</v>
      </c>
      <c r="O162" s="153">
        <v>3</v>
      </c>
      <c r="P162" s="18">
        <f t="shared" si="171"/>
        <v>32</v>
      </c>
    </row>
    <row r="163" spans="1:16" ht="15.6" x14ac:dyDescent="0.3">
      <c r="A163" s="653"/>
      <c r="B163" s="19" t="s">
        <v>69</v>
      </c>
      <c r="C163" s="11" t="s">
        <v>57</v>
      </c>
      <c r="D163" s="551"/>
      <c r="E163" s="4"/>
      <c r="F163" s="4"/>
      <c r="G163" s="4"/>
      <c r="H163" s="4"/>
      <c r="I163" s="153"/>
      <c r="J163" s="153"/>
      <c r="K163" s="153"/>
      <c r="L163" s="153"/>
      <c r="M163" s="153"/>
      <c r="N163" s="153"/>
      <c r="O163" s="153"/>
      <c r="P163" s="18">
        <f t="shared" si="171"/>
        <v>0</v>
      </c>
    </row>
    <row r="164" spans="1:16" ht="15.6" x14ac:dyDescent="0.3">
      <c r="A164" s="653"/>
      <c r="B164" s="19" t="s">
        <v>68</v>
      </c>
      <c r="C164" s="11" t="s">
        <v>57</v>
      </c>
      <c r="D164" s="4"/>
      <c r="E164" s="4"/>
      <c r="F164" s="4"/>
      <c r="G164" s="4"/>
      <c r="H164" s="4"/>
      <c r="I164" s="153"/>
      <c r="J164" s="153"/>
      <c r="K164" s="153"/>
      <c r="L164" s="153"/>
      <c r="M164" s="153"/>
      <c r="N164" s="153"/>
      <c r="O164" s="153"/>
      <c r="P164" s="18">
        <f t="shared" si="171"/>
        <v>0</v>
      </c>
    </row>
    <row r="165" spans="1:16" ht="15.6" x14ac:dyDescent="0.3">
      <c r="A165" s="654"/>
      <c r="B165" s="19" t="s">
        <v>76</v>
      </c>
      <c r="C165" s="11" t="s">
        <v>57</v>
      </c>
      <c r="D165" s="4"/>
      <c r="E165" s="4"/>
      <c r="F165" s="4"/>
      <c r="G165" s="4"/>
      <c r="H165" s="4"/>
      <c r="I165" s="153"/>
      <c r="J165" s="153"/>
      <c r="K165" s="153"/>
      <c r="L165" s="153"/>
      <c r="M165" s="153"/>
      <c r="N165" s="153"/>
      <c r="O165" s="153"/>
      <c r="P165" s="18">
        <f t="shared" si="171"/>
        <v>0</v>
      </c>
    </row>
    <row r="166" spans="1:16" ht="15.6" x14ac:dyDescent="0.3">
      <c r="A166" s="652" t="s">
        <v>75</v>
      </c>
      <c r="B166" s="21" t="s">
        <v>63</v>
      </c>
      <c r="C166" s="11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8"/>
    </row>
    <row r="167" spans="1:16" ht="15.6" x14ac:dyDescent="0.3">
      <c r="A167" s="653"/>
      <c r="B167" s="19" t="s">
        <v>74</v>
      </c>
      <c r="C167" s="11" t="s">
        <v>57</v>
      </c>
      <c r="D167" s="4">
        <v>11</v>
      </c>
      <c r="E167" s="4">
        <v>9</v>
      </c>
      <c r="F167" s="4">
        <v>14</v>
      </c>
      <c r="G167" s="4">
        <v>7</v>
      </c>
      <c r="H167" s="4">
        <v>2</v>
      </c>
      <c r="I167" s="4">
        <v>6</v>
      </c>
      <c r="J167" s="4">
        <v>5</v>
      </c>
      <c r="K167" s="4">
        <v>6</v>
      </c>
      <c r="L167" s="153">
        <v>6</v>
      </c>
      <c r="M167" s="153">
        <v>6</v>
      </c>
      <c r="N167" s="153">
        <v>4</v>
      </c>
      <c r="O167" s="153">
        <v>4</v>
      </c>
      <c r="P167" s="18">
        <f t="shared" ref="P167:P175" si="172">SUM(D167:O167)</f>
        <v>80</v>
      </c>
    </row>
    <row r="168" spans="1:16" ht="15.6" x14ac:dyDescent="0.3">
      <c r="A168" s="653"/>
      <c r="B168" s="19" t="s">
        <v>73</v>
      </c>
      <c r="C168" s="11" t="s">
        <v>57</v>
      </c>
      <c r="D168" s="4">
        <v>6</v>
      </c>
      <c r="E168" s="4">
        <v>7</v>
      </c>
      <c r="F168" s="4">
        <v>5</v>
      </c>
      <c r="G168" s="4"/>
      <c r="H168" s="4">
        <v>1</v>
      </c>
      <c r="I168" s="4">
        <v>4</v>
      </c>
      <c r="J168" s="4">
        <v>3</v>
      </c>
      <c r="K168" s="4">
        <v>4</v>
      </c>
      <c r="L168" s="153">
        <v>5</v>
      </c>
      <c r="M168" s="153">
        <v>5</v>
      </c>
      <c r="N168" s="153">
        <v>5</v>
      </c>
      <c r="O168" s="153">
        <v>5</v>
      </c>
      <c r="P168" s="18">
        <f t="shared" si="172"/>
        <v>50</v>
      </c>
    </row>
    <row r="169" spans="1:16" ht="15.6" x14ac:dyDescent="0.3">
      <c r="A169" s="653"/>
      <c r="B169" s="19" t="s">
        <v>72</v>
      </c>
      <c r="C169" s="11" t="s">
        <v>57</v>
      </c>
      <c r="D169" s="4"/>
      <c r="E169" s="4"/>
      <c r="F169" s="4"/>
      <c r="G169" s="4"/>
      <c r="H169" s="4"/>
      <c r="I169" s="4">
        <v>1</v>
      </c>
      <c r="J169" s="4">
        <v>1</v>
      </c>
      <c r="K169" s="4">
        <v>2</v>
      </c>
      <c r="L169" s="153">
        <v>3</v>
      </c>
      <c r="M169" s="153">
        <v>2</v>
      </c>
      <c r="N169" s="153">
        <v>2</v>
      </c>
      <c r="O169" s="153">
        <v>3</v>
      </c>
      <c r="P169" s="18">
        <f t="shared" si="172"/>
        <v>14</v>
      </c>
    </row>
    <row r="170" spans="1:16" ht="15.6" x14ac:dyDescent="0.3">
      <c r="A170" s="653"/>
      <c r="B170" s="19" t="s">
        <v>71</v>
      </c>
      <c r="C170" s="11" t="s">
        <v>57</v>
      </c>
      <c r="D170" s="4"/>
      <c r="E170" s="4"/>
      <c r="F170" s="4"/>
      <c r="G170" s="4"/>
      <c r="H170" s="4"/>
      <c r="I170" s="4">
        <v>1</v>
      </c>
      <c r="J170" s="4">
        <v>1</v>
      </c>
      <c r="K170" s="4">
        <v>1</v>
      </c>
      <c r="L170" s="153">
        <v>1</v>
      </c>
      <c r="M170" s="153">
        <v>2</v>
      </c>
      <c r="N170" s="153">
        <v>3</v>
      </c>
      <c r="O170" s="153">
        <v>2</v>
      </c>
      <c r="P170" s="18">
        <f t="shared" si="172"/>
        <v>11</v>
      </c>
    </row>
    <row r="171" spans="1:16" ht="15.6" x14ac:dyDescent="0.3">
      <c r="A171" s="653"/>
      <c r="B171" s="19" t="s">
        <v>52</v>
      </c>
      <c r="C171" s="11" t="s">
        <v>57</v>
      </c>
      <c r="D171" s="4"/>
      <c r="E171" s="4"/>
      <c r="F171" s="4"/>
      <c r="G171" s="4"/>
      <c r="H171" s="4"/>
      <c r="I171" s="4">
        <v>2</v>
      </c>
      <c r="J171" s="4">
        <v>1</v>
      </c>
      <c r="K171" s="4">
        <v>1</v>
      </c>
      <c r="L171" s="153">
        <v>2</v>
      </c>
      <c r="M171" s="153">
        <v>3</v>
      </c>
      <c r="N171" s="153">
        <v>2</v>
      </c>
      <c r="O171" s="153"/>
      <c r="P171" s="18">
        <f t="shared" si="172"/>
        <v>11</v>
      </c>
    </row>
    <row r="172" spans="1:16" ht="15.6" x14ac:dyDescent="0.3">
      <c r="A172" s="653"/>
      <c r="B172" s="19" t="s">
        <v>62</v>
      </c>
      <c r="C172" s="11" t="s">
        <v>57</v>
      </c>
      <c r="D172" s="4"/>
      <c r="E172" s="4"/>
      <c r="F172" s="4"/>
      <c r="G172" s="4"/>
      <c r="H172" s="4"/>
      <c r="I172" s="153"/>
      <c r="J172" s="153"/>
      <c r="K172" s="4">
        <v>3</v>
      </c>
      <c r="L172" s="153">
        <v>6</v>
      </c>
      <c r="M172" s="153"/>
      <c r="N172" s="153">
        <v>7</v>
      </c>
      <c r="O172" s="153"/>
      <c r="P172" s="18">
        <f t="shared" si="172"/>
        <v>16</v>
      </c>
    </row>
    <row r="173" spans="1:16" ht="15.6" x14ac:dyDescent="0.3">
      <c r="A173" s="653"/>
      <c r="B173" s="19" t="s">
        <v>61</v>
      </c>
      <c r="C173" s="11" t="s">
        <v>57</v>
      </c>
      <c r="D173" s="4"/>
      <c r="E173" s="4"/>
      <c r="F173" s="4"/>
      <c r="G173" s="4"/>
      <c r="H173" s="4"/>
      <c r="I173" s="153"/>
      <c r="J173" s="153"/>
      <c r="K173" s="4">
        <v>3</v>
      </c>
      <c r="L173" s="153"/>
      <c r="M173" s="153"/>
      <c r="N173" s="153"/>
      <c r="O173" s="153"/>
      <c r="P173" s="18">
        <f t="shared" si="172"/>
        <v>3</v>
      </c>
    </row>
    <row r="174" spans="1:16" ht="15.6" x14ac:dyDescent="0.3">
      <c r="A174" s="653"/>
      <c r="B174" s="19" t="s">
        <v>60</v>
      </c>
      <c r="C174" s="11" t="s">
        <v>57</v>
      </c>
      <c r="D174" s="4"/>
      <c r="E174" s="4"/>
      <c r="F174" s="4"/>
      <c r="G174" s="4"/>
      <c r="H174" s="4"/>
      <c r="I174" s="153"/>
      <c r="J174" s="153"/>
      <c r="K174" s="153"/>
      <c r="L174" s="153"/>
      <c r="M174" s="153"/>
      <c r="N174" s="153"/>
      <c r="O174" s="153"/>
      <c r="P174" s="18">
        <f t="shared" si="172"/>
        <v>0</v>
      </c>
    </row>
    <row r="175" spans="1:16" ht="15.6" x14ac:dyDescent="0.3">
      <c r="A175" s="654"/>
      <c r="B175" s="19" t="s">
        <v>69</v>
      </c>
      <c r="C175" s="11" t="s">
        <v>57</v>
      </c>
      <c r="D175" s="4"/>
      <c r="E175" s="4"/>
      <c r="F175" s="4"/>
      <c r="G175" s="4"/>
      <c r="H175" s="4"/>
      <c r="I175" s="153"/>
      <c r="J175" s="153"/>
      <c r="K175" s="153"/>
      <c r="L175" s="153"/>
      <c r="M175" s="153"/>
      <c r="N175" s="153"/>
      <c r="O175" s="153"/>
      <c r="P175" s="18">
        <f t="shared" si="172"/>
        <v>0</v>
      </c>
    </row>
    <row r="176" spans="1:16" ht="15.6" x14ac:dyDescent="0.3">
      <c r="A176" s="652" t="s">
        <v>70</v>
      </c>
      <c r="B176" s="21" t="s">
        <v>63</v>
      </c>
      <c r="C176" s="11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8"/>
    </row>
    <row r="177" spans="1:16" ht="15.6" x14ac:dyDescent="0.3">
      <c r="A177" s="653"/>
      <c r="B177" s="19" t="s">
        <v>60</v>
      </c>
      <c r="C177" s="11" t="s">
        <v>57</v>
      </c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8">
        <f t="shared" ref="P177:P182" si="173">SUM(D177:O177)</f>
        <v>0</v>
      </c>
    </row>
    <row r="178" spans="1:16" ht="15.6" x14ac:dyDescent="0.3">
      <c r="A178" s="653"/>
      <c r="B178" s="19" t="s">
        <v>69</v>
      </c>
      <c r="C178" s="11" t="s">
        <v>57</v>
      </c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8">
        <f t="shared" si="173"/>
        <v>0</v>
      </c>
    </row>
    <row r="179" spans="1:16" ht="15.6" x14ac:dyDescent="0.3">
      <c r="A179" s="653"/>
      <c r="B179" s="19" t="s">
        <v>68</v>
      </c>
      <c r="C179" s="11" t="s">
        <v>57</v>
      </c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8">
        <f t="shared" si="173"/>
        <v>0</v>
      </c>
    </row>
    <row r="180" spans="1:16" ht="15.6" x14ac:dyDescent="0.3">
      <c r="A180" s="653"/>
      <c r="B180" s="19" t="s">
        <v>67</v>
      </c>
      <c r="C180" s="11" t="s">
        <v>57</v>
      </c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8">
        <f t="shared" si="173"/>
        <v>0</v>
      </c>
    </row>
    <row r="181" spans="1:16" ht="15.6" x14ac:dyDescent="0.3">
      <c r="A181" s="653"/>
      <c r="B181" s="19" t="s">
        <v>66</v>
      </c>
      <c r="C181" s="11" t="s">
        <v>57</v>
      </c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8">
        <f t="shared" si="173"/>
        <v>0</v>
      </c>
    </row>
    <row r="182" spans="1:16" ht="15.6" x14ac:dyDescent="0.3">
      <c r="A182" s="654"/>
      <c r="B182" s="19" t="s">
        <v>65</v>
      </c>
      <c r="C182" s="11" t="s">
        <v>57</v>
      </c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8">
        <f t="shared" si="173"/>
        <v>0</v>
      </c>
    </row>
    <row r="183" spans="1:16" ht="15.6" x14ac:dyDescent="0.3">
      <c r="A183" s="652" t="s">
        <v>209</v>
      </c>
      <c r="B183" s="21" t="s">
        <v>63</v>
      </c>
      <c r="C183" s="11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8"/>
    </row>
    <row r="184" spans="1:16" ht="15.6" x14ac:dyDescent="0.3">
      <c r="A184" s="653"/>
      <c r="B184" s="19" t="s">
        <v>73</v>
      </c>
      <c r="C184" s="11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8">
        <f>SUM(D184:O184)</f>
        <v>0</v>
      </c>
    </row>
    <row r="185" spans="1:16" ht="15.6" x14ac:dyDescent="0.3">
      <c r="A185" s="653"/>
      <c r="B185" s="19" t="s">
        <v>72</v>
      </c>
      <c r="C185" s="11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8">
        <f>SUM(D185:O185)</f>
        <v>0</v>
      </c>
    </row>
    <row r="186" spans="1:16" ht="15.6" x14ac:dyDescent="0.3">
      <c r="A186" s="653"/>
      <c r="B186" s="19" t="s">
        <v>53</v>
      </c>
      <c r="C186" s="11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8">
        <f>SUM(D186:O186)</f>
        <v>0</v>
      </c>
    </row>
    <row r="187" spans="1:16" ht="15.6" x14ac:dyDescent="0.3">
      <c r="A187" s="654"/>
      <c r="B187" s="19" t="s">
        <v>52</v>
      </c>
      <c r="C187" s="11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8">
        <f>SUM(D187:O187)</f>
        <v>0</v>
      </c>
    </row>
    <row r="188" spans="1:16" ht="15.6" x14ac:dyDescent="0.3">
      <c r="A188" s="652" t="s">
        <v>64</v>
      </c>
      <c r="B188" s="21" t="s">
        <v>63</v>
      </c>
      <c r="C188" s="11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8"/>
    </row>
    <row r="189" spans="1:16" ht="15.6" x14ac:dyDescent="0.3">
      <c r="A189" s="653"/>
      <c r="B189" s="20" t="s">
        <v>52</v>
      </c>
      <c r="C189" s="11" t="s">
        <v>57</v>
      </c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8">
        <f>SUM(D189:O189)</f>
        <v>0</v>
      </c>
    </row>
    <row r="190" spans="1:16" ht="15.6" x14ac:dyDescent="0.3">
      <c r="A190" s="653"/>
      <c r="B190" s="19" t="s">
        <v>62</v>
      </c>
      <c r="C190" s="11" t="s">
        <v>57</v>
      </c>
      <c r="D190" s="153"/>
      <c r="E190" s="153"/>
      <c r="F190" s="153"/>
      <c r="G190" s="153"/>
      <c r="H190" s="153"/>
      <c r="I190" s="153"/>
      <c r="J190" s="153"/>
      <c r="K190" s="153"/>
      <c r="L190" s="153"/>
      <c r="M190" s="153">
        <v>24</v>
      </c>
      <c r="N190" s="153"/>
      <c r="O190" s="153"/>
      <c r="P190" s="18">
        <f>SUM(D190:O190)</f>
        <v>24</v>
      </c>
    </row>
    <row r="191" spans="1:16" ht="15.6" x14ac:dyDescent="0.3">
      <c r="A191" s="653"/>
      <c r="B191" s="19" t="s">
        <v>61</v>
      </c>
      <c r="C191" s="11" t="s">
        <v>57</v>
      </c>
      <c r="D191" s="153"/>
      <c r="E191" s="153"/>
      <c r="F191" s="153"/>
      <c r="G191" s="153"/>
      <c r="H191" s="153"/>
      <c r="I191" s="153"/>
      <c r="J191" s="153"/>
      <c r="K191" s="4">
        <v>2</v>
      </c>
      <c r="L191" s="153"/>
      <c r="M191" s="153"/>
      <c r="N191" s="153"/>
      <c r="O191" s="153"/>
      <c r="P191" s="18">
        <f>SUM(D191:O191)</f>
        <v>2</v>
      </c>
    </row>
    <row r="192" spans="1:16" ht="15.6" x14ac:dyDescent="0.3">
      <c r="A192" s="654"/>
      <c r="B192" s="19" t="s">
        <v>60</v>
      </c>
      <c r="C192" s="11" t="s">
        <v>57</v>
      </c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8">
        <f>SUM(D192:O192)</f>
        <v>0</v>
      </c>
    </row>
    <row r="193" spans="1:16" ht="15.6" x14ac:dyDescent="0.3">
      <c r="A193" s="84" t="s">
        <v>59</v>
      </c>
      <c r="B193" s="17"/>
      <c r="C193" s="11"/>
      <c r="D193" s="156">
        <f>SUM(D153:D192)</f>
        <v>66</v>
      </c>
      <c r="E193" s="156">
        <f t="shared" ref="E193:P193" si="174">SUM(E153:E192)</f>
        <v>87</v>
      </c>
      <c r="F193" s="156">
        <f t="shared" si="174"/>
        <v>114</v>
      </c>
      <c r="G193" s="156">
        <f t="shared" si="174"/>
        <v>86</v>
      </c>
      <c r="H193" s="156">
        <f t="shared" si="174"/>
        <v>79</v>
      </c>
      <c r="I193" s="156">
        <f t="shared" si="174"/>
        <v>118</v>
      </c>
      <c r="J193" s="156">
        <f t="shared" si="174"/>
        <v>158</v>
      </c>
      <c r="K193" s="156">
        <f t="shared" si="174"/>
        <v>153</v>
      </c>
      <c r="L193" s="156">
        <f t="shared" si="174"/>
        <v>153</v>
      </c>
      <c r="M193" s="156">
        <f t="shared" si="174"/>
        <v>181</v>
      </c>
      <c r="N193" s="156">
        <f t="shared" si="174"/>
        <v>143</v>
      </c>
      <c r="O193" s="156">
        <v>151</v>
      </c>
      <c r="P193" s="158">
        <f t="shared" si="174"/>
        <v>1489</v>
      </c>
    </row>
    <row r="194" spans="1:16" ht="15.6" x14ac:dyDescent="0.3">
      <c r="A194" s="658" t="s">
        <v>58</v>
      </c>
      <c r="B194" s="659"/>
      <c r="C194" s="11" t="s">
        <v>57</v>
      </c>
      <c r="D194" s="4">
        <v>140</v>
      </c>
      <c r="E194" s="4"/>
      <c r="F194" s="4"/>
      <c r="G194" s="4"/>
      <c r="H194" s="153"/>
      <c r="I194" s="153"/>
      <c r="J194" s="153"/>
      <c r="K194" s="153"/>
      <c r="L194" s="153"/>
      <c r="M194" s="153"/>
      <c r="N194" s="153"/>
      <c r="O194" s="153"/>
      <c r="P194" s="18">
        <f>SUM(D194:O194)</f>
        <v>140</v>
      </c>
    </row>
    <row r="195" spans="1:16" ht="15.6" x14ac:dyDescent="0.3">
      <c r="A195" s="660"/>
      <c r="B195" s="661"/>
      <c r="C195" s="16" t="s">
        <v>55</v>
      </c>
      <c r="D195" s="4"/>
      <c r="E195" s="4"/>
      <c r="F195" s="4"/>
      <c r="G195" s="4"/>
      <c r="H195" s="153"/>
      <c r="I195" s="153"/>
      <c r="J195" s="153"/>
      <c r="K195" s="153"/>
      <c r="L195" s="153"/>
      <c r="M195" s="153"/>
      <c r="N195" s="153"/>
      <c r="O195" s="153"/>
      <c r="P195" s="18">
        <f>SUM(D195:O195)</f>
        <v>0</v>
      </c>
    </row>
    <row r="196" spans="1:16" ht="15.6" x14ac:dyDescent="0.3">
      <c r="A196" s="85" t="s">
        <v>202</v>
      </c>
      <c r="B196" s="86"/>
      <c r="C196" s="16" t="s">
        <v>55</v>
      </c>
      <c r="D196" s="4">
        <v>19</v>
      </c>
      <c r="E196" s="4">
        <v>23</v>
      </c>
      <c r="F196" s="4">
        <v>23</v>
      </c>
      <c r="G196" s="4">
        <v>23</v>
      </c>
      <c r="H196" s="153"/>
      <c r="I196" s="4">
        <v>23</v>
      </c>
      <c r="J196" s="4">
        <v>22</v>
      </c>
      <c r="K196" s="153"/>
      <c r="L196" s="153"/>
      <c r="M196" s="153"/>
      <c r="N196" s="153"/>
      <c r="O196" s="153"/>
      <c r="P196" s="18">
        <f>SUM(D196:O196)/12</f>
        <v>11.083333333333334</v>
      </c>
    </row>
    <row r="197" spans="1:16" ht="15.6" x14ac:dyDescent="0.3">
      <c r="A197" s="591" t="s">
        <v>56</v>
      </c>
      <c r="B197" s="592"/>
      <c r="C197" s="16" t="s">
        <v>55</v>
      </c>
      <c r="D197" s="4">
        <v>43</v>
      </c>
      <c r="E197" s="4"/>
      <c r="F197" s="4"/>
      <c r="G197" s="4"/>
      <c r="H197" s="153"/>
      <c r="I197" s="153"/>
      <c r="J197" s="153"/>
      <c r="K197" s="153"/>
      <c r="L197" s="153"/>
      <c r="M197" s="153"/>
      <c r="N197" s="153"/>
      <c r="O197" s="153"/>
      <c r="P197" s="18">
        <f>SUM(D197:O197)</f>
        <v>43</v>
      </c>
    </row>
    <row r="198" spans="1:16" x14ac:dyDescent="0.3">
      <c r="A198" s="595">
        <v>0</v>
      </c>
      <c r="B198" s="596"/>
      <c r="C198" s="596"/>
      <c r="D198" s="596"/>
      <c r="E198" s="596"/>
      <c r="F198" s="596"/>
      <c r="G198" s="596"/>
      <c r="H198" s="596"/>
      <c r="I198" s="596"/>
      <c r="J198" s="596"/>
      <c r="K198" s="596"/>
      <c r="L198" s="596"/>
      <c r="M198" s="596"/>
      <c r="N198" s="596"/>
      <c r="O198" s="596"/>
      <c r="P198" s="597"/>
    </row>
    <row r="199" spans="1:16" ht="15.6" x14ac:dyDescent="0.3">
      <c r="A199" s="658" t="s">
        <v>54</v>
      </c>
      <c r="B199" s="79" t="s">
        <v>53</v>
      </c>
      <c r="C199" s="11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175">SUM(D199:O199)</f>
        <v>0</v>
      </c>
    </row>
    <row r="200" spans="1:16" ht="15.6" x14ac:dyDescent="0.3">
      <c r="A200" s="662"/>
      <c r="B200" s="79" t="s">
        <v>52</v>
      </c>
      <c r="C200" s="11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175"/>
        <v>0</v>
      </c>
    </row>
    <row r="201" spans="1:16" ht="15.6" x14ac:dyDescent="0.3">
      <c r="A201" s="662"/>
      <c r="B201" s="79" t="s">
        <v>51</v>
      </c>
      <c r="C201" s="11" t="s">
        <v>47</v>
      </c>
      <c r="D201" s="4"/>
      <c r="E201" s="4"/>
      <c r="F201" s="4"/>
      <c r="G201" s="4"/>
      <c r="H201" s="4"/>
      <c r="I201" s="4"/>
      <c r="J201" s="4"/>
      <c r="K201" s="4">
        <f>32*6</f>
        <v>192</v>
      </c>
      <c r="L201" s="4">
        <v>48</v>
      </c>
      <c r="M201" s="4"/>
      <c r="N201" s="4"/>
      <c r="O201" s="4">
        <v>420</v>
      </c>
      <c r="P201" s="9">
        <f t="shared" si="175"/>
        <v>660</v>
      </c>
    </row>
    <row r="202" spans="1:16" ht="15.6" x14ac:dyDescent="0.3">
      <c r="A202" s="662"/>
      <c r="B202" s="79" t="s">
        <v>50</v>
      </c>
      <c r="C202" s="11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175"/>
        <v>0</v>
      </c>
    </row>
    <row r="203" spans="1:16" ht="15.6" x14ac:dyDescent="0.3">
      <c r="A203" s="660"/>
      <c r="B203" s="79" t="s">
        <v>49</v>
      </c>
      <c r="C203" s="11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175"/>
        <v>0</v>
      </c>
    </row>
    <row r="204" spans="1:16" ht="15.6" x14ac:dyDescent="0.3">
      <c r="A204" s="83" t="s">
        <v>48</v>
      </c>
      <c r="B204" s="79"/>
      <c r="C204" s="11" t="s">
        <v>47</v>
      </c>
      <c r="D204" s="15">
        <f t="shared" ref="D204:N204" si="176">SUM(D199:D203)</f>
        <v>0</v>
      </c>
      <c r="E204" s="15">
        <f t="shared" si="176"/>
        <v>0</v>
      </c>
      <c r="F204" s="15">
        <f t="shared" si="176"/>
        <v>0</v>
      </c>
      <c r="G204" s="15">
        <f t="shared" si="176"/>
        <v>0</v>
      </c>
      <c r="H204" s="15">
        <f t="shared" si="176"/>
        <v>0</v>
      </c>
      <c r="I204" s="15">
        <f t="shared" si="176"/>
        <v>0</v>
      </c>
      <c r="J204" s="15">
        <f t="shared" si="176"/>
        <v>0</v>
      </c>
      <c r="K204" s="15">
        <f t="shared" si="176"/>
        <v>192</v>
      </c>
      <c r="L204" s="15">
        <f t="shared" si="176"/>
        <v>48</v>
      </c>
      <c r="M204" s="15">
        <f t="shared" si="176"/>
        <v>0</v>
      </c>
      <c r="N204" s="15">
        <f t="shared" si="176"/>
        <v>0</v>
      </c>
      <c r="O204" s="15">
        <v>420</v>
      </c>
      <c r="P204" s="111">
        <f t="shared" si="175"/>
        <v>660</v>
      </c>
    </row>
    <row r="205" spans="1:16" s="2" customFormat="1" x14ac:dyDescent="0.3">
      <c r="A205" s="595" t="s">
        <v>46</v>
      </c>
      <c r="B205" s="596"/>
      <c r="C205" s="596"/>
      <c r="D205" s="596"/>
      <c r="E205" s="596"/>
      <c r="F205" s="596"/>
      <c r="G205" s="596"/>
      <c r="H205" s="596"/>
      <c r="I205" s="596"/>
      <c r="J205" s="596"/>
      <c r="K205" s="596"/>
      <c r="L205" s="596"/>
      <c r="M205" s="596"/>
      <c r="N205" s="596"/>
      <c r="O205" s="596"/>
      <c r="P205" s="597"/>
    </row>
    <row r="206" spans="1:16" ht="15.6" x14ac:dyDescent="0.3">
      <c r="A206" s="591" t="s">
        <v>43</v>
      </c>
      <c r="B206" s="592"/>
      <c r="C206" s="11" t="s">
        <v>31</v>
      </c>
      <c r="D206" s="551">
        <f>7000+62400+4427379.96</f>
        <v>4496779.96</v>
      </c>
      <c r="E206" s="13">
        <f>87000+143900+7032195.91</f>
        <v>7263095.9100000001</v>
      </c>
      <c r="F206" s="13">
        <f>114000+524543+16207759</f>
        <v>16846302</v>
      </c>
      <c r="G206" s="13">
        <f>136200+361100+12524992</f>
        <v>13022292</v>
      </c>
      <c r="H206" s="13">
        <f>53000+119600+6431392</f>
        <v>6603992</v>
      </c>
      <c r="I206" s="13">
        <f>72300+196400+13302252</f>
        <v>13570952</v>
      </c>
      <c r="J206" s="13">
        <f>35000+139700+5806427</f>
        <v>5981127</v>
      </c>
      <c r="K206" s="13">
        <f>75100+383800+18025176</f>
        <v>18484076</v>
      </c>
      <c r="L206" s="13">
        <v>8105287</v>
      </c>
      <c r="M206" s="13">
        <v>12669291</v>
      </c>
      <c r="N206" s="13">
        <v>8291527</v>
      </c>
      <c r="O206" s="13">
        <v>14739963</v>
      </c>
      <c r="P206" s="9">
        <f>SUM(D206:O206)</f>
        <v>130074684.87</v>
      </c>
    </row>
    <row r="207" spans="1:16" ht="15.6" x14ac:dyDescent="0.3">
      <c r="A207" s="591" t="s">
        <v>42</v>
      </c>
      <c r="B207" s="592"/>
      <c r="C207" s="11" t="s">
        <v>31</v>
      </c>
      <c r="D207" s="551">
        <v>99700</v>
      </c>
      <c r="E207" s="13">
        <v>72850</v>
      </c>
      <c r="F207" s="13">
        <v>171500</v>
      </c>
      <c r="G207" s="13">
        <v>106450</v>
      </c>
      <c r="H207" s="13">
        <v>112000</v>
      </c>
      <c r="I207" s="13">
        <v>133600</v>
      </c>
      <c r="J207" s="13">
        <v>104400</v>
      </c>
      <c r="K207" s="13">
        <v>150800</v>
      </c>
      <c r="L207" s="13">
        <v>93900</v>
      </c>
      <c r="M207" s="13">
        <v>153700</v>
      </c>
      <c r="N207" s="13">
        <v>115010</v>
      </c>
      <c r="O207" s="13">
        <v>191450</v>
      </c>
      <c r="P207" s="9">
        <f>SUM(D207:O207)</f>
        <v>1505360</v>
      </c>
    </row>
    <row r="208" spans="1:16" ht="15.6" x14ac:dyDescent="0.3">
      <c r="A208" s="598" t="s">
        <v>41</v>
      </c>
      <c r="B208" s="599"/>
      <c r="C208" s="11" t="s">
        <v>31</v>
      </c>
      <c r="D208" s="551">
        <v>70109.41</v>
      </c>
      <c r="E208" s="13">
        <v>58000</v>
      </c>
      <c r="F208" s="13">
        <v>1139607</v>
      </c>
      <c r="G208" s="13">
        <v>34000</v>
      </c>
      <c r="H208" s="13"/>
      <c r="I208" s="13">
        <v>23000</v>
      </c>
      <c r="J208" s="13">
        <v>10000</v>
      </c>
      <c r="K208" s="13">
        <v>1659575</v>
      </c>
      <c r="L208" s="13">
        <v>12000</v>
      </c>
      <c r="M208" s="13">
        <v>85000</v>
      </c>
      <c r="N208" s="13">
        <v>40000</v>
      </c>
      <c r="O208" s="13">
        <v>1184154</v>
      </c>
      <c r="P208" s="9">
        <f>SUM(D208:O208)</f>
        <v>4315445.41</v>
      </c>
    </row>
    <row r="209" spans="1:16" ht="15.6" x14ac:dyDescent="0.3">
      <c r="A209" s="591" t="s">
        <v>40</v>
      </c>
      <c r="B209" s="592"/>
      <c r="C209" s="11" t="s">
        <v>31</v>
      </c>
      <c r="D209" s="551"/>
      <c r="E209" s="13">
        <v>17000</v>
      </c>
      <c r="F209" s="13">
        <v>205600</v>
      </c>
      <c r="G209" s="13">
        <v>52000</v>
      </c>
      <c r="H209" s="13">
        <v>12000</v>
      </c>
      <c r="I209" s="13">
        <v>20000</v>
      </c>
      <c r="J209" s="13">
        <v>20000</v>
      </c>
      <c r="K209" s="13">
        <v>242000</v>
      </c>
      <c r="L209" s="13">
        <v>50000</v>
      </c>
      <c r="M209" s="13">
        <v>894040</v>
      </c>
      <c r="N209" s="13">
        <v>66000</v>
      </c>
      <c r="O209" s="13">
        <v>163443</v>
      </c>
      <c r="P209" s="9">
        <f>SUM(D209:O209)</f>
        <v>1742083</v>
      </c>
    </row>
    <row r="210" spans="1:16" ht="15.6" x14ac:dyDescent="0.3">
      <c r="A210" s="656" t="s">
        <v>45</v>
      </c>
      <c r="B210" s="657"/>
      <c r="C210" s="11" t="s">
        <v>31</v>
      </c>
      <c r="D210" s="10">
        <f t="shared" ref="D210:N210" si="177">SUM(D206:D209)</f>
        <v>4666589.37</v>
      </c>
      <c r="E210" s="10">
        <f t="shared" si="177"/>
        <v>7410945.9100000001</v>
      </c>
      <c r="F210" s="10">
        <f t="shared" si="177"/>
        <v>18363009</v>
      </c>
      <c r="G210" s="10">
        <f t="shared" si="177"/>
        <v>13214742</v>
      </c>
      <c r="H210" s="10">
        <f t="shared" si="177"/>
        <v>6727992</v>
      </c>
      <c r="I210" s="10">
        <f t="shared" si="177"/>
        <v>13747552</v>
      </c>
      <c r="J210" s="10">
        <f t="shared" si="177"/>
        <v>6115527</v>
      </c>
      <c r="K210" s="10">
        <f t="shared" si="177"/>
        <v>20536451</v>
      </c>
      <c r="L210" s="10">
        <f t="shared" si="177"/>
        <v>8261187</v>
      </c>
      <c r="M210" s="10">
        <f t="shared" si="177"/>
        <v>13802031</v>
      </c>
      <c r="N210" s="10">
        <f t="shared" si="177"/>
        <v>8512537</v>
      </c>
      <c r="O210" s="10">
        <v>16279010</v>
      </c>
      <c r="P210" s="9">
        <f>SUM(D210:O210)</f>
        <v>137637573.28</v>
      </c>
    </row>
    <row r="211" spans="1:16" s="2" customFormat="1" x14ac:dyDescent="0.3">
      <c r="A211" s="595" t="s">
        <v>44</v>
      </c>
      <c r="B211" s="596"/>
      <c r="C211" s="596"/>
      <c r="D211" s="596"/>
      <c r="E211" s="596"/>
      <c r="F211" s="596"/>
      <c r="G211" s="596"/>
      <c r="H211" s="596"/>
      <c r="I211" s="596"/>
      <c r="J211" s="596"/>
      <c r="K211" s="596"/>
      <c r="L211" s="596"/>
      <c r="M211" s="596"/>
      <c r="N211" s="596"/>
      <c r="O211" s="596"/>
      <c r="P211" s="597"/>
    </row>
    <row r="212" spans="1:16" ht="15.6" x14ac:dyDescent="0.3">
      <c r="A212" s="591" t="s">
        <v>43</v>
      </c>
      <c r="B212" s="592"/>
      <c r="C212" s="11" t="s">
        <v>31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9">
        <f>SUM(D212:O212)</f>
        <v>0</v>
      </c>
    </row>
    <row r="213" spans="1:16" ht="15.6" x14ac:dyDescent="0.3">
      <c r="A213" s="591" t="s">
        <v>42</v>
      </c>
      <c r="B213" s="592"/>
      <c r="C213" s="11" t="s">
        <v>31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9">
        <f>SUM(D213:O213)</f>
        <v>0</v>
      </c>
    </row>
    <row r="214" spans="1:16" ht="15.6" x14ac:dyDescent="0.3">
      <c r="A214" s="598" t="s">
        <v>41</v>
      </c>
      <c r="B214" s="599"/>
      <c r="C214" s="11" t="s">
        <v>31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9">
        <f>SUM(D214:O214)</f>
        <v>0</v>
      </c>
    </row>
    <row r="215" spans="1:16" ht="15.6" x14ac:dyDescent="0.3">
      <c r="A215" s="591" t="s">
        <v>40</v>
      </c>
      <c r="B215" s="592"/>
      <c r="C215" s="11" t="s">
        <v>31</v>
      </c>
      <c r="D215" s="551">
        <v>4068742.07</v>
      </c>
      <c r="E215" s="13">
        <v>3627671</v>
      </c>
      <c r="F215" s="13">
        <v>4166549</v>
      </c>
      <c r="G215" s="13">
        <v>4442807.93</v>
      </c>
      <c r="H215" s="13"/>
      <c r="I215" s="13">
        <v>5151175.75</v>
      </c>
      <c r="J215" s="13">
        <v>5080403.2699999996</v>
      </c>
      <c r="K215" s="13">
        <v>5193841.79</v>
      </c>
      <c r="L215" s="13">
        <v>5598460</v>
      </c>
      <c r="M215" s="13">
        <v>4741325</v>
      </c>
      <c r="N215" s="13">
        <v>6322440</v>
      </c>
      <c r="O215" s="13">
        <v>4057210</v>
      </c>
      <c r="P215" s="9">
        <f>SUM(D215:O215)</f>
        <v>52450625.810000002</v>
      </c>
    </row>
    <row r="216" spans="1:16" ht="15.6" x14ac:dyDescent="0.3">
      <c r="A216" s="656" t="s">
        <v>39</v>
      </c>
      <c r="B216" s="657"/>
      <c r="C216" s="11" t="s">
        <v>31</v>
      </c>
      <c r="D216" s="10">
        <f t="shared" ref="D216:N216" si="178">SUM(D212:D215)</f>
        <v>4068742.07</v>
      </c>
      <c r="E216" s="10">
        <f t="shared" si="178"/>
        <v>3627671</v>
      </c>
      <c r="F216" s="10">
        <f t="shared" si="178"/>
        <v>4166549</v>
      </c>
      <c r="G216" s="10">
        <f t="shared" si="178"/>
        <v>4442807.93</v>
      </c>
      <c r="H216" s="13">
        <v>7750815.5800000001</v>
      </c>
      <c r="I216" s="10">
        <f t="shared" si="178"/>
        <v>5151175.75</v>
      </c>
      <c r="J216" s="10">
        <f t="shared" si="178"/>
        <v>5080403.2699999996</v>
      </c>
      <c r="K216" s="10">
        <f t="shared" si="178"/>
        <v>5193841.79</v>
      </c>
      <c r="L216" s="10">
        <f t="shared" si="178"/>
        <v>5598460</v>
      </c>
      <c r="M216" s="10">
        <f t="shared" si="178"/>
        <v>4741325</v>
      </c>
      <c r="N216" s="10">
        <f t="shared" si="178"/>
        <v>6322440</v>
      </c>
      <c r="O216" s="10">
        <v>4057210</v>
      </c>
      <c r="P216" s="9">
        <f>SUM(D216:O216)</f>
        <v>60201441.389999993</v>
      </c>
    </row>
    <row r="217" spans="1:16" s="2" customFormat="1" ht="15.6" x14ac:dyDescent="0.3">
      <c r="A217" s="76" t="s">
        <v>38</v>
      </c>
      <c r="B217" s="77"/>
      <c r="C217" s="11" t="s">
        <v>31</v>
      </c>
      <c r="D217" s="10">
        <f>D210+D216</f>
        <v>8735331.4399999995</v>
      </c>
      <c r="E217" s="10">
        <f t="shared" ref="E217:P217" si="179">E210+E216</f>
        <v>11038616.91</v>
      </c>
      <c r="F217" s="10">
        <f t="shared" si="179"/>
        <v>22529558</v>
      </c>
      <c r="G217" s="10">
        <f t="shared" si="179"/>
        <v>17657549.93</v>
      </c>
      <c r="H217" s="10">
        <f t="shared" si="179"/>
        <v>14478807.58</v>
      </c>
      <c r="I217" s="10">
        <f t="shared" si="179"/>
        <v>18898727.75</v>
      </c>
      <c r="J217" s="10">
        <f t="shared" si="179"/>
        <v>11195930.27</v>
      </c>
      <c r="K217" s="10">
        <f t="shared" si="179"/>
        <v>25730292.789999999</v>
      </c>
      <c r="L217" s="10">
        <f t="shared" si="179"/>
        <v>13859647</v>
      </c>
      <c r="M217" s="10">
        <f t="shared" si="179"/>
        <v>18543356</v>
      </c>
      <c r="N217" s="10">
        <f t="shared" si="179"/>
        <v>14834977</v>
      </c>
      <c r="O217" s="10">
        <v>20336220</v>
      </c>
      <c r="P217" s="40">
        <f t="shared" si="179"/>
        <v>197839014.66999999</v>
      </c>
    </row>
    <row r="218" spans="1:16" s="2" customFormat="1" x14ac:dyDescent="0.3">
      <c r="A218" s="595" t="s">
        <v>37</v>
      </c>
      <c r="B218" s="596"/>
      <c r="C218" s="596"/>
      <c r="D218" s="596"/>
      <c r="E218" s="596"/>
      <c r="F218" s="596"/>
      <c r="G218" s="596"/>
      <c r="H218" s="596"/>
      <c r="I218" s="596"/>
      <c r="J218" s="596"/>
      <c r="K218" s="596"/>
      <c r="L218" s="596"/>
      <c r="M218" s="596"/>
      <c r="N218" s="596"/>
      <c r="O218" s="596"/>
      <c r="P218" s="597"/>
    </row>
    <row r="219" spans="1:16" ht="15.6" x14ac:dyDescent="0.3">
      <c r="A219" s="591" t="s">
        <v>35</v>
      </c>
      <c r="B219" s="592"/>
      <c r="C219" s="11" t="s">
        <v>31</v>
      </c>
      <c r="D219" s="551">
        <f>39519.89+250001.59+5750713.24</f>
        <v>6040234.7200000007</v>
      </c>
      <c r="E219" s="13">
        <f>69666.92+301644.16+10978355.69</f>
        <v>11349666.77</v>
      </c>
      <c r="F219" s="13">
        <f>77438+352042+11165724</f>
        <v>11595204</v>
      </c>
      <c r="G219" s="13">
        <f>69380+316011+10564363</f>
        <v>10949754</v>
      </c>
      <c r="H219" s="13">
        <f>77656.2+461922.39+11281197.74</f>
        <v>11820776.33</v>
      </c>
      <c r="I219" s="13">
        <f>85638+343250+11435595</f>
        <v>11864483</v>
      </c>
      <c r="J219" s="13">
        <f>85785.42+258281.92+11552623.23</f>
        <v>11896690.57</v>
      </c>
      <c r="K219" s="13">
        <f>83850+246103+12024624</f>
        <v>12354577</v>
      </c>
      <c r="L219" s="13">
        <v>10747114</v>
      </c>
      <c r="M219" s="13">
        <v>11280986.210000001</v>
      </c>
      <c r="N219" s="13">
        <v>12333190</v>
      </c>
      <c r="O219" s="13">
        <v>11393447</v>
      </c>
      <c r="P219" s="9">
        <f>SUM(D219:O219)</f>
        <v>133626123.59999999</v>
      </c>
    </row>
    <row r="220" spans="1:16" ht="15.6" x14ac:dyDescent="0.3">
      <c r="A220" s="591" t="s">
        <v>34</v>
      </c>
      <c r="B220" s="592"/>
      <c r="C220" s="11" t="s">
        <v>31</v>
      </c>
      <c r="D220" s="551">
        <v>113897.95</v>
      </c>
      <c r="E220" s="13">
        <v>109724.59</v>
      </c>
      <c r="F220" s="13">
        <v>131113</v>
      </c>
      <c r="G220" s="13">
        <v>113724</v>
      </c>
      <c r="H220" s="13">
        <v>132504.18</v>
      </c>
      <c r="I220" s="13">
        <v>149372</v>
      </c>
      <c r="J220" s="13">
        <v>148154.28</v>
      </c>
      <c r="K220" s="13">
        <v>149372</v>
      </c>
      <c r="L220" s="13">
        <v>130418</v>
      </c>
      <c r="M220" s="13">
        <v>145372.04</v>
      </c>
      <c r="N220" s="13">
        <v>134243</v>
      </c>
      <c r="O220" s="13">
        <v>123810</v>
      </c>
      <c r="P220" s="9">
        <f>SUM(D220:O220)</f>
        <v>1581705.04</v>
      </c>
    </row>
    <row r="221" spans="1:16" ht="15.6" x14ac:dyDescent="0.3">
      <c r="A221" s="591" t="s">
        <v>33</v>
      </c>
      <c r="B221" s="592"/>
      <c r="C221" s="11" t="s">
        <v>31</v>
      </c>
      <c r="D221" s="551">
        <v>44849.01</v>
      </c>
      <c r="E221" s="13">
        <v>65239.360000000001</v>
      </c>
      <c r="F221" s="13">
        <v>98904</v>
      </c>
      <c r="G221" s="13">
        <v>330694</v>
      </c>
      <c r="H221" s="13">
        <v>368323.88</v>
      </c>
      <c r="I221" s="13">
        <v>336641</v>
      </c>
      <c r="J221" s="13">
        <v>186652.02</v>
      </c>
      <c r="K221" s="13">
        <v>182015</v>
      </c>
      <c r="L221" s="13">
        <v>110761</v>
      </c>
      <c r="M221" s="13">
        <v>94667.07</v>
      </c>
      <c r="N221" s="13">
        <v>140889</v>
      </c>
      <c r="O221" s="13">
        <v>189871</v>
      </c>
      <c r="P221" s="9">
        <f>SUM(D221:O221)</f>
        <v>2149506.34</v>
      </c>
    </row>
    <row r="222" spans="1:16" ht="15.6" x14ac:dyDescent="0.3">
      <c r="A222" s="591" t="s">
        <v>32</v>
      </c>
      <c r="B222" s="592"/>
      <c r="C222" s="11" t="s">
        <v>31</v>
      </c>
      <c r="D222" s="551">
        <v>614940.38</v>
      </c>
      <c r="E222" s="13">
        <v>841678.61</v>
      </c>
      <c r="F222" s="13">
        <v>820740</v>
      </c>
      <c r="G222" s="13">
        <v>1652076</v>
      </c>
      <c r="H222" s="13">
        <v>762780.98</v>
      </c>
      <c r="I222" s="13">
        <v>416845</v>
      </c>
      <c r="J222" s="13">
        <v>434672.31</v>
      </c>
      <c r="K222" s="13">
        <v>335566</v>
      </c>
      <c r="L222" s="13">
        <v>255420</v>
      </c>
      <c r="M222" s="13">
        <v>293822.88</v>
      </c>
      <c r="N222" s="13">
        <v>391292</v>
      </c>
      <c r="O222" s="13">
        <v>561040</v>
      </c>
      <c r="P222" s="9">
        <f>SUM(D222:O222)</f>
        <v>7380874.1600000001</v>
      </c>
    </row>
    <row r="223" spans="1:16" ht="15.6" x14ac:dyDescent="0.3">
      <c r="A223" s="656" t="s">
        <v>36</v>
      </c>
      <c r="B223" s="657"/>
      <c r="C223" s="11" t="s">
        <v>31</v>
      </c>
      <c r="D223" s="12">
        <f t="shared" ref="D223:N223" si="180">SUM(D219:D222)</f>
        <v>6813922.0600000005</v>
      </c>
      <c r="E223" s="10">
        <f t="shared" si="180"/>
        <v>12366309.329999998</v>
      </c>
      <c r="F223" s="10">
        <f t="shared" si="180"/>
        <v>12645961</v>
      </c>
      <c r="G223" s="10">
        <f t="shared" si="180"/>
        <v>13046248</v>
      </c>
      <c r="H223" s="10">
        <f t="shared" si="180"/>
        <v>13084385.370000001</v>
      </c>
      <c r="I223" s="10">
        <f t="shared" si="180"/>
        <v>12767341</v>
      </c>
      <c r="J223" s="14">
        <f t="shared" si="180"/>
        <v>12666169.18</v>
      </c>
      <c r="K223" s="14">
        <f t="shared" si="180"/>
        <v>13021530</v>
      </c>
      <c r="L223" s="14">
        <f t="shared" si="180"/>
        <v>11243713</v>
      </c>
      <c r="M223" s="14">
        <f t="shared" si="180"/>
        <v>11814848.200000001</v>
      </c>
      <c r="N223" s="14">
        <f t="shared" si="180"/>
        <v>12999614</v>
      </c>
      <c r="O223" s="14">
        <v>12268168</v>
      </c>
      <c r="P223" s="9">
        <f>SUM(D223:O223)</f>
        <v>144738209.13999999</v>
      </c>
    </row>
    <row r="224" spans="1:16" x14ac:dyDescent="0.3">
      <c r="A224" s="595" t="s">
        <v>211</v>
      </c>
      <c r="B224" s="596"/>
      <c r="C224" s="596"/>
      <c r="D224" s="596"/>
      <c r="E224" s="596"/>
      <c r="F224" s="596"/>
      <c r="G224" s="596"/>
      <c r="H224" s="596"/>
      <c r="I224" s="596"/>
      <c r="J224" s="596"/>
      <c r="K224" s="596"/>
      <c r="L224" s="596"/>
      <c r="M224" s="596"/>
      <c r="N224" s="596"/>
      <c r="O224" s="596"/>
      <c r="P224" s="597"/>
    </row>
    <row r="225" spans="1:16" ht="15.6" x14ac:dyDescent="0.3">
      <c r="A225" s="591" t="s">
        <v>35</v>
      </c>
      <c r="B225" s="592"/>
      <c r="C225" s="11" t="s">
        <v>31</v>
      </c>
      <c r="D225" s="55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9">
        <f t="shared" ref="P225:P230" si="181">SUM(D225:O225)</f>
        <v>0</v>
      </c>
    </row>
    <row r="226" spans="1:16" ht="15.6" x14ac:dyDescent="0.3">
      <c r="A226" s="591" t="s">
        <v>34</v>
      </c>
      <c r="B226" s="592"/>
      <c r="C226" s="11" t="s">
        <v>31</v>
      </c>
      <c r="D226" s="55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9">
        <f t="shared" si="181"/>
        <v>0</v>
      </c>
    </row>
    <row r="227" spans="1:16" ht="15.6" x14ac:dyDescent="0.3">
      <c r="A227" s="591" t="s">
        <v>33</v>
      </c>
      <c r="B227" s="592"/>
      <c r="C227" s="11" t="s">
        <v>31</v>
      </c>
      <c r="D227" s="553">
        <v>3879625.71</v>
      </c>
      <c r="E227" s="13">
        <v>3322478.56</v>
      </c>
      <c r="F227" s="13">
        <v>3875554.68</v>
      </c>
      <c r="G227" s="13">
        <v>4176902.51</v>
      </c>
      <c r="H227" s="13">
        <v>7509451.2199999997</v>
      </c>
      <c r="I227" s="13">
        <v>4940158.82</v>
      </c>
      <c r="J227" s="13">
        <v>4803945.46</v>
      </c>
      <c r="K227" s="13">
        <v>5062430.67</v>
      </c>
      <c r="L227" s="13">
        <v>5423029.9699999997</v>
      </c>
      <c r="M227" s="13">
        <v>4643958.6100000003</v>
      </c>
      <c r="N227" s="13">
        <v>6176235.4000000004</v>
      </c>
      <c r="O227" s="13">
        <v>3939146.02</v>
      </c>
      <c r="P227" s="9">
        <f t="shared" si="181"/>
        <v>57752917.630000003</v>
      </c>
    </row>
    <row r="228" spans="1:16" ht="15.6" x14ac:dyDescent="0.3">
      <c r="A228" s="591" t="s">
        <v>32</v>
      </c>
      <c r="B228" s="592"/>
      <c r="C228" s="11" t="s">
        <v>31</v>
      </c>
      <c r="D228" s="551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9">
        <f t="shared" si="181"/>
        <v>0</v>
      </c>
    </row>
    <row r="229" spans="1:16" ht="15.6" x14ac:dyDescent="0.3">
      <c r="A229" s="656" t="s">
        <v>212</v>
      </c>
      <c r="B229" s="657"/>
      <c r="C229" s="11" t="s">
        <v>31</v>
      </c>
      <c r="D229" s="12">
        <f t="shared" ref="D229:N229" si="182">SUM(D225:D228)</f>
        <v>3879625.71</v>
      </c>
      <c r="E229" s="10">
        <f t="shared" si="182"/>
        <v>3322478.56</v>
      </c>
      <c r="F229" s="10">
        <f t="shared" si="182"/>
        <v>3875554.68</v>
      </c>
      <c r="G229" s="10">
        <f t="shared" si="182"/>
        <v>4176902.51</v>
      </c>
      <c r="H229" s="10">
        <f t="shared" si="182"/>
        <v>7509451.2199999997</v>
      </c>
      <c r="I229" s="10">
        <f t="shared" si="182"/>
        <v>4940158.82</v>
      </c>
      <c r="J229" s="14">
        <f t="shared" si="182"/>
        <v>4803945.46</v>
      </c>
      <c r="K229" s="14">
        <f t="shared" si="182"/>
        <v>5062430.67</v>
      </c>
      <c r="L229" s="14">
        <f t="shared" si="182"/>
        <v>5423029.9699999997</v>
      </c>
      <c r="M229" s="14">
        <f t="shared" si="182"/>
        <v>4643958.6100000003</v>
      </c>
      <c r="N229" s="14">
        <f t="shared" si="182"/>
        <v>6176235.4000000004</v>
      </c>
      <c r="O229" s="14">
        <v>3939146.02</v>
      </c>
      <c r="P229" s="9">
        <f t="shared" si="181"/>
        <v>57752917.630000003</v>
      </c>
    </row>
    <row r="230" spans="1:16" ht="15.6" x14ac:dyDescent="0.3">
      <c r="A230" s="76" t="s">
        <v>213</v>
      </c>
      <c r="B230" s="120"/>
      <c r="C230" s="11" t="s">
        <v>31</v>
      </c>
      <c r="D230" s="12">
        <f>D223+D229</f>
        <v>10693547.77</v>
      </c>
      <c r="E230" s="12">
        <f t="shared" ref="E230:N230" si="183">E223+E229</f>
        <v>15688787.889999999</v>
      </c>
      <c r="F230" s="12">
        <f t="shared" si="183"/>
        <v>16521515.68</v>
      </c>
      <c r="G230" s="12">
        <f t="shared" si="183"/>
        <v>17223150.509999998</v>
      </c>
      <c r="H230" s="12">
        <f t="shared" si="183"/>
        <v>20593836.59</v>
      </c>
      <c r="I230" s="12">
        <f t="shared" si="183"/>
        <v>17707499.82</v>
      </c>
      <c r="J230" s="12">
        <f t="shared" si="183"/>
        <v>17470114.640000001</v>
      </c>
      <c r="K230" s="12">
        <f t="shared" si="183"/>
        <v>18083960.670000002</v>
      </c>
      <c r="L230" s="12">
        <f t="shared" si="183"/>
        <v>16666742.969999999</v>
      </c>
      <c r="M230" s="12">
        <f t="shared" si="183"/>
        <v>16458806.810000002</v>
      </c>
      <c r="N230" s="12">
        <f t="shared" si="183"/>
        <v>19175849.399999999</v>
      </c>
      <c r="O230" s="12">
        <v>16207314.02</v>
      </c>
      <c r="P230" s="9">
        <f t="shared" si="181"/>
        <v>202491126.77000001</v>
      </c>
    </row>
    <row r="231" spans="1:16" x14ac:dyDescent="0.3">
      <c r="A231" s="595" t="s">
        <v>30</v>
      </c>
      <c r="B231" s="596"/>
      <c r="C231" s="596"/>
      <c r="D231" s="596"/>
      <c r="E231" s="596"/>
      <c r="F231" s="596"/>
      <c r="G231" s="596"/>
      <c r="H231" s="596"/>
      <c r="I231" s="596"/>
      <c r="J231" s="596"/>
      <c r="K231" s="596"/>
      <c r="L231" s="596"/>
      <c r="M231" s="596"/>
      <c r="N231" s="596"/>
      <c r="O231" s="596"/>
      <c r="P231" s="597"/>
    </row>
    <row r="232" spans="1:16" ht="15.6" x14ac:dyDescent="0.3">
      <c r="A232" s="591" t="s">
        <v>29</v>
      </c>
      <c r="B232" s="592"/>
      <c r="C232" s="11" t="s">
        <v>18</v>
      </c>
      <c r="D232" s="551">
        <f>2078.64+13529.66+429668.26</f>
        <v>445276.56</v>
      </c>
      <c r="E232" s="13">
        <f>3117.96+19594.68+668776.5</f>
        <v>691489.14</v>
      </c>
      <c r="F232" s="13">
        <f>3464+19595+683143</f>
        <v>706202</v>
      </c>
      <c r="G232" s="13">
        <f>3464+20294+682152</f>
        <v>705910</v>
      </c>
      <c r="H232" s="13">
        <f>3810.84+18894.87+670758.06</f>
        <v>693463.77</v>
      </c>
      <c r="I232" s="13">
        <f>4157+18195+682152</f>
        <v>704504</v>
      </c>
      <c r="J232" s="13">
        <f>4157.28+18195.06+692059.83</f>
        <v>714412.16999999993</v>
      </c>
      <c r="K232" s="13">
        <f>4157+17495+703454</f>
        <v>725106</v>
      </c>
      <c r="L232" s="13">
        <v>721143</v>
      </c>
      <c r="M232" s="13">
        <v>722133.99</v>
      </c>
      <c r="N232" s="13">
        <v>737986</v>
      </c>
      <c r="O232" s="13">
        <v>749875</v>
      </c>
      <c r="P232" s="9">
        <f>SUM(D232:O232)</f>
        <v>8317501.6300000008</v>
      </c>
    </row>
    <row r="233" spans="1:16" ht="15.6" x14ac:dyDescent="0.3">
      <c r="A233" s="591" t="s">
        <v>28</v>
      </c>
      <c r="B233" s="592"/>
      <c r="C233" s="11" t="s">
        <v>18</v>
      </c>
      <c r="D233" s="551">
        <v>1391.12</v>
      </c>
      <c r="E233" s="13">
        <v>1391.12</v>
      </c>
      <c r="F233" s="13">
        <v>1391</v>
      </c>
      <c r="G233" s="13">
        <v>1391</v>
      </c>
      <c r="H233" s="13">
        <v>1391.12</v>
      </c>
      <c r="I233" s="13">
        <v>1391</v>
      </c>
      <c r="J233" s="13">
        <v>1391.12</v>
      </c>
      <c r="K233" s="13">
        <v>1391</v>
      </c>
      <c r="L233" s="13">
        <v>1391</v>
      </c>
      <c r="M233" s="13">
        <v>1391.12</v>
      </c>
      <c r="N233" s="13">
        <v>1391</v>
      </c>
      <c r="O233" s="13">
        <v>1391</v>
      </c>
      <c r="P233" s="9">
        <f>SUM(D233:O233)</f>
        <v>16692.599999999999</v>
      </c>
    </row>
    <row r="234" spans="1:16" ht="15.6" x14ac:dyDescent="0.3">
      <c r="A234" s="591" t="s">
        <v>27</v>
      </c>
      <c r="B234" s="592"/>
      <c r="C234" s="11" t="s">
        <v>18</v>
      </c>
      <c r="D234" s="551">
        <v>10283.75</v>
      </c>
      <c r="E234" s="13">
        <v>18510.78</v>
      </c>
      <c r="F234" s="13">
        <v>18511</v>
      </c>
      <c r="G234" s="13">
        <v>24681</v>
      </c>
      <c r="H234" s="13">
        <v>24681.040000000001</v>
      </c>
      <c r="I234" s="13">
        <v>24681</v>
      </c>
      <c r="J234" s="13">
        <v>24681.040000000001</v>
      </c>
      <c r="K234" s="13">
        <v>21596</v>
      </c>
      <c r="L234" s="13">
        <v>21596</v>
      </c>
      <c r="M234" s="13">
        <v>21595.91</v>
      </c>
      <c r="N234" s="13">
        <v>27766</v>
      </c>
      <c r="O234" s="13">
        <v>30851</v>
      </c>
      <c r="P234" s="9">
        <f>SUM(D234:O234)</f>
        <v>269434.52</v>
      </c>
    </row>
    <row r="235" spans="1:16" ht="15.6" x14ac:dyDescent="0.3">
      <c r="A235" s="591" t="s">
        <v>26</v>
      </c>
      <c r="B235" s="592"/>
      <c r="C235" s="11" t="s">
        <v>18</v>
      </c>
      <c r="D235" s="551">
        <v>22484.080000000002</v>
      </c>
      <c r="E235" s="13">
        <v>29510.39</v>
      </c>
      <c r="F235" s="13">
        <v>33726</v>
      </c>
      <c r="G235" s="13">
        <v>37942</v>
      </c>
      <c r="H235" s="13">
        <v>42157.7</v>
      </c>
      <c r="I235" s="13">
        <v>33726</v>
      </c>
      <c r="J235" s="13">
        <v>25294.62</v>
      </c>
      <c r="K235" s="13">
        <v>16863</v>
      </c>
      <c r="L235" s="13">
        <v>21079</v>
      </c>
      <c r="M235" s="13">
        <v>25294.62</v>
      </c>
      <c r="N235" s="13">
        <v>29510</v>
      </c>
      <c r="O235" s="13">
        <v>33726</v>
      </c>
      <c r="P235" s="9">
        <f>SUM(D235:O235)</f>
        <v>351313.41</v>
      </c>
    </row>
    <row r="236" spans="1:16" ht="15.6" x14ac:dyDescent="0.3">
      <c r="A236" s="656" t="s">
        <v>25</v>
      </c>
      <c r="B236" s="657"/>
      <c r="C236" s="11" t="s">
        <v>18</v>
      </c>
      <c r="D236" s="12">
        <f t="shared" ref="D236:N236" si="184">SUM(D232:D235)</f>
        <v>479435.51</v>
      </c>
      <c r="E236" s="12">
        <f t="shared" si="184"/>
        <v>740901.43</v>
      </c>
      <c r="F236" s="12">
        <f t="shared" si="184"/>
        <v>759830</v>
      </c>
      <c r="G236" s="12">
        <f t="shared" si="184"/>
        <v>769924</v>
      </c>
      <c r="H236" s="12">
        <f t="shared" si="184"/>
        <v>761693.63</v>
      </c>
      <c r="I236" s="12">
        <f t="shared" si="184"/>
        <v>764302</v>
      </c>
      <c r="J236" s="12">
        <f t="shared" si="184"/>
        <v>765778.95</v>
      </c>
      <c r="K236" s="12">
        <f t="shared" si="184"/>
        <v>764956</v>
      </c>
      <c r="L236" s="12">
        <f t="shared" si="184"/>
        <v>765209</v>
      </c>
      <c r="M236" s="12">
        <f t="shared" si="184"/>
        <v>770415.64</v>
      </c>
      <c r="N236" s="12">
        <f t="shared" si="184"/>
        <v>796653</v>
      </c>
      <c r="O236" s="12">
        <v>815843</v>
      </c>
      <c r="P236" s="40">
        <f t="shared" ref="P236" si="185">SUM(P232:P235)</f>
        <v>8954942.1600000001</v>
      </c>
    </row>
    <row r="237" spans="1:16" x14ac:dyDescent="0.3">
      <c r="A237" s="595" t="s">
        <v>24</v>
      </c>
      <c r="B237" s="596"/>
      <c r="C237" s="596"/>
      <c r="D237" s="596"/>
      <c r="E237" s="596"/>
      <c r="F237" s="596"/>
      <c r="G237" s="596"/>
      <c r="H237" s="596"/>
      <c r="I237" s="596"/>
      <c r="J237" s="596"/>
      <c r="K237" s="596"/>
      <c r="L237" s="596"/>
      <c r="M237" s="596"/>
      <c r="N237" s="596"/>
      <c r="O237" s="596"/>
      <c r="P237" s="597"/>
    </row>
    <row r="238" spans="1:16" ht="15.6" x14ac:dyDescent="0.3">
      <c r="A238" s="591" t="s">
        <v>23</v>
      </c>
      <c r="B238" s="592"/>
      <c r="C238" s="11" t="s">
        <v>18</v>
      </c>
      <c r="D238" s="551">
        <f>8037+25897+1161793</f>
        <v>1195727</v>
      </c>
      <c r="E238" s="13">
        <f>8037+25004+1205550</f>
        <v>1238591</v>
      </c>
      <c r="F238" s="13">
        <f>8930+25004+1231447</f>
        <v>1265381</v>
      </c>
      <c r="G238" s="13">
        <f>8930+25897+1229661</f>
        <v>1264488</v>
      </c>
      <c r="H238" s="13">
        <f>9823+24111+1209122</f>
        <v>1243056</v>
      </c>
      <c r="I238" s="13">
        <f>10716+23218+1229661</f>
        <v>1263595</v>
      </c>
      <c r="J238" s="13">
        <f>10716+23218+1247521</f>
        <v>1281455</v>
      </c>
      <c r="K238" s="13">
        <f>10716+22325+1268060</f>
        <v>1301101</v>
      </c>
      <c r="L238" s="13">
        <v>1293957</v>
      </c>
      <c r="M238" s="13">
        <v>1295743</v>
      </c>
      <c r="N238" s="13">
        <v>1324319</v>
      </c>
      <c r="O238" s="13">
        <v>1345751</v>
      </c>
      <c r="P238" s="9">
        <f>SUM(D238:O238)</f>
        <v>15313164</v>
      </c>
    </row>
    <row r="239" spans="1:16" ht="15.6" x14ac:dyDescent="0.3">
      <c r="A239" s="591" t="s">
        <v>22</v>
      </c>
      <c r="B239" s="592"/>
      <c r="C239" s="11" t="s">
        <v>18</v>
      </c>
      <c r="D239" s="551">
        <v>7144</v>
      </c>
      <c r="E239" s="15">
        <v>7144</v>
      </c>
      <c r="F239" s="15">
        <v>7144</v>
      </c>
      <c r="G239" s="15">
        <v>7144</v>
      </c>
      <c r="H239" s="15">
        <v>7144</v>
      </c>
      <c r="I239" s="15">
        <v>7144</v>
      </c>
      <c r="J239" s="15">
        <v>7144</v>
      </c>
      <c r="K239" s="15">
        <v>7144</v>
      </c>
      <c r="L239" s="15">
        <v>7144</v>
      </c>
      <c r="M239" s="15">
        <v>7144</v>
      </c>
      <c r="N239" s="15">
        <v>7144</v>
      </c>
      <c r="O239" s="15">
        <v>7144</v>
      </c>
      <c r="P239" s="9">
        <f>SUM(D239:O239)</f>
        <v>85728</v>
      </c>
    </row>
    <row r="240" spans="1:16" ht="15.6" x14ac:dyDescent="0.3">
      <c r="A240" s="591" t="s">
        <v>21</v>
      </c>
      <c r="B240" s="592"/>
      <c r="C240" s="11" t="s">
        <v>18</v>
      </c>
      <c r="D240" s="551">
        <v>4465</v>
      </c>
      <c r="E240" s="15">
        <v>5358</v>
      </c>
      <c r="F240" s="15">
        <v>5358</v>
      </c>
      <c r="G240" s="15">
        <v>7144</v>
      </c>
      <c r="H240" s="15">
        <v>7144</v>
      </c>
      <c r="I240" s="15">
        <v>7144</v>
      </c>
      <c r="J240" s="15">
        <v>7144</v>
      </c>
      <c r="K240" s="15">
        <v>6251</v>
      </c>
      <c r="L240" s="15">
        <v>6251</v>
      </c>
      <c r="M240" s="15">
        <v>6251</v>
      </c>
      <c r="N240" s="15">
        <v>8037</v>
      </c>
      <c r="O240" s="15">
        <v>8930</v>
      </c>
      <c r="P240" s="9">
        <f>SUM(D240:O240)</f>
        <v>79477</v>
      </c>
    </row>
    <row r="241" spans="1:16" ht="15.6" x14ac:dyDescent="0.3">
      <c r="A241" s="591" t="s">
        <v>20</v>
      </c>
      <c r="B241" s="592"/>
      <c r="C241" s="11" t="s">
        <v>18</v>
      </c>
      <c r="D241" s="551">
        <v>7144</v>
      </c>
      <c r="E241" s="15">
        <v>6251</v>
      </c>
      <c r="F241" s="15">
        <v>7144</v>
      </c>
      <c r="G241" s="15">
        <v>8037</v>
      </c>
      <c r="H241" s="15">
        <v>8930</v>
      </c>
      <c r="I241" s="15">
        <v>7144</v>
      </c>
      <c r="J241" s="15">
        <v>5358</v>
      </c>
      <c r="K241" s="15">
        <v>3572</v>
      </c>
      <c r="L241" s="15">
        <v>4465</v>
      </c>
      <c r="M241" s="15">
        <v>5358</v>
      </c>
      <c r="N241" s="15">
        <v>6251</v>
      </c>
      <c r="O241" s="15">
        <v>7144</v>
      </c>
      <c r="P241" s="9">
        <f>SUM(D241:O241)</f>
        <v>76798</v>
      </c>
    </row>
    <row r="242" spans="1:16" ht="15.6" x14ac:dyDescent="0.3">
      <c r="A242" s="656" t="s">
        <v>19</v>
      </c>
      <c r="B242" s="657"/>
      <c r="C242" s="11" t="s">
        <v>18</v>
      </c>
      <c r="D242" s="12">
        <f t="shared" ref="D242:P242" si="186">SUM(D238:D241)</f>
        <v>1214480</v>
      </c>
      <c r="E242" s="12">
        <f t="shared" si="186"/>
        <v>1257344</v>
      </c>
      <c r="F242" s="12">
        <f t="shared" si="186"/>
        <v>1285027</v>
      </c>
      <c r="G242" s="12">
        <f t="shared" si="186"/>
        <v>1286813</v>
      </c>
      <c r="H242" s="12">
        <f t="shared" si="186"/>
        <v>1266274</v>
      </c>
      <c r="I242" s="12">
        <f t="shared" si="186"/>
        <v>1285027</v>
      </c>
      <c r="J242" s="12">
        <f t="shared" si="186"/>
        <v>1301101</v>
      </c>
      <c r="K242" s="12">
        <f t="shared" si="186"/>
        <v>1318068</v>
      </c>
      <c r="L242" s="12">
        <f t="shared" si="186"/>
        <v>1311817</v>
      </c>
      <c r="M242" s="12">
        <f t="shared" si="186"/>
        <v>1314496</v>
      </c>
      <c r="N242" s="12">
        <f t="shared" si="186"/>
        <v>1345751</v>
      </c>
      <c r="O242" s="12">
        <v>1368969</v>
      </c>
      <c r="P242" s="40">
        <f t="shared" si="186"/>
        <v>15555167</v>
      </c>
    </row>
    <row r="243" spans="1:16" ht="15.6" x14ac:dyDescent="0.3">
      <c r="A243" s="656" t="s">
        <v>214</v>
      </c>
      <c r="B243" s="657"/>
      <c r="C243" s="11" t="s">
        <v>18</v>
      </c>
      <c r="D243" s="10">
        <f>D230+D236+D242</f>
        <v>12387463.279999999</v>
      </c>
      <c r="E243" s="10">
        <f t="shared" ref="E243:N243" si="187">E230+E236+E242</f>
        <v>17687033.32</v>
      </c>
      <c r="F243" s="10">
        <f t="shared" si="187"/>
        <v>18566372.68</v>
      </c>
      <c r="G243" s="10">
        <f t="shared" si="187"/>
        <v>19279887.509999998</v>
      </c>
      <c r="H243" s="10">
        <f t="shared" si="187"/>
        <v>22621804.219999999</v>
      </c>
      <c r="I243" s="10">
        <f t="shared" si="187"/>
        <v>19756828.82</v>
      </c>
      <c r="J243" s="10">
        <f t="shared" si="187"/>
        <v>19536994.59</v>
      </c>
      <c r="K243" s="10">
        <f t="shared" si="187"/>
        <v>20166984.670000002</v>
      </c>
      <c r="L243" s="10">
        <f t="shared" si="187"/>
        <v>18743768.969999999</v>
      </c>
      <c r="M243" s="10">
        <f t="shared" si="187"/>
        <v>18543718.450000003</v>
      </c>
      <c r="N243" s="10">
        <f t="shared" si="187"/>
        <v>21318253.399999999</v>
      </c>
      <c r="O243" s="10">
        <v>18392126.02</v>
      </c>
      <c r="P243" s="40">
        <f t="shared" ref="P243" si="188">P216+P223+P236+P242</f>
        <v>229449759.68999997</v>
      </c>
    </row>
    <row r="244" spans="1:16" x14ac:dyDescent="0.3">
      <c r="A244" s="595" t="s">
        <v>204</v>
      </c>
      <c r="B244" s="596"/>
      <c r="C244" s="596"/>
      <c r="D244" s="596"/>
      <c r="E244" s="596"/>
      <c r="F244" s="596"/>
      <c r="G244" s="596"/>
      <c r="H244" s="596"/>
      <c r="I244" s="596"/>
      <c r="J244" s="596"/>
      <c r="K244" s="596"/>
      <c r="L244" s="596"/>
      <c r="M244" s="596"/>
      <c r="N244" s="596"/>
      <c r="O244" s="596"/>
      <c r="P244" s="597"/>
    </row>
    <row r="245" spans="1:16" ht="15.6" x14ac:dyDescent="0.3">
      <c r="A245" s="663" t="s">
        <v>205</v>
      </c>
      <c r="B245" s="664"/>
      <c r="C245" s="11" t="s">
        <v>18</v>
      </c>
      <c r="D245" s="152">
        <v>46011672.789999999</v>
      </c>
      <c r="E245" s="152">
        <v>53039182.950000003</v>
      </c>
      <c r="F245" s="152">
        <v>49861859.210000001</v>
      </c>
      <c r="G245" s="152">
        <v>50541024.880000003</v>
      </c>
      <c r="H245" s="152">
        <v>53948607.810000002</v>
      </c>
      <c r="I245" s="152">
        <v>53743602.469999999</v>
      </c>
      <c r="J245" s="152">
        <v>58111540.799999997</v>
      </c>
      <c r="K245" s="152">
        <v>51813004.439999998</v>
      </c>
      <c r="L245" s="152">
        <v>55975981.100000001</v>
      </c>
      <c r="M245" s="152">
        <v>54451470.43</v>
      </c>
      <c r="N245" s="152">
        <v>61147113.630000003</v>
      </c>
      <c r="O245" s="152">
        <v>59639648.439999998</v>
      </c>
      <c r="P245" s="161">
        <f>O245</f>
        <v>59639648.439999998</v>
      </c>
    </row>
    <row r="246" spans="1:16" ht="15.6" x14ac:dyDescent="0.3">
      <c r="A246" s="663" t="s">
        <v>206</v>
      </c>
      <c r="B246" s="664"/>
      <c r="C246" s="11" t="s">
        <v>18</v>
      </c>
      <c r="D246" s="154"/>
      <c r="E246" s="154"/>
      <c r="F246" s="154"/>
      <c r="G246" s="154"/>
      <c r="H246" s="152"/>
      <c r="I246" s="152"/>
      <c r="J246" s="152"/>
      <c r="K246" s="152"/>
      <c r="L246" s="152"/>
      <c r="M246" s="152"/>
      <c r="N246" s="152"/>
      <c r="O246" s="152"/>
      <c r="P246" s="161">
        <f>O246</f>
        <v>0</v>
      </c>
    </row>
    <row r="247" spans="1:16" ht="15.6" x14ac:dyDescent="0.3">
      <c r="A247" s="665" t="s">
        <v>207</v>
      </c>
      <c r="B247" s="666"/>
      <c r="C247" s="11" t="s">
        <v>18</v>
      </c>
      <c r="D247" s="143">
        <f>D245+D246</f>
        <v>46011672.789999999</v>
      </c>
      <c r="E247" s="143">
        <f t="shared" ref="E247:G247" si="189">E245+E246</f>
        <v>53039182.950000003</v>
      </c>
      <c r="F247" s="143">
        <f t="shared" si="189"/>
        <v>49861859.210000001</v>
      </c>
      <c r="G247" s="143">
        <f t="shared" si="189"/>
        <v>50541024.880000003</v>
      </c>
      <c r="H247" s="143">
        <f t="shared" ref="H247:P247" si="190">H245+H246</f>
        <v>53948607.810000002</v>
      </c>
      <c r="I247" s="143">
        <f t="shared" si="190"/>
        <v>53743602.469999999</v>
      </c>
      <c r="J247" s="143">
        <f t="shared" si="190"/>
        <v>58111540.799999997</v>
      </c>
      <c r="K247" s="143">
        <f t="shared" si="190"/>
        <v>51813004.439999998</v>
      </c>
      <c r="L247" s="143">
        <f t="shared" si="190"/>
        <v>55975981.100000001</v>
      </c>
      <c r="M247" s="143">
        <f t="shared" si="190"/>
        <v>54451470.43</v>
      </c>
      <c r="N247" s="154">
        <f t="shared" si="190"/>
        <v>61147113.630000003</v>
      </c>
      <c r="O247" s="154">
        <v>59639648.439999998</v>
      </c>
      <c r="P247" s="161">
        <f t="shared" si="190"/>
        <v>59639648.439999998</v>
      </c>
    </row>
    <row r="248" spans="1:16" x14ac:dyDescent="0.3">
      <c r="A248" s="595" t="s">
        <v>17</v>
      </c>
      <c r="B248" s="596"/>
      <c r="C248" s="596"/>
      <c r="D248" s="596"/>
      <c r="E248" s="596"/>
      <c r="F248" s="596"/>
      <c r="G248" s="596"/>
      <c r="H248" s="596"/>
      <c r="I248" s="596"/>
      <c r="J248" s="596"/>
      <c r="K248" s="596"/>
      <c r="L248" s="596"/>
      <c r="M248" s="596"/>
      <c r="N248" s="596"/>
      <c r="O248" s="596"/>
      <c r="P248" s="597"/>
    </row>
    <row r="249" spans="1:16" ht="15.6" x14ac:dyDescent="0.3">
      <c r="A249" s="620" t="s">
        <v>16</v>
      </c>
      <c r="B249" s="621"/>
      <c r="C249" s="5" t="s">
        <v>6</v>
      </c>
      <c r="D249" s="8">
        <f>D58/D243%</f>
        <v>23.104941853761037</v>
      </c>
      <c r="E249" s="8">
        <f t="shared" ref="E249:H249" si="191">E58/E243%</f>
        <v>16.431740277854576</v>
      </c>
      <c r="F249" s="8">
        <f t="shared" si="191"/>
        <v>14.946283023766169</v>
      </c>
      <c r="G249" s="8">
        <f t="shared" si="191"/>
        <v>14.447483143017571</v>
      </c>
      <c r="H249" s="8">
        <f t="shared" si="191"/>
        <v>13.439525240484993</v>
      </c>
      <c r="I249" s="8">
        <f t="shared" ref="I249:P249" si="192">I58/I243%</f>
        <v>15.620915259820526</v>
      </c>
      <c r="J249" s="8">
        <f t="shared" si="192"/>
        <v>15.360864805357966</v>
      </c>
      <c r="K249" s="8">
        <f t="shared" si="192"/>
        <v>14.036539320679712</v>
      </c>
      <c r="L249" s="8">
        <f t="shared" si="192"/>
        <v>6.0149578257419174</v>
      </c>
      <c r="M249" s="8">
        <f t="shared" si="192"/>
        <v>5.8921781057347733</v>
      </c>
      <c r="N249" s="8">
        <f t="shared" si="192"/>
        <v>4.7816681196781348</v>
      </c>
      <c r="O249" s="8">
        <v>0.43432564518715716</v>
      </c>
      <c r="P249" s="112">
        <f t="shared" si="192"/>
        <v>11.595746235013195</v>
      </c>
    </row>
    <row r="250" spans="1:16" ht="15.6" x14ac:dyDescent="0.3">
      <c r="A250" s="620" t="s">
        <v>208</v>
      </c>
      <c r="B250" s="621"/>
      <c r="C250" s="5" t="s">
        <v>6</v>
      </c>
      <c r="D250" s="559">
        <f>D210/(D223+D245)%</f>
        <v>8.8339551750452259</v>
      </c>
      <c r="E250" s="559">
        <f t="shared" ref="E250:H250" si="193">E210/(E223+E245)%</f>
        <v>11.330770018936397</v>
      </c>
      <c r="F250" s="559">
        <f t="shared" si="193"/>
        <v>29.377138633706966</v>
      </c>
      <c r="G250" s="559">
        <f t="shared" si="193"/>
        <v>20.782054963952401</v>
      </c>
      <c r="H250" s="559">
        <f t="shared" si="193"/>
        <v>10.036836609598641</v>
      </c>
      <c r="I250" s="29">
        <f t="shared" ref="I250:P250" si="194">I210/(I223+I245)%</f>
        <v>20.669609063959353</v>
      </c>
      <c r="J250" s="29">
        <f t="shared" si="194"/>
        <v>8.6404702860944429</v>
      </c>
      <c r="K250" s="29">
        <f t="shared" si="194"/>
        <v>31.675173080798636</v>
      </c>
      <c r="L250" s="29">
        <f t="shared" si="194"/>
        <v>12.289831292165907</v>
      </c>
      <c r="M250" s="29">
        <f t="shared" si="194"/>
        <v>20.828123978131419</v>
      </c>
      <c r="N250" s="29">
        <f t="shared" si="194"/>
        <v>11.480664450194565</v>
      </c>
      <c r="O250" s="29">
        <v>22.638721081988677</v>
      </c>
      <c r="P250" s="109">
        <f t="shared" si="194"/>
        <v>67.344659988973746</v>
      </c>
    </row>
    <row r="251" spans="1:16" ht="16.2" thickBot="1" x14ac:dyDescent="0.35">
      <c r="A251" s="669" t="s">
        <v>15</v>
      </c>
      <c r="B251" s="670"/>
      <c r="C251" s="5" t="s">
        <v>6</v>
      </c>
      <c r="D251" s="29">
        <f>D210/D223%</f>
        <v>68.486098445335017</v>
      </c>
      <c r="E251" s="29">
        <f t="shared" ref="E251:H251" si="195">E210/E223%</f>
        <v>59.928517977643061</v>
      </c>
      <c r="F251" s="29">
        <f t="shared" si="195"/>
        <v>145.20848988858972</v>
      </c>
      <c r="G251" s="29">
        <f t="shared" si="195"/>
        <v>101.29151308483482</v>
      </c>
      <c r="H251" s="29">
        <f t="shared" si="195"/>
        <v>51.420007969392294</v>
      </c>
      <c r="I251" s="7">
        <f t="shared" ref="I251:P251" si="196">I210/I223%</f>
        <v>107.67748742670851</v>
      </c>
      <c r="J251" s="7">
        <f t="shared" si="196"/>
        <v>48.282372618679958</v>
      </c>
      <c r="K251" s="7">
        <f t="shared" si="196"/>
        <v>157.71150548361061</v>
      </c>
      <c r="L251" s="7">
        <f t="shared" si="196"/>
        <v>73.473833777151725</v>
      </c>
      <c r="M251" s="7">
        <f t="shared" si="196"/>
        <v>116.81936802201147</v>
      </c>
      <c r="N251" s="7">
        <f t="shared" si="196"/>
        <v>65.48299818748464</v>
      </c>
      <c r="O251" s="7">
        <v>132.69308017301361</v>
      </c>
      <c r="P251" s="113">
        <f t="shared" si="196"/>
        <v>95.094152468660297</v>
      </c>
    </row>
    <row r="252" spans="1:16" x14ac:dyDescent="0.3">
      <c r="A252" s="649" t="s">
        <v>14</v>
      </c>
      <c r="B252" s="650"/>
      <c r="C252" s="650"/>
      <c r="D252" s="650"/>
      <c r="E252" s="650"/>
      <c r="F252" s="650"/>
      <c r="G252" s="650"/>
      <c r="H252" s="650"/>
      <c r="I252" s="650"/>
      <c r="J252" s="650"/>
      <c r="K252" s="650"/>
      <c r="L252" s="650"/>
      <c r="M252" s="650"/>
      <c r="N252" s="650"/>
      <c r="O252" s="650"/>
      <c r="P252" s="651"/>
    </row>
    <row r="253" spans="1:16" s="2" customFormat="1" ht="15" customHeight="1" x14ac:dyDescent="0.3">
      <c r="A253" s="620" t="s">
        <v>13</v>
      </c>
      <c r="B253" s="621"/>
      <c r="C253" s="5" t="s">
        <v>3</v>
      </c>
      <c r="D253" s="3">
        <v>12</v>
      </c>
      <c r="E253" s="4">
        <v>6</v>
      </c>
      <c r="F253" s="4">
        <v>13</v>
      </c>
      <c r="G253" s="4">
        <v>7</v>
      </c>
      <c r="H253" s="4">
        <v>15</v>
      </c>
      <c r="I253" s="4">
        <v>14</v>
      </c>
      <c r="J253" s="4">
        <v>17</v>
      </c>
      <c r="K253" s="4">
        <v>13</v>
      </c>
      <c r="L253" s="153">
        <v>9</v>
      </c>
      <c r="M253" s="153">
        <v>11</v>
      </c>
      <c r="N253" s="153">
        <v>13</v>
      </c>
      <c r="O253" s="153">
        <v>17</v>
      </c>
      <c r="P253" s="114">
        <f>SUM(D253:O253)</f>
        <v>147</v>
      </c>
    </row>
    <row r="254" spans="1:16" s="2" customFormat="1" ht="15.6" x14ac:dyDescent="0.3">
      <c r="A254" s="620" t="s">
        <v>12</v>
      </c>
      <c r="B254" s="621"/>
      <c r="C254" s="5" t="s">
        <v>3</v>
      </c>
      <c r="D254" s="3">
        <v>8</v>
      </c>
      <c r="E254" s="4">
        <v>5</v>
      </c>
      <c r="F254" s="4">
        <v>5</v>
      </c>
      <c r="G254" s="4">
        <v>3</v>
      </c>
      <c r="H254" s="4">
        <v>3</v>
      </c>
      <c r="I254" s="4">
        <v>8</v>
      </c>
      <c r="J254" s="4">
        <v>6</v>
      </c>
      <c r="K254" s="4">
        <v>3</v>
      </c>
      <c r="L254" s="153">
        <v>6</v>
      </c>
      <c r="M254" s="153">
        <v>5</v>
      </c>
      <c r="N254" s="153">
        <v>5</v>
      </c>
      <c r="O254" s="153">
        <v>4</v>
      </c>
      <c r="P254" s="114">
        <f>SUM(D254:O254)</f>
        <v>61</v>
      </c>
    </row>
    <row r="255" spans="1:16" ht="15.75" customHeight="1" x14ac:dyDescent="0.3">
      <c r="A255" s="620" t="s">
        <v>11</v>
      </c>
      <c r="B255" s="621"/>
      <c r="C255" s="5" t="s">
        <v>3</v>
      </c>
      <c r="D255" s="3">
        <v>10</v>
      </c>
      <c r="E255" s="4">
        <v>6</v>
      </c>
      <c r="F255" s="4">
        <v>11</v>
      </c>
      <c r="G255" s="4">
        <v>7</v>
      </c>
      <c r="H255" s="4">
        <v>8</v>
      </c>
      <c r="I255" s="4">
        <v>2</v>
      </c>
      <c r="J255" s="4">
        <v>9</v>
      </c>
      <c r="K255" s="4">
        <v>12</v>
      </c>
      <c r="L255" s="153">
        <v>17</v>
      </c>
      <c r="M255" s="153">
        <f t="shared" ref="M255" si="197">M95</f>
        <v>34</v>
      </c>
      <c r="N255" s="153">
        <f t="shared" ref="N255" si="198">N95</f>
        <v>30</v>
      </c>
      <c r="O255" s="153">
        <v>25</v>
      </c>
      <c r="P255" s="114">
        <f>SUM(D255:O255)</f>
        <v>171</v>
      </c>
    </row>
    <row r="256" spans="1:16" ht="15.6" x14ac:dyDescent="0.3">
      <c r="A256" s="620" t="s">
        <v>10</v>
      </c>
      <c r="B256" s="621"/>
      <c r="C256" s="5" t="s">
        <v>3</v>
      </c>
      <c r="D256" s="3">
        <v>72</v>
      </c>
      <c r="E256" s="4">
        <v>22</v>
      </c>
      <c r="F256" s="4">
        <v>23</v>
      </c>
      <c r="G256" s="4">
        <v>28</v>
      </c>
      <c r="H256" s="4">
        <v>21</v>
      </c>
      <c r="I256" s="4">
        <v>25</v>
      </c>
      <c r="J256" s="4">
        <v>32</v>
      </c>
      <c r="K256" s="4">
        <v>38</v>
      </c>
      <c r="L256" s="153">
        <v>48</v>
      </c>
      <c r="M256" s="153">
        <v>51</v>
      </c>
      <c r="N256" s="153">
        <f t="shared" ref="N256" si="199">N91</f>
        <v>0</v>
      </c>
      <c r="O256" s="153">
        <v>10</v>
      </c>
      <c r="P256" s="114">
        <f>SUM(D256:O256)</f>
        <v>370</v>
      </c>
    </row>
    <row r="257" spans="1:16" ht="15.6" customHeight="1" x14ac:dyDescent="0.3">
      <c r="A257" s="620" t="s">
        <v>9</v>
      </c>
      <c r="B257" s="621"/>
      <c r="C257" s="5" t="s">
        <v>3</v>
      </c>
      <c r="D257" s="4">
        <v>20</v>
      </c>
      <c r="E257" s="4">
        <v>20</v>
      </c>
      <c r="F257" s="4">
        <v>15</v>
      </c>
      <c r="G257" s="4">
        <v>12</v>
      </c>
      <c r="H257" s="4">
        <v>26</v>
      </c>
      <c r="I257" s="4">
        <v>20</v>
      </c>
      <c r="J257" s="4">
        <v>26</v>
      </c>
      <c r="K257" s="4">
        <v>27</v>
      </c>
      <c r="L257" s="153">
        <v>30</v>
      </c>
      <c r="M257" s="153">
        <v>28</v>
      </c>
      <c r="N257" s="153">
        <v>62</v>
      </c>
      <c r="O257" s="153">
        <v>25</v>
      </c>
      <c r="P257" s="114">
        <f>SUM(D257:O257)</f>
        <v>311</v>
      </c>
    </row>
    <row r="258" spans="1:16" ht="15.6" x14ac:dyDescent="0.3">
      <c r="A258" s="656" t="s">
        <v>8</v>
      </c>
      <c r="B258" s="657"/>
      <c r="C258" s="5" t="s">
        <v>3</v>
      </c>
      <c r="D258" s="560">
        <f>D257/D256</f>
        <v>0.27777777777777779</v>
      </c>
      <c r="E258" s="560">
        <f t="shared" ref="E258:H258" si="200">E257/E256</f>
        <v>0.90909090909090906</v>
      </c>
      <c r="F258" s="560">
        <f t="shared" si="200"/>
        <v>0.65217391304347827</v>
      </c>
      <c r="G258" s="3">
        <f t="shared" si="200"/>
        <v>0.42857142857142855</v>
      </c>
      <c r="H258" s="3">
        <f t="shared" si="200"/>
        <v>1.2380952380952381</v>
      </c>
      <c r="I258" s="3">
        <f t="shared" ref="I258:P258" si="201">I257/I256</f>
        <v>0.8</v>
      </c>
      <c r="J258" s="3">
        <f t="shared" si="201"/>
        <v>0.8125</v>
      </c>
      <c r="K258" s="3">
        <f t="shared" si="201"/>
        <v>0.71052631578947367</v>
      </c>
      <c r="L258" s="3">
        <f t="shared" si="201"/>
        <v>0.625</v>
      </c>
      <c r="M258" s="3">
        <f t="shared" si="201"/>
        <v>0.5490196078431373</v>
      </c>
      <c r="N258" s="3" t="e">
        <f t="shared" si="201"/>
        <v>#DIV/0!</v>
      </c>
      <c r="O258" s="3">
        <v>2.5</v>
      </c>
      <c r="P258" s="114">
        <f t="shared" si="201"/>
        <v>0.8405405405405405</v>
      </c>
    </row>
    <row r="259" spans="1:16" ht="15.6" x14ac:dyDescent="0.3">
      <c r="A259" s="656" t="s">
        <v>7</v>
      </c>
      <c r="B259" s="657"/>
      <c r="C259" s="5" t="s">
        <v>6</v>
      </c>
      <c r="D259" s="1">
        <f>D256/D255*100</f>
        <v>720</v>
      </c>
      <c r="E259" s="1">
        <f t="shared" ref="E259:J259" si="202">E256/E255*100</f>
        <v>366.66666666666663</v>
      </c>
      <c r="F259" s="1">
        <f t="shared" si="202"/>
        <v>209.09090909090909</v>
      </c>
      <c r="G259" s="1">
        <f t="shared" si="202"/>
        <v>400</v>
      </c>
      <c r="H259" s="1">
        <f t="shared" si="202"/>
        <v>262.5</v>
      </c>
      <c r="I259" s="1">
        <f t="shared" si="202"/>
        <v>1250</v>
      </c>
      <c r="J259" s="1">
        <f t="shared" si="202"/>
        <v>355.55555555555554</v>
      </c>
      <c r="K259" s="6">
        <f t="shared" ref="K259:P259" si="203">K92/K255*100</f>
        <v>75</v>
      </c>
      <c r="L259" s="184">
        <f t="shared" si="203"/>
        <v>17.647058823529413</v>
      </c>
      <c r="M259" s="6">
        <f t="shared" si="203"/>
        <v>50</v>
      </c>
      <c r="N259" s="184">
        <f t="shared" si="203"/>
        <v>13.333333333333334</v>
      </c>
      <c r="O259" s="6">
        <v>60</v>
      </c>
      <c r="P259" s="185">
        <f t="shared" si="203"/>
        <v>83.040935672514621</v>
      </c>
    </row>
    <row r="260" spans="1:16" x14ac:dyDescent="0.3">
      <c r="A260" s="595" t="s">
        <v>5</v>
      </c>
      <c r="B260" s="596"/>
      <c r="C260" s="596"/>
      <c r="D260" s="596"/>
      <c r="E260" s="596"/>
      <c r="F260" s="596"/>
      <c r="G260" s="596"/>
      <c r="H260" s="596"/>
      <c r="I260" s="596"/>
      <c r="J260" s="596"/>
      <c r="K260" s="596"/>
      <c r="L260" s="596"/>
      <c r="M260" s="596"/>
      <c r="N260" s="596"/>
      <c r="O260" s="596"/>
      <c r="P260" s="597"/>
    </row>
    <row r="261" spans="1:16" s="2" customFormat="1" ht="15" customHeight="1" x14ac:dyDescent="0.3">
      <c r="A261" s="620" t="s">
        <v>4</v>
      </c>
      <c r="B261" s="621"/>
      <c r="C261" s="5" t="s">
        <v>3</v>
      </c>
      <c r="D261" s="4">
        <v>17</v>
      </c>
      <c r="E261" s="4">
        <v>9</v>
      </c>
      <c r="F261" s="4">
        <v>9</v>
      </c>
      <c r="G261" s="4">
        <v>30</v>
      </c>
      <c r="H261" s="4">
        <v>10</v>
      </c>
      <c r="I261" s="4">
        <v>11</v>
      </c>
      <c r="J261" s="4">
        <v>12</v>
      </c>
      <c r="K261" s="4">
        <v>13</v>
      </c>
      <c r="L261" s="4">
        <v>28</v>
      </c>
      <c r="M261" s="4">
        <v>15</v>
      </c>
      <c r="N261" s="4">
        <v>13</v>
      </c>
      <c r="O261" s="4">
        <v>12</v>
      </c>
      <c r="P261" s="40">
        <f>SUM(D261:O261)</f>
        <v>179</v>
      </c>
    </row>
    <row r="262" spans="1:16" s="2" customFormat="1" ht="15.75" customHeight="1" x14ac:dyDescent="0.3">
      <c r="A262" s="620" t="s">
        <v>2</v>
      </c>
      <c r="B262" s="621"/>
      <c r="C262" s="5" t="s">
        <v>0</v>
      </c>
      <c r="D262" s="4">
        <v>30</v>
      </c>
      <c r="E262" s="4">
        <v>6</v>
      </c>
      <c r="F262" s="4">
        <v>17</v>
      </c>
      <c r="G262" s="4">
        <v>35</v>
      </c>
      <c r="H262" s="4">
        <v>11</v>
      </c>
      <c r="I262" s="4">
        <v>9</v>
      </c>
      <c r="J262" s="4">
        <v>8</v>
      </c>
      <c r="K262" s="4">
        <v>9</v>
      </c>
      <c r="L262" s="4">
        <v>7</v>
      </c>
      <c r="M262" s="4">
        <v>9</v>
      </c>
      <c r="N262" s="4">
        <v>11</v>
      </c>
      <c r="O262" s="4">
        <v>7</v>
      </c>
      <c r="P262" s="40">
        <f>SUM(D262:O262)</f>
        <v>159</v>
      </c>
    </row>
    <row r="263" spans="1:16" ht="16.2" thickBot="1" x14ac:dyDescent="0.35">
      <c r="A263" s="667" t="s">
        <v>1</v>
      </c>
      <c r="B263" s="668"/>
      <c r="C263" s="116" t="s">
        <v>0</v>
      </c>
      <c r="D263" s="560">
        <f>D261/D262</f>
        <v>0.56666666666666665</v>
      </c>
      <c r="E263" s="560">
        <f t="shared" ref="E263:G263" si="204">E261/E262</f>
        <v>1.5</v>
      </c>
      <c r="F263" s="560">
        <f t="shared" si="204"/>
        <v>0.52941176470588236</v>
      </c>
      <c r="G263" s="3">
        <f t="shared" si="204"/>
        <v>0.8571428571428571</v>
      </c>
      <c r="H263" s="117">
        <f t="shared" ref="H263:I263" si="205">H261/H262</f>
        <v>0.90909090909090906</v>
      </c>
      <c r="I263" s="117">
        <f t="shared" si="205"/>
        <v>1.2222222222222223</v>
      </c>
      <c r="J263" s="117">
        <f t="shared" ref="J263:K263" si="206">J261/J262</f>
        <v>1.5</v>
      </c>
      <c r="K263" s="117">
        <f t="shared" si="206"/>
        <v>1.4444444444444444</v>
      </c>
      <c r="L263" s="117">
        <f t="shared" ref="L263:M263" si="207">L261/L262</f>
        <v>4</v>
      </c>
      <c r="M263" s="117">
        <f t="shared" si="207"/>
        <v>1.6666666666666667</v>
      </c>
      <c r="N263" s="117">
        <f t="shared" ref="N263:P263" si="208">N261/N262</f>
        <v>1.1818181818181819</v>
      </c>
      <c r="O263" s="117">
        <v>1.7142857142857142</v>
      </c>
      <c r="P263" s="198">
        <f t="shared" si="208"/>
        <v>1.1257861635220126</v>
      </c>
    </row>
  </sheetData>
  <mergeCells count="15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A37:A38"/>
    <mergeCell ref="A39:A40"/>
    <mergeCell ref="A29:A30"/>
    <mergeCell ref="B29:B30"/>
    <mergeCell ref="A31:A32"/>
    <mergeCell ref="A33:A34"/>
    <mergeCell ref="A20:B20"/>
    <mergeCell ref="A21:B21"/>
    <mergeCell ref="A23:P23"/>
    <mergeCell ref="A24:A25"/>
    <mergeCell ref="A26:P26"/>
    <mergeCell ref="A27:P27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Q263"/>
  <sheetViews>
    <sheetView workbookViewId="0">
      <pane xSplit="2" ySplit="8" topLeftCell="N9" activePane="bottomRight" state="frozen"/>
      <selection pane="topRight" activeCell="C1" sqref="C1"/>
      <selection pane="bottomLeft" activeCell="A9" sqref="A9"/>
      <selection pane="bottomRight" activeCell="O1" sqref="O1:O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</cols>
  <sheetData>
    <row r="1" spans="1:16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16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16" ht="18" thickBot="1" x14ac:dyDescent="0.35">
      <c r="A3" s="315" t="s">
        <v>217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16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16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3"/>
    </row>
    <row r="6" spans="1:16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16" ht="16.2" thickBot="1" x14ac:dyDescent="0.35">
      <c r="A7" s="589" t="s">
        <v>174</v>
      </c>
      <c r="B7" s="590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6" ht="15" thickBot="1" x14ac:dyDescent="0.35">
      <c r="A8" s="600" t="s">
        <v>159</v>
      </c>
      <c r="B8" s="601"/>
      <c r="C8" s="601"/>
      <c r="D8" s="601"/>
      <c r="E8" s="601"/>
      <c r="F8" s="601"/>
      <c r="G8" s="601"/>
      <c r="H8" s="601"/>
      <c r="I8" s="601"/>
      <c r="J8" s="601"/>
      <c r="K8" s="601"/>
      <c r="L8" s="601"/>
      <c r="M8" s="601"/>
      <c r="N8" s="601"/>
      <c r="O8" s="601"/>
      <c r="P8" s="602"/>
    </row>
    <row r="9" spans="1:16" ht="15.6" x14ac:dyDescent="0.3">
      <c r="A9" s="603" t="s">
        <v>176</v>
      </c>
      <c r="B9" s="604"/>
      <c r="C9" s="58" t="s">
        <v>152</v>
      </c>
      <c r="D9" s="557">
        <v>2733</v>
      </c>
      <c r="E9" s="176">
        <v>3230</v>
      </c>
      <c r="F9" s="176">
        <v>3544</v>
      </c>
      <c r="G9" s="176">
        <v>3667</v>
      </c>
      <c r="H9" s="176">
        <v>3528</v>
      </c>
      <c r="I9" s="176">
        <v>3745</v>
      </c>
      <c r="J9" s="176">
        <v>4649</v>
      </c>
      <c r="K9" s="176">
        <v>4358</v>
      </c>
      <c r="L9" s="57">
        <v>3994</v>
      </c>
      <c r="M9" s="57">
        <v>3907</v>
      </c>
      <c r="N9" s="57">
        <v>4049</v>
      </c>
      <c r="O9" s="57">
        <v>3002</v>
      </c>
      <c r="P9" s="56">
        <f>SUM(D9:O9)</f>
        <v>44406</v>
      </c>
    </row>
    <row r="10" spans="1:16" x14ac:dyDescent="0.3">
      <c r="A10" s="595" t="s">
        <v>177</v>
      </c>
      <c r="B10" s="596"/>
      <c r="C10" s="596"/>
      <c r="D10" s="596"/>
      <c r="E10" s="596"/>
      <c r="F10" s="596"/>
      <c r="G10" s="596"/>
      <c r="H10" s="596"/>
      <c r="I10" s="596"/>
      <c r="J10" s="596"/>
      <c r="K10" s="596"/>
      <c r="L10" s="596"/>
      <c r="M10" s="596"/>
      <c r="N10" s="596"/>
      <c r="O10" s="596"/>
      <c r="P10" s="597"/>
    </row>
    <row r="11" spans="1:16" ht="15.6" x14ac:dyDescent="0.3">
      <c r="A11" s="598" t="s">
        <v>157</v>
      </c>
      <c r="B11" s="599"/>
      <c r="C11" s="11" t="s">
        <v>152</v>
      </c>
      <c r="D11" s="555">
        <v>301</v>
      </c>
      <c r="E11" s="26">
        <v>346</v>
      </c>
      <c r="F11" s="26">
        <v>526</v>
      </c>
      <c r="G11" s="26">
        <v>507</v>
      </c>
      <c r="H11" s="26">
        <v>705</v>
      </c>
      <c r="I11" s="26">
        <v>1412</v>
      </c>
      <c r="J11" s="26">
        <v>1981</v>
      </c>
      <c r="K11" s="26">
        <v>1043</v>
      </c>
      <c r="L11" s="26">
        <v>1311</v>
      </c>
      <c r="M11" s="26">
        <v>1074</v>
      </c>
      <c r="N11" s="26">
        <v>1185</v>
      </c>
      <c r="O11" s="26">
        <v>1136</v>
      </c>
      <c r="P11" s="55">
        <f>SUM(D11:O11)</f>
        <v>11527</v>
      </c>
    </row>
    <row r="12" spans="1:16" ht="15.6" x14ac:dyDescent="0.3">
      <c r="A12" s="598" t="s">
        <v>156</v>
      </c>
      <c r="B12" s="599"/>
      <c r="C12" s="11" t="s">
        <v>152</v>
      </c>
      <c r="D12" s="555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55">
        <f>SUM(D12:O12)</f>
        <v>0</v>
      </c>
    </row>
    <row r="13" spans="1:16" ht="15.6" x14ac:dyDescent="0.3">
      <c r="A13" s="598" t="s">
        <v>155</v>
      </c>
      <c r="B13" s="599"/>
      <c r="C13" s="11" t="s">
        <v>152</v>
      </c>
      <c r="D13" s="555"/>
      <c r="E13" s="26"/>
      <c r="F13" s="26">
        <v>5</v>
      </c>
      <c r="G13" s="26">
        <v>1</v>
      </c>
      <c r="H13" s="26">
        <v>7</v>
      </c>
      <c r="I13" s="26">
        <v>5</v>
      </c>
      <c r="J13" s="26">
        <v>5</v>
      </c>
      <c r="K13" s="26">
        <v>6</v>
      </c>
      <c r="L13" s="26"/>
      <c r="M13" s="26">
        <v>5</v>
      </c>
      <c r="N13" s="26">
        <v>11</v>
      </c>
      <c r="O13" s="26">
        <v>9</v>
      </c>
      <c r="P13" s="55">
        <f>SUM(D13:O13)</f>
        <v>54</v>
      </c>
    </row>
    <row r="14" spans="1:16" ht="15.6" x14ac:dyDescent="0.3">
      <c r="A14" s="591" t="s">
        <v>154</v>
      </c>
      <c r="B14" s="592"/>
      <c r="C14" s="11" t="s">
        <v>152</v>
      </c>
      <c r="D14" s="555">
        <v>7</v>
      </c>
      <c r="E14" s="26">
        <v>10</v>
      </c>
      <c r="F14" s="26">
        <v>19</v>
      </c>
      <c r="G14" s="26">
        <v>13</v>
      </c>
      <c r="H14" s="26">
        <v>15</v>
      </c>
      <c r="I14" s="26">
        <v>21</v>
      </c>
      <c r="J14" s="26">
        <v>11</v>
      </c>
      <c r="K14" s="26">
        <v>12</v>
      </c>
      <c r="L14" s="26"/>
      <c r="M14" s="26"/>
      <c r="N14" s="26"/>
      <c r="O14" s="26">
        <v>13</v>
      </c>
      <c r="P14" s="55">
        <f>SUM(D14:O14)</f>
        <v>121</v>
      </c>
    </row>
    <row r="15" spans="1:16" s="63" customFormat="1" ht="15.6" x14ac:dyDescent="0.3">
      <c r="A15" s="593" t="s">
        <v>158</v>
      </c>
      <c r="B15" s="594"/>
      <c r="C15" s="62" t="s">
        <v>152</v>
      </c>
      <c r="D15" s="34">
        <f t="shared" ref="D15:P15" si="0">SUM(D11:D14)</f>
        <v>308</v>
      </c>
      <c r="E15" s="34">
        <f t="shared" si="0"/>
        <v>356</v>
      </c>
      <c r="F15" s="34">
        <f t="shared" si="0"/>
        <v>550</v>
      </c>
      <c r="G15" s="34">
        <f t="shared" si="0"/>
        <v>521</v>
      </c>
      <c r="H15" s="34">
        <f t="shared" si="0"/>
        <v>727</v>
      </c>
      <c r="I15" s="34">
        <f t="shared" si="0"/>
        <v>1438</v>
      </c>
      <c r="J15" s="34">
        <f t="shared" si="0"/>
        <v>1997</v>
      </c>
      <c r="K15" s="34">
        <f t="shared" si="0"/>
        <v>1061</v>
      </c>
      <c r="L15" s="34">
        <f t="shared" si="0"/>
        <v>1311</v>
      </c>
      <c r="M15" s="34">
        <f t="shared" si="0"/>
        <v>1079</v>
      </c>
      <c r="N15" s="34">
        <f t="shared" si="0"/>
        <v>1196</v>
      </c>
      <c r="O15" s="34">
        <v>1158</v>
      </c>
      <c r="P15" s="55">
        <f t="shared" si="0"/>
        <v>11702</v>
      </c>
    </row>
    <row r="16" spans="1:16" s="2" customFormat="1" x14ac:dyDescent="0.3">
      <c r="A16" s="595" t="s">
        <v>178</v>
      </c>
      <c r="B16" s="596"/>
      <c r="C16" s="596"/>
      <c r="D16" s="596"/>
      <c r="E16" s="596"/>
      <c r="F16" s="596"/>
      <c r="G16" s="596"/>
      <c r="H16" s="596"/>
      <c r="I16" s="596"/>
      <c r="J16" s="596"/>
      <c r="K16" s="596"/>
      <c r="L16" s="596"/>
      <c r="M16" s="596"/>
      <c r="N16" s="596"/>
      <c r="O16" s="596"/>
      <c r="P16" s="597"/>
    </row>
    <row r="17" spans="1:17" s="2" customFormat="1" ht="15.6" x14ac:dyDescent="0.3">
      <c r="A17" s="598" t="s">
        <v>180</v>
      </c>
      <c r="B17" s="599"/>
      <c r="C17" s="11" t="s">
        <v>152</v>
      </c>
      <c r="D17" s="26"/>
      <c r="E17" s="26"/>
      <c r="F17" s="26"/>
      <c r="G17" s="26"/>
      <c r="H17" s="26"/>
      <c r="I17" s="26"/>
      <c r="J17" s="26">
        <v>2037.6</v>
      </c>
      <c r="K17" s="26"/>
      <c r="L17" s="26"/>
      <c r="M17" s="26"/>
      <c r="N17" s="26"/>
      <c r="O17" s="26"/>
      <c r="P17" s="55">
        <f>SUM(D17:O17)</f>
        <v>2037.6</v>
      </c>
      <c r="Q17" s="169"/>
    </row>
    <row r="18" spans="1:17" s="2" customFormat="1" ht="15.6" x14ac:dyDescent="0.3">
      <c r="A18" s="598" t="s">
        <v>181</v>
      </c>
      <c r="B18" s="599"/>
      <c r="C18" s="11" t="s">
        <v>152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55">
        <f>SUM(D18:O18)</f>
        <v>0</v>
      </c>
      <c r="Q18" s="169"/>
    </row>
    <row r="19" spans="1:17" s="2" customFormat="1" ht="15.6" x14ac:dyDescent="0.3">
      <c r="A19" s="598" t="s">
        <v>182</v>
      </c>
      <c r="B19" s="599"/>
      <c r="C19" s="11" t="s">
        <v>152</v>
      </c>
      <c r="D19" s="26">
        <v>1916</v>
      </c>
      <c r="E19" s="26">
        <v>2159</v>
      </c>
      <c r="F19" s="26">
        <v>2460.1999999999998</v>
      </c>
      <c r="G19" s="26">
        <v>2629</v>
      </c>
      <c r="H19" s="26">
        <v>1925</v>
      </c>
      <c r="I19" s="26">
        <v>2075.1999999999998</v>
      </c>
      <c r="J19" s="26"/>
      <c r="K19" s="26">
        <v>2565</v>
      </c>
      <c r="L19" s="26">
        <v>1945</v>
      </c>
      <c r="M19" s="26">
        <v>1876.9</v>
      </c>
      <c r="N19" s="26">
        <v>2196</v>
      </c>
      <c r="O19" s="26">
        <v>1643.2</v>
      </c>
      <c r="P19" s="55">
        <f>SUM(D19:O19)</f>
        <v>23390.500000000004</v>
      </c>
      <c r="Q19" s="169"/>
    </row>
    <row r="20" spans="1:17" s="2" customFormat="1" ht="15.6" x14ac:dyDescent="0.3">
      <c r="A20" s="591" t="s">
        <v>183</v>
      </c>
      <c r="B20" s="592"/>
      <c r="C20" s="11" t="s">
        <v>152</v>
      </c>
      <c r="D20" s="555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55">
        <f>SUM(D20:O20)</f>
        <v>0</v>
      </c>
      <c r="Q20" s="169"/>
    </row>
    <row r="21" spans="1:17" s="73" customFormat="1" ht="15.6" x14ac:dyDescent="0.3">
      <c r="A21" s="593" t="s">
        <v>184</v>
      </c>
      <c r="B21" s="594"/>
      <c r="C21" s="62" t="s">
        <v>152</v>
      </c>
      <c r="D21" s="34">
        <f>SUM(D17:D20)</f>
        <v>1916</v>
      </c>
      <c r="E21" s="34">
        <f t="shared" ref="E21:P21" si="1">SUM(E17:E20)</f>
        <v>2159</v>
      </c>
      <c r="F21" s="34">
        <f t="shared" si="1"/>
        <v>2460.1999999999998</v>
      </c>
      <c r="G21" s="34">
        <f t="shared" si="1"/>
        <v>2629</v>
      </c>
      <c r="H21" s="34">
        <f t="shared" si="1"/>
        <v>1925</v>
      </c>
      <c r="I21" s="34">
        <f t="shared" si="1"/>
        <v>2075.1999999999998</v>
      </c>
      <c r="J21" s="34">
        <f t="shared" si="1"/>
        <v>2037.6</v>
      </c>
      <c r="K21" s="34">
        <f t="shared" si="1"/>
        <v>2565</v>
      </c>
      <c r="L21" s="34">
        <f t="shared" si="1"/>
        <v>1945</v>
      </c>
      <c r="M21" s="34">
        <f t="shared" si="1"/>
        <v>1876.9</v>
      </c>
      <c r="N21" s="34">
        <f t="shared" si="1"/>
        <v>2196</v>
      </c>
      <c r="O21" s="34">
        <v>1643.2</v>
      </c>
      <c r="P21" s="55">
        <f t="shared" si="1"/>
        <v>25428.100000000002</v>
      </c>
    </row>
    <row r="22" spans="1:17" s="2" customFormat="1" ht="15.6" x14ac:dyDescent="0.3">
      <c r="A22" s="75" t="s">
        <v>185</v>
      </c>
      <c r="B22" s="79"/>
      <c r="C22" s="11" t="s">
        <v>152</v>
      </c>
      <c r="D22" s="34">
        <f>D21+D15</f>
        <v>2224</v>
      </c>
      <c r="E22" s="34">
        <f t="shared" ref="E22:P22" si="2">E21+E15</f>
        <v>2515</v>
      </c>
      <c r="F22" s="34">
        <f t="shared" si="2"/>
        <v>3010.2</v>
      </c>
      <c r="G22" s="34">
        <f t="shared" si="2"/>
        <v>3150</v>
      </c>
      <c r="H22" s="34">
        <f t="shared" si="2"/>
        <v>2652</v>
      </c>
      <c r="I22" s="34">
        <f t="shared" si="2"/>
        <v>3513.2</v>
      </c>
      <c r="J22" s="34">
        <f t="shared" si="2"/>
        <v>4034.6</v>
      </c>
      <c r="K22" s="34">
        <f t="shared" si="2"/>
        <v>3626</v>
      </c>
      <c r="L22" s="34">
        <f t="shared" si="2"/>
        <v>3256</v>
      </c>
      <c r="M22" s="34">
        <f t="shared" si="2"/>
        <v>2955.9</v>
      </c>
      <c r="N22" s="34">
        <f t="shared" si="2"/>
        <v>3392</v>
      </c>
      <c r="O22" s="34">
        <v>2801.2</v>
      </c>
      <c r="P22" s="55">
        <f t="shared" si="2"/>
        <v>37130.100000000006</v>
      </c>
    </row>
    <row r="23" spans="1:17" x14ac:dyDescent="0.3">
      <c r="A23" s="607"/>
      <c r="B23" s="608"/>
      <c r="C23" s="608"/>
      <c r="D23" s="608"/>
      <c r="E23" s="608"/>
      <c r="F23" s="608"/>
      <c r="G23" s="608"/>
      <c r="H23" s="608"/>
      <c r="I23" s="608"/>
      <c r="J23" s="608"/>
      <c r="K23" s="608"/>
      <c r="L23" s="608"/>
      <c r="M23" s="608"/>
      <c r="N23" s="608"/>
      <c r="O23" s="608"/>
      <c r="P23" s="609"/>
    </row>
    <row r="24" spans="1:17" ht="15.6" x14ac:dyDescent="0.3">
      <c r="A24" s="610" t="s">
        <v>179</v>
      </c>
      <c r="B24" s="37" t="s">
        <v>153</v>
      </c>
      <c r="C24" s="5" t="s">
        <v>152</v>
      </c>
      <c r="D24" s="54">
        <f>D9-D22</f>
        <v>509</v>
      </c>
      <c r="E24" s="54">
        <f t="shared" ref="E24:G24" si="3">E9-E22</f>
        <v>715</v>
      </c>
      <c r="F24" s="54">
        <f t="shared" si="3"/>
        <v>533.80000000000018</v>
      </c>
      <c r="G24" s="54">
        <f t="shared" si="3"/>
        <v>517</v>
      </c>
      <c r="H24" s="54">
        <f t="shared" ref="H24:P24" si="4">H9-H22</f>
        <v>876</v>
      </c>
      <c r="I24" s="54">
        <f t="shared" si="4"/>
        <v>231.80000000000018</v>
      </c>
      <c r="J24" s="54">
        <f t="shared" si="4"/>
        <v>614.40000000000009</v>
      </c>
      <c r="K24" s="54">
        <f t="shared" si="4"/>
        <v>732</v>
      </c>
      <c r="L24" s="54">
        <f t="shared" si="4"/>
        <v>738</v>
      </c>
      <c r="M24" s="54">
        <f t="shared" si="4"/>
        <v>951.09999999999991</v>
      </c>
      <c r="N24" s="54">
        <f t="shared" si="4"/>
        <v>657</v>
      </c>
      <c r="O24" s="54">
        <v>200.80000000000018</v>
      </c>
      <c r="P24" s="100">
        <f t="shared" si="4"/>
        <v>7275.8999999999942</v>
      </c>
    </row>
    <row r="25" spans="1:17" ht="15.6" x14ac:dyDescent="0.3">
      <c r="A25" s="611"/>
      <c r="B25" s="53" t="s">
        <v>151</v>
      </c>
      <c r="C25" s="52" t="s">
        <v>6</v>
      </c>
      <c r="D25" s="51">
        <f t="shared" ref="D25:P25" si="5">D24/D9</f>
        <v>0.18624222466154408</v>
      </c>
      <c r="E25" s="51">
        <f t="shared" si="5"/>
        <v>0.22136222910216719</v>
      </c>
      <c r="F25" s="51">
        <f t="shared" si="5"/>
        <v>0.15062076749435671</v>
      </c>
      <c r="G25" s="51">
        <f t="shared" si="5"/>
        <v>0.14098718298336516</v>
      </c>
      <c r="H25" s="51">
        <f t="shared" si="5"/>
        <v>0.24829931972789115</v>
      </c>
      <c r="I25" s="51">
        <f t="shared" si="5"/>
        <v>6.1895861148197645E-2</v>
      </c>
      <c r="J25" s="51">
        <f t="shared" si="5"/>
        <v>0.13215745321574535</v>
      </c>
      <c r="K25" s="51">
        <f t="shared" si="5"/>
        <v>0.16796695731987149</v>
      </c>
      <c r="L25" s="51">
        <f t="shared" si="5"/>
        <v>0.18477716574862293</v>
      </c>
      <c r="M25" s="51">
        <f t="shared" si="5"/>
        <v>0.24343486050678267</v>
      </c>
      <c r="N25" s="51">
        <f t="shared" si="5"/>
        <v>0.16226228698444059</v>
      </c>
      <c r="O25" s="51">
        <v>6.6888740839440436E-2</v>
      </c>
      <c r="P25" s="101">
        <f t="shared" si="5"/>
        <v>0.1638494798000269</v>
      </c>
    </row>
    <row r="26" spans="1:17" x14ac:dyDescent="0.3">
      <c r="A26" s="595" t="s">
        <v>150</v>
      </c>
      <c r="B26" s="596"/>
      <c r="C26" s="596"/>
      <c r="D26" s="596"/>
      <c r="E26" s="596"/>
      <c r="F26" s="596"/>
      <c r="G26" s="596"/>
      <c r="H26" s="596"/>
      <c r="I26" s="596"/>
      <c r="J26" s="596"/>
      <c r="K26" s="596"/>
      <c r="L26" s="596"/>
      <c r="M26" s="596"/>
      <c r="N26" s="596"/>
      <c r="O26" s="596"/>
      <c r="P26" s="597"/>
    </row>
    <row r="27" spans="1:17" x14ac:dyDescent="0.3">
      <c r="A27" s="612" t="s">
        <v>149</v>
      </c>
      <c r="B27" s="613"/>
      <c r="C27" s="613"/>
      <c r="D27" s="613"/>
      <c r="E27" s="613"/>
      <c r="F27" s="613"/>
      <c r="G27" s="613"/>
      <c r="H27" s="613"/>
      <c r="I27" s="613"/>
      <c r="J27" s="613"/>
      <c r="K27" s="613"/>
      <c r="L27" s="613"/>
      <c r="M27" s="613"/>
      <c r="N27" s="613"/>
      <c r="O27" s="613"/>
      <c r="P27" s="614"/>
    </row>
    <row r="28" spans="1:17" ht="15.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7" ht="15.6" x14ac:dyDescent="0.3">
      <c r="A29" s="587" t="s">
        <v>146</v>
      </c>
      <c r="B29" s="585">
        <v>3525.29</v>
      </c>
      <c r="C29" s="5" t="s">
        <v>140</v>
      </c>
      <c r="D29" s="4">
        <v>6</v>
      </c>
      <c r="E29" s="4">
        <v>7</v>
      </c>
      <c r="F29" s="4">
        <v>7.5</v>
      </c>
      <c r="G29" s="4">
        <v>8.1</v>
      </c>
      <c r="H29" s="4">
        <v>8</v>
      </c>
      <c r="I29" s="4">
        <v>7.2</v>
      </c>
      <c r="J29" s="4">
        <v>7</v>
      </c>
      <c r="K29" s="4">
        <v>6.8</v>
      </c>
      <c r="L29" s="43">
        <v>6.7</v>
      </c>
      <c r="M29" s="4">
        <v>6</v>
      </c>
      <c r="N29" s="43">
        <v>7</v>
      </c>
      <c r="O29" s="43">
        <v>6</v>
      </c>
      <c r="P29" s="45">
        <f>SUM(D29:O29)</f>
        <v>83.3</v>
      </c>
    </row>
    <row r="30" spans="1:17" ht="15.6" x14ac:dyDescent="0.3">
      <c r="A30" s="588"/>
      <c r="B30" s="586"/>
      <c r="C30" s="42" t="s">
        <v>139</v>
      </c>
      <c r="D30" s="15">
        <f t="shared" ref="D30:K30" si="6">D29/(D9/1000)</f>
        <v>2.1953896816684959</v>
      </c>
      <c r="E30" s="15">
        <f t="shared" si="6"/>
        <v>2.1671826625386998</v>
      </c>
      <c r="F30" s="15">
        <f t="shared" si="6"/>
        <v>2.1162528216704288</v>
      </c>
      <c r="G30" s="15">
        <f t="shared" si="6"/>
        <v>2.208890100899918</v>
      </c>
      <c r="H30" s="15">
        <f t="shared" si="6"/>
        <v>2.2675736961451247</v>
      </c>
      <c r="I30" s="15">
        <f t="shared" si="6"/>
        <v>1.9225634178905207</v>
      </c>
      <c r="J30" s="15">
        <f t="shared" si="6"/>
        <v>1.5057001505700152</v>
      </c>
      <c r="K30" s="15">
        <f t="shared" si="6"/>
        <v>1.560348783845801</v>
      </c>
      <c r="L30" s="15">
        <v>1.6775162744116174</v>
      </c>
      <c r="M30" s="15">
        <f t="shared" ref="M30:P30" si="7">M29/(M9/1000)</f>
        <v>1.5357051446122345</v>
      </c>
      <c r="N30" s="15">
        <f t="shared" si="7"/>
        <v>1.7288219313410718</v>
      </c>
      <c r="O30" s="15">
        <v>1.9986675549633579</v>
      </c>
      <c r="P30" s="103">
        <f t="shared" si="7"/>
        <v>1.8758726298247985</v>
      </c>
    </row>
    <row r="31" spans="1:17" ht="15.6" x14ac:dyDescent="0.3">
      <c r="A31" s="605" t="s">
        <v>145</v>
      </c>
      <c r="B31" s="243"/>
      <c r="C31" s="5" t="s">
        <v>140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5">
        <f>SUM(D31:O31)</f>
        <v>0</v>
      </c>
    </row>
    <row r="32" spans="1:17" ht="15.6" x14ac:dyDescent="0.3">
      <c r="A32" s="606"/>
      <c r="B32" s="244">
        <v>1060.01</v>
      </c>
      <c r="C32" s="42" t="s">
        <v>139</v>
      </c>
      <c r="D32" s="15">
        <f t="shared" ref="D32:G32" si="8">D31/(D9/1000)</f>
        <v>0</v>
      </c>
      <c r="E32" s="15">
        <f t="shared" si="8"/>
        <v>0</v>
      </c>
      <c r="F32" s="15">
        <f t="shared" si="8"/>
        <v>0</v>
      </c>
      <c r="G32" s="15">
        <f t="shared" si="8"/>
        <v>0</v>
      </c>
      <c r="H32" s="15">
        <f t="shared" ref="H32:P32" si="9">H31/(H9/1000)</f>
        <v>0</v>
      </c>
      <c r="I32" s="15">
        <f t="shared" si="9"/>
        <v>0</v>
      </c>
      <c r="J32" s="15">
        <f t="shared" si="9"/>
        <v>0</v>
      </c>
      <c r="K32" s="15">
        <f t="shared" si="9"/>
        <v>0</v>
      </c>
      <c r="L32" s="15">
        <f t="shared" si="9"/>
        <v>0</v>
      </c>
      <c r="M32" s="15">
        <f t="shared" si="9"/>
        <v>0</v>
      </c>
      <c r="N32" s="15">
        <f t="shared" si="9"/>
        <v>0</v>
      </c>
      <c r="O32" s="15">
        <v>0</v>
      </c>
      <c r="P32" s="103">
        <f t="shared" si="9"/>
        <v>0</v>
      </c>
    </row>
    <row r="33" spans="1:16" ht="15.6" x14ac:dyDescent="0.3">
      <c r="A33" s="605" t="s">
        <v>144</v>
      </c>
      <c r="B33" s="243"/>
      <c r="C33" s="5" t="s">
        <v>140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5">
        <f>SUM(D33:O33)</f>
        <v>0</v>
      </c>
    </row>
    <row r="34" spans="1:16" ht="15.6" x14ac:dyDescent="0.3">
      <c r="A34" s="606"/>
      <c r="B34" s="244">
        <v>1228.29</v>
      </c>
      <c r="C34" s="42" t="s">
        <v>139</v>
      </c>
      <c r="D34" s="15">
        <f t="shared" ref="D34:G34" si="10">D33/(D9/1000)</f>
        <v>0</v>
      </c>
      <c r="E34" s="15">
        <f t="shared" si="10"/>
        <v>0</v>
      </c>
      <c r="F34" s="15">
        <f t="shared" si="10"/>
        <v>0</v>
      </c>
      <c r="G34" s="15">
        <f t="shared" si="10"/>
        <v>0</v>
      </c>
      <c r="H34" s="15">
        <f t="shared" ref="H34:P34" si="11">H33/(H9/1000)</f>
        <v>0</v>
      </c>
      <c r="I34" s="15">
        <f t="shared" si="11"/>
        <v>0</v>
      </c>
      <c r="J34" s="15">
        <f t="shared" si="11"/>
        <v>0</v>
      </c>
      <c r="K34" s="15">
        <f t="shared" si="11"/>
        <v>0</v>
      </c>
      <c r="L34" s="15">
        <f t="shared" si="11"/>
        <v>0</v>
      </c>
      <c r="M34" s="15">
        <f t="shared" si="11"/>
        <v>0</v>
      </c>
      <c r="N34" s="15">
        <f t="shared" si="11"/>
        <v>0</v>
      </c>
      <c r="O34" s="15">
        <v>0</v>
      </c>
      <c r="P34" s="103">
        <f t="shared" si="11"/>
        <v>0</v>
      </c>
    </row>
    <row r="35" spans="1:16" ht="15.6" x14ac:dyDescent="0.3">
      <c r="A35" s="605" t="s">
        <v>143</v>
      </c>
      <c r="B35" s="243"/>
      <c r="C35" s="5" t="s">
        <v>126</v>
      </c>
      <c r="D35" s="43"/>
      <c r="E35" s="43"/>
      <c r="F35" s="43"/>
      <c r="G35" s="43"/>
      <c r="H35" s="13"/>
      <c r="I35" s="13"/>
      <c r="J35" s="13"/>
      <c r="K35" s="13"/>
      <c r="L35" s="13"/>
      <c r="M35" s="13"/>
      <c r="N35" s="13"/>
      <c r="O35" s="13"/>
      <c r="P35" s="103"/>
    </row>
    <row r="36" spans="1:16" ht="15.6" x14ac:dyDescent="0.3">
      <c r="A36" s="606"/>
      <c r="B36" s="244">
        <v>3726.73</v>
      </c>
      <c r="C36" s="5" t="s">
        <v>142</v>
      </c>
      <c r="D36" s="15">
        <f t="shared" ref="D36:G36" si="12">D35/(D11/1000)</f>
        <v>0</v>
      </c>
      <c r="E36" s="15">
        <f t="shared" si="12"/>
        <v>0</v>
      </c>
      <c r="F36" s="15">
        <f t="shared" si="12"/>
        <v>0</v>
      </c>
      <c r="G36" s="15">
        <f t="shared" si="12"/>
        <v>0</v>
      </c>
      <c r="H36" s="13"/>
      <c r="I36" s="13"/>
      <c r="J36" s="13"/>
      <c r="K36" s="13"/>
      <c r="L36" s="13"/>
      <c r="M36" s="13"/>
      <c r="N36" s="13"/>
      <c r="O36" s="13"/>
      <c r="P36" s="103"/>
    </row>
    <row r="37" spans="1:16" ht="15.6" x14ac:dyDescent="0.3">
      <c r="A37" s="605" t="s">
        <v>186</v>
      </c>
      <c r="B37" s="243"/>
      <c r="C37" s="5" t="s">
        <v>126</v>
      </c>
      <c r="D37" s="43"/>
      <c r="E37" s="43"/>
      <c r="F37" s="43"/>
      <c r="G37" s="43"/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5">
        <f>SUM(D37:O37)</f>
        <v>0</v>
      </c>
    </row>
    <row r="38" spans="1:16" ht="15.6" x14ac:dyDescent="0.3">
      <c r="A38" s="606"/>
      <c r="B38" s="244">
        <v>3951.59</v>
      </c>
      <c r="C38" s="5" t="s">
        <v>142</v>
      </c>
      <c r="D38" s="15">
        <f t="shared" ref="D38:G38" si="13">D37/(D9/1000)</f>
        <v>0</v>
      </c>
      <c r="E38" s="15">
        <f t="shared" si="13"/>
        <v>0</v>
      </c>
      <c r="F38" s="15">
        <f t="shared" si="13"/>
        <v>0</v>
      </c>
      <c r="G38" s="15">
        <f t="shared" si="13"/>
        <v>0</v>
      </c>
      <c r="H38" s="15">
        <f t="shared" ref="H38:P38" si="14">H37/(H9/1000)</f>
        <v>0</v>
      </c>
      <c r="I38" s="15">
        <f t="shared" si="14"/>
        <v>0</v>
      </c>
      <c r="J38" s="15">
        <f t="shared" si="14"/>
        <v>0</v>
      </c>
      <c r="K38" s="15">
        <f t="shared" si="14"/>
        <v>0</v>
      </c>
      <c r="L38" s="15">
        <f t="shared" si="14"/>
        <v>0</v>
      </c>
      <c r="M38" s="15">
        <f t="shared" si="14"/>
        <v>0</v>
      </c>
      <c r="N38" s="15">
        <f t="shared" si="14"/>
        <v>0</v>
      </c>
      <c r="O38" s="15">
        <v>0</v>
      </c>
      <c r="P38" s="103">
        <f t="shared" si="14"/>
        <v>0</v>
      </c>
    </row>
    <row r="39" spans="1:16" ht="15.6" x14ac:dyDescent="0.3">
      <c r="A39" s="605" t="s">
        <v>141</v>
      </c>
      <c r="B39" s="243"/>
      <c r="C39" s="5" t="s">
        <v>140</v>
      </c>
      <c r="D39" s="43"/>
      <c r="E39" s="43"/>
      <c r="F39" s="43"/>
      <c r="G39" s="43"/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5">
        <f>SUM(D39:O39)</f>
        <v>0</v>
      </c>
    </row>
    <row r="40" spans="1:16" ht="15.6" x14ac:dyDescent="0.3">
      <c r="A40" s="606"/>
      <c r="B40" s="244">
        <v>1950</v>
      </c>
      <c r="C40" s="42" t="s">
        <v>139</v>
      </c>
      <c r="D40" s="15">
        <f t="shared" ref="D40:G40" si="15">D39/(D15/1000)</f>
        <v>0</v>
      </c>
      <c r="E40" s="15">
        <f t="shared" si="15"/>
        <v>0</v>
      </c>
      <c r="F40" s="15">
        <f t="shared" si="15"/>
        <v>0</v>
      </c>
      <c r="G40" s="15">
        <f t="shared" si="15"/>
        <v>0</v>
      </c>
      <c r="H40" s="15">
        <f t="shared" ref="H40:P40" si="16">H39/(H9/1000)</f>
        <v>0</v>
      </c>
      <c r="I40" s="15">
        <f t="shared" si="16"/>
        <v>0</v>
      </c>
      <c r="J40" s="15">
        <f t="shared" si="16"/>
        <v>0</v>
      </c>
      <c r="K40" s="15">
        <f t="shared" si="16"/>
        <v>0</v>
      </c>
      <c r="L40" s="15">
        <f t="shared" si="16"/>
        <v>0</v>
      </c>
      <c r="M40" s="15">
        <f t="shared" si="16"/>
        <v>0</v>
      </c>
      <c r="N40" s="15">
        <f t="shared" si="16"/>
        <v>0</v>
      </c>
      <c r="O40" s="15">
        <v>0</v>
      </c>
      <c r="P40" s="103">
        <f t="shared" si="16"/>
        <v>0</v>
      </c>
    </row>
    <row r="41" spans="1:16" ht="15.6" x14ac:dyDescent="0.3">
      <c r="A41" s="591" t="s">
        <v>138</v>
      </c>
      <c r="B41" s="592"/>
      <c r="C41" s="11" t="s">
        <v>31</v>
      </c>
      <c r="D41" s="41">
        <f>(D29*$B29)+(D31*$B31)+(D33*$B33)+(D35*$B35)+(D37*$B37)+(D39*$B39)</f>
        <v>21151.739999999998</v>
      </c>
      <c r="E41" s="41">
        <f t="shared" ref="E41:N41" si="17">(E29*$B29)+(E31*$B31)+(E33*$B33)+(E35*$B35)+(E37*$B37)+(E39*$B39)</f>
        <v>24677.03</v>
      </c>
      <c r="F41" s="41">
        <f t="shared" si="17"/>
        <v>26439.674999999999</v>
      </c>
      <c r="G41" s="41">
        <f t="shared" si="17"/>
        <v>28554.848999999998</v>
      </c>
      <c r="H41" s="41">
        <f t="shared" si="17"/>
        <v>28202.32</v>
      </c>
      <c r="I41" s="41">
        <f t="shared" si="17"/>
        <v>25382.088</v>
      </c>
      <c r="J41" s="41">
        <f t="shared" si="17"/>
        <v>24677.03</v>
      </c>
      <c r="K41" s="41">
        <f t="shared" si="17"/>
        <v>23971.971999999998</v>
      </c>
      <c r="L41" s="41">
        <f t="shared" si="17"/>
        <v>23619.442999999999</v>
      </c>
      <c r="M41" s="41">
        <f t="shared" si="17"/>
        <v>21151.739999999998</v>
      </c>
      <c r="N41" s="41">
        <f t="shared" si="17"/>
        <v>24677.03</v>
      </c>
      <c r="O41" s="41">
        <v>21151.739999999998</v>
      </c>
      <c r="P41" s="39">
        <f>SUM(D41:O41)</f>
        <v>293656.65700000001</v>
      </c>
    </row>
    <row r="42" spans="1:16" ht="15.6" x14ac:dyDescent="0.3">
      <c r="A42" s="615" t="s">
        <v>137</v>
      </c>
      <c r="B42" s="616"/>
      <c r="C42" s="42" t="s">
        <v>115</v>
      </c>
      <c r="D42" s="15">
        <f t="shared" ref="D42:P42" si="18">D41/D9</f>
        <v>7.7393852908891319</v>
      </c>
      <c r="E42" s="15">
        <f t="shared" si="18"/>
        <v>7.6399473684210522</v>
      </c>
      <c r="F42" s="15">
        <f t="shared" si="18"/>
        <v>7.4604049097065461</v>
      </c>
      <c r="G42" s="15">
        <f t="shared" si="18"/>
        <v>7.7869781838014722</v>
      </c>
      <c r="H42" s="15">
        <f t="shared" si="18"/>
        <v>7.9938548752834464</v>
      </c>
      <c r="I42" s="15">
        <f t="shared" si="18"/>
        <v>6.7775935914552736</v>
      </c>
      <c r="J42" s="15">
        <f t="shared" si="18"/>
        <v>5.3080296838029684</v>
      </c>
      <c r="K42" s="15">
        <f t="shared" si="18"/>
        <v>5.5006819642037623</v>
      </c>
      <c r="L42" s="15">
        <f t="shared" si="18"/>
        <v>5.9137313470205308</v>
      </c>
      <c r="M42" s="15">
        <f t="shared" si="18"/>
        <v>5.4138059892500632</v>
      </c>
      <c r="N42" s="15">
        <f t="shared" si="18"/>
        <v>6.094598666337367</v>
      </c>
      <c r="O42" s="15">
        <v>7.0458827448367751</v>
      </c>
      <c r="P42" s="44">
        <f t="shared" si="18"/>
        <v>6.6129950231950643</v>
      </c>
    </row>
    <row r="43" spans="1:16" x14ac:dyDescent="0.3">
      <c r="A43" s="617" t="s">
        <v>136</v>
      </c>
      <c r="B43" s="618"/>
      <c r="C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  <c r="P43" s="619"/>
    </row>
    <row r="44" spans="1:16" ht="15.6" x14ac:dyDescent="0.3">
      <c r="A44" s="591" t="s">
        <v>135</v>
      </c>
      <c r="B44" s="592"/>
      <c r="C44" s="11" t="s">
        <v>134</v>
      </c>
      <c r="D44" s="4">
        <v>704</v>
      </c>
      <c r="E44" s="4">
        <v>759</v>
      </c>
      <c r="F44" s="4">
        <v>1032</v>
      </c>
      <c r="G44" s="4">
        <v>1052</v>
      </c>
      <c r="H44" s="4">
        <v>1070</v>
      </c>
      <c r="I44" s="4">
        <v>1034</v>
      </c>
      <c r="J44" s="4">
        <v>1394</v>
      </c>
      <c r="K44" s="4">
        <v>1245</v>
      </c>
      <c r="L44" s="43">
        <v>1299</v>
      </c>
      <c r="M44" s="4">
        <v>1200</v>
      </c>
      <c r="N44" s="43">
        <v>1055</v>
      </c>
      <c r="O44" s="43">
        <v>1131</v>
      </c>
      <c r="P44" s="39">
        <f>SUM(D44:O44)</f>
        <v>12975</v>
      </c>
    </row>
    <row r="45" spans="1:16" ht="15.6" x14ac:dyDescent="0.3">
      <c r="A45" s="615" t="s">
        <v>133</v>
      </c>
      <c r="B45" s="616"/>
      <c r="C45" s="42" t="s">
        <v>132</v>
      </c>
      <c r="D45" s="15">
        <f t="shared" ref="D45:K45" si="19">D44/D9</f>
        <v>0.25759238931577022</v>
      </c>
      <c r="E45" s="15">
        <f t="shared" si="19"/>
        <v>0.234984520123839</v>
      </c>
      <c r="F45" s="15">
        <f t="shared" si="19"/>
        <v>0.29119638826185101</v>
      </c>
      <c r="G45" s="15">
        <f t="shared" si="19"/>
        <v>0.28688301063539678</v>
      </c>
      <c r="H45" s="15">
        <f t="shared" si="19"/>
        <v>0.30328798185941042</v>
      </c>
      <c r="I45" s="15">
        <f t="shared" si="19"/>
        <v>0.27610146862483309</v>
      </c>
      <c r="J45" s="15">
        <f t="shared" si="19"/>
        <v>0.29984942998494302</v>
      </c>
      <c r="K45" s="15">
        <f t="shared" si="19"/>
        <v>0.28568150527765029</v>
      </c>
      <c r="L45" s="15">
        <f t="shared" ref="L45:P45" si="20">L44/L9</f>
        <v>0.32523785678517775</v>
      </c>
      <c r="M45" s="15">
        <f t="shared" si="20"/>
        <v>0.30714102892244688</v>
      </c>
      <c r="N45" s="15">
        <f t="shared" si="20"/>
        <v>0.26055816250926156</v>
      </c>
      <c r="O45" s="15">
        <v>0.37674883411059296</v>
      </c>
      <c r="P45" s="103">
        <f t="shared" si="20"/>
        <v>0.29219024456154574</v>
      </c>
    </row>
    <row r="46" spans="1:16" ht="15.6" x14ac:dyDescent="0.3">
      <c r="A46" s="620" t="s">
        <v>131</v>
      </c>
      <c r="B46" s="621"/>
      <c r="C46" s="5" t="s">
        <v>31</v>
      </c>
      <c r="D46" s="41">
        <f>151.1*D44</f>
        <v>106374.39999999999</v>
      </c>
      <c r="E46" s="41">
        <f t="shared" ref="E46:I46" si="21">151.1*E44</f>
        <v>114684.9</v>
      </c>
      <c r="F46" s="41">
        <f t="shared" si="21"/>
        <v>155935.19999999998</v>
      </c>
      <c r="G46" s="41">
        <f t="shared" si="21"/>
        <v>158957.19999999998</v>
      </c>
      <c r="H46" s="41">
        <f t="shared" si="21"/>
        <v>161677</v>
      </c>
      <c r="I46" s="41">
        <f t="shared" si="21"/>
        <v>156237.4</v>
      </c>
      <c r="J46" s="3">
        <f t="shared" ref="J46:N46" si="22">1.165*(14100+(J44*119.1))</f>
        <v>209846.09099999999</v>
      </c>
      <c r="K46" s="3">
        <f t="shared" si="22"/>
        <v>189172.11749999999</v>
      </c>
      <c r="L46" s="3">
        <f t="shared" si="22"/>
        <v>196664.6985</v>
      </c>
      <c r="M46" s="3">
        <f t="shared" si="22"/>
        <v>182928.30000000002</v>
      </c>
      <c r="N46" s="3">
        <f t="shared" si="22"/>
        <v>162809.33250000002</v>
      </c>
      <c r="O46" s="3">
        <v>173354.44650000002</v>
      </c>
      <c r="P46" s="39">
        <f>SUM(D46:O46)</f>
        <v>1968641.0859999999</v>
      </c>
    </row>
    <row r="47" spans="1:16" s="2" customFormat="1" ht="15.6" x14ac:dyDescent="0.3">
      <c r="A47" s="591" t="s">
        <v>130</v>
      </c>
      <c r="B47" s="592"/>
      <c r="C47" s="11" t="s">
        <v>115</v>
      </c>
      <c r="D47" s="15">
        <f t="shared" ref="D47:G47" si="23">D46/D9</f>
        <v>38.922210025612877</v>
      </c>
      <c r="E47" s="15">
        <f t="shared" si="23"/>
        <v>35.506160990712075</v>
      </c>
      <c r="F47" s="15">
        <f t="shared" si="23"/>
        <v>43.999774266365684</v>
      </c>
      <c r="G47" s="15">
        <f t="shared" si="23"/>
        <v>43.348022907008449</v>
      </c>
      <c r="H47" s="15">
        <f t="shared" ref="H47:P47" si="24">H46/H9</f>
        <v>45.826814058956913</v>
      </c>
      <c r="I47" s="15">
        <f t="shared" si="24"/>
        <v>41.71893190921228</v>
      </c>
      <c r="J47" s="15">
        <f t="shared" si="24"/>
        <v>45.137898687889866</v>
      </c>
      <c r="K47" s="15">
        <f t="shared" si="24"/>
        <v>43.408012276273517</v>
      </c>
      <c r="L47" s="15">
        <f t="shared" si="24"/>
        <v>49.240034677015522</v>
      </c>
      <c r="M47" s="15">
        <f t="shared" si="24"/>
        <v>46.820655234195037</v>
      </c>
      <c r="N47" s="15">
        <f t="shared" si="24"/>
        <v>40.209763521857255</v>
      </c>
      <c r="O47" s="15">
        <v>57.746317954696877</v>
      </c>
      <c r="P47" s="103">
        <f t="shared" si="24"/>
        <v>44.332772283024816</v>
      </c>
    </row>
    <row r="48" spans="1:16" x14ac:dyDescent="0.3">
      <c r="A48" s="617" t="s">
        <v>129</v>
      </c>
      <c r="B48" s="618"/>
      <c r="C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  <c r="P48" s="619"/>
    </row>
    <row r="49" spans="1:16" ht="15.6" x14ac:dyDescent="0.3">
      <c r="A49" s="591" t="s">
        <v>128</v>
      </c>
      <c r="B49" s="592"/>
      <c r="C49" s="5" t="s">
        <v>127</v>
      </c>
      <c r="D49" s="4">
        <v>535</v>
      </c>
      <c r="E49" s="4">
        <v>120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39">
        <f>SUM(D49:O49)</f>
        <v>655</v>
      </c>
    </row>
    <row r="50" spans="1:16" ht="15.6" x14ac:dyDescent="0.3">
      <c r="A50" s="591" t="s">
        <v>187</v>
      </c>
      <c r="B50" s="592"/>
      <c r="C50" s="5" t="s">
        <v>126</v>
      </c>
      <c r="D50" s="4">
        <v>40</v>
      </c>
      <c r="E50" s="4">
        <v>10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39">
        <f>SUM(D50:O50)</f>
        <v>50</v>
      </c>
    </row>
    <row r="51" spans="1:16" ht="15.6" x14ac:dyDescent="0.3">
      <c r="A51" s="620" t="s">
        <v>125</v>
      </c>
      <c r="B51" s="621"/>
      <c r="C51" s="5" t="s">
        <v>31</v>
      </c>
      <c r="D51" s="13">
        <f t="shared" ref="D51:G51" si="25">D50*1920</f>
        <v>76800</v>
      </c>
      <c r="E51" s="13">
        <f t="shared" si="25"/>
        <v>19200</v>
      </c>
      <c r="F51" s="13">
        <f t="shared" si="25"/>
        <v>0</v>
      </c>
      <c r="G51" s="13">
        <f t="shared" si="25"/>
        <v>0</v>
      </c>
      <c r="H51" s="13"/>
      <c r="I51" s="13"/>
      <c r="J51" s="13"/>
      <c r="K51" s="13"/>
      <c r="L51" s="13"/>
      <c r="M51" s="13"/>
      <c r="N51" s="13"/>
      <c r="O51" s="13"/>
      <c r="P51" s="40">
        <f>SUM(D51:O51)</f>
        <v>96000</v>
      </c>
    </row>
    <row r="52" spans="1:16" ht="15.6" x14ac:dyDescent="0.3">
      <c r="A52" s="591" t="s">
        <v>124</v>
      </c>
      <c r="B52" s="592"/>
      <c r="C52" s="5" t="s">
        <v>31</v>
      </c>
      <c r="D52" s="13"/>
      <c r="E52" s="13"/>
      <c r="F52" s="13"/>
      <c r="G52" s="13"/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40">
        <f>SUM(D52:O52)</f>
        <v>0</v>
      </c>
    </row>
    <row r="53" spans="1:16" x14ac:dyDescent="0.3">
      <c r="A53" s="617" t="s">
        <v>123</v>
      </c>
      <c r="B53" s="618"/>
      <c r="C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  <c r="P53" s="619"/>
    </row>
    <row r="54" spans="1:16" ht="15.6" x14ac:dyDescent="0.3">
      <c r="A54" s="591" t="s">
        <v>122</v>
      </c>
      <c r="B54" s="592"/>
      <c r="C54" s="11" t="s">
        <v>18</v>
      </c>
      <c r="D54" s="13">
        <v>1438152.804</v>
      </c>
      <c r="E54" s="13">
        <v>1438152.804</v>
      </c>
      <c r="F54" s="13">
        <v>1438152.804</v>
      </c>
      <c r="G54" s="13">
        <v>1438152.804</v>
      </c>
      <c r="H54" s="13">
        <v>1438152.804</v>
      </c>
      <c r="I54" s="13">
        <v>1438152.804</v>
      </c>
      <c r="J54" s="13">
        <v>1438152.804</v>
      </c>
      <c r="K54" s="13">
        <v>1438152.804</v>
      </c>
      <c r="L54" s="13"/>
      <c r="M54" s="13"/>
      <c r="N54" s="13"/>
      <c r="O54" s="13"/>
      <c r="P54" s="39">
        <f>SUM(D54:O54)</f>
        <v>11505222.431999998</v>
      </c>
    </row>
    <row r="55" spans="1:16" ht="15.6" x14ac:dyDescent="0.3">
      <c r="A55" s="78" t="s">
        <v>121</v>
      </c>
      <c r="B55" s="79"/>
      <c r="C55" s="11" t="s">
        <v>18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39">
        <f>SUM(D55:O55)</f>
        <v>0</v>
      </c>
    </row>
    <row r="56" spans="1:16" ht="15.6" x14ac:dyDescent="0.3">
      <c r="A56" s="591" t="s">
        <v>120</v>
      </c>
      <c r="B56" s="592"/>
      <c r="C56" s="5" t="s">
        <v>18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39">
        <f>SUM(D56:O56)</f>
        <v>0</v>
      </c>
    </row>
    <row r="57" spans="1:16" x14ac:dyDescent="0.3">
      <c r="A57" s="617" t="s">
        <v>119</v>
      </c>
      <c r="B57" s="618"/>
      <c r="C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  <c r="P57" s="619"/>
    </row>
    <row r="58" spans="1:16" ht="15.6" x14ac:dyDescent="0.3">
      <c r="A58" s="620" t="s">
        <v>118</v>
      </c>
      <c r="B58" s="621"/>
      <c r="C58" s="5" t="s">
        <v>18</v>
      </c>
      <c r="D58" s="13">
        <f>D41+D46+D51+D52+D54+D55+D56</f>
        <v>1642478.9439999999</v>
      </c>
      <c r="E58" s="13">
        <f t="shared" ref="E58:G58" si="26">E41+E46+E51+E52+E54+E55+E56</f>
        <v>1596714.7339999999</v>
      </c>
      <c r="F58" s="13">
        <f t="shared" si="26"/>
        <v>1620527.679</v>
      </c>
      <c r="G58" s="13">
        <f t="shared" si="26"/>
        <v>1625664.8529999999</v>
      </c>
      <c r="H58" s="13">
        <f t="shared" ref="H58:N58" si="27">H41+H46+H51+H52+H54+H55+H56</f>
        <v>1628032.1240000001</v>
      </c>
      <c r="I58" s="13">
        <v>181619.48799999998</v>
      </c>
      <c r="J58" s="13">
        <f t="shared" si="27"/>
        <v>1672675.925</v>
      </c>
      <c r="K58" s="13">
        <f t="shared" si="27"/>
        <v>1651296.8935</v>
      </c>
      <c r="L58" s="13">
        <f t="shared" si="27"/>
        <v>220284.1415</v>
      </c>
      <c r="M58" s="13">
        <f t="shared" si="27"/>
        <v>204080.04</v>
      </c>
      <c r="N58" s="13">
        <f t="shared" si="27"/>
        <v>187486.36250000002</v>
      </c>
      <c r="O58" s="13">
        <v>194506.18650000001</v>
      </c>
      <c r="P58" s="64">
        <f>SUM(D58:O58)</f>
        <v>12425367.370999999</v>
      </c>
    </row>
    <row r="59" spans="1:16" ht="15.6" x14ac:dyDescent="0.3">
      <c r="A59" s="620" t="s">
        <v>117</v>
      </c>
      <c r="B59" s="621"/>
      <c r="C59" s="5" t="s">
        <v>115</v>
      </c>
      <c r="D59" s="15">
        <f t="shared" ref="D59:G59" si="28">D58/D9</f>
        <v>600.98022100256128</v>
      </c>
      <c r="E59" s="15">
        <f t="shared" si="28"/>
        <v>494.3389269349845</v>
      </c>
      <c r="F59" s="15">
        <f t="shared" si="28"/>
        <v>457.25950310383746</v>
      </c>
      <c r="G59" s="15">
        <f t="shared" si="28"/>
        <v>443.32283965094081</v>
      </c>
      <c r="H59" s="15">
        <f t="shared" ref="H59:P59" si="29">H58/H9</f>
        <v>461.46035260770975</v>
      </c>
      <c r="I59" s="15">
        <v>48.496525500667552</v>
      </c>
      <c r="J59" s="15">
        <f t="shared" si="29"/>
        <v>359.79262744676276</v>
      </c>
      <c r="K59" s="15">
        <f t="shared" si="29"/>
        <v>378.91163228545207</v>
      </c>
      <c r="L59" s="15">
        <f t="shared" si="29"/>
        <v>55.153766024036052</v>
      </c>
      <c r="M59" s="15">
        <f t="shared" si="29"/>
        <v>52.234461223445102</v>
      </c>
      <c r="N59" s="15">
        <f t="shared" si="29"/>
        <v>46.304362188194624</v>
      </c>
      <c r="O59" s="15">
        <v>64.792200699533652</v>
      </c>
      <c r="P59" s="103">
        <f t="shared" si="29"/>
        <v>279.81280392289329</v>
      </c>
    </row>
    <row r="60" spans="1:16" ht="15.6" x14ac:dyDescent="0.3">
      <c r="A60" s="620" t="s">
        <v>116</v>
      </c>
      <c r="B60" s="621"/>
      <c r="C60" s="5" t="s">
        <v>115</v>
      </c>
      <c r="D60" s="15">
        <f>D58/D22</f>
        <v>738.52470503597112</v>
      </c>
      <c r="E60" s="15">
        <f t="shared" ref="E60:G60" si="30">E58/E22</f>
        <v>634.87663379721664</v>
      </c>
      <c r="F60" s="15">
        <f t="shared" si="30"/>
        <v>538.34551823799086</v>
      </c>
      <c r="G60" s="15">
        <f t="shared" si="30"/>
        <v>516.08408031746023</v>
      </c>
      <c r="H60" s="15">
        <f t="shared" ref="H60:N60" si="31">H58/H22</f>
        <v>613.88843288084468</v>
      </c>
      <c r="I60" s="15">
        <v>51.696313332574292</v>
      </c>
      <c r="J60" s="15">
        <f t="shared" si="31"/>
        <v>414.58283968670997</v>
      </c>
      <c r="K60" s="15">
        <f t="shared" si="31"/>
        <v>455.40454867622725</v>
      </c>
      <c r="L60" s="15">
        <f t="shared" si="31"/>
        <v>67.654834613022118</v>
      </c>
      <c r="M60" s="15">
        <f t="shared" si="31"/>
        <v>69.041591393484225</v>
      </c>
      <c r="N60" s="15">
        <f t="shared" si="31"/>
        <v>55.273102152122647</v>
      </c>
      <c r="O60" s="15">
        <v>69.436736577181222</v>
      </c>
      <c r="P60" s="104">
        <f>P58/P22</f>
        <v>334.64405889022646</v>
      </c>
    </row>
    <row r="61" spans="1:16" ht="15.6" x14ac:dyDescent="0.3">
      <c r="A61" s="591" t="s">
        <v>114</v>
      </c>
      <c r="B61" s="592"/>
      <c r="C61" s="5" t="s">
        <v>3</v>
      </c>
      <c r="D61" s="4">
        <v>8</v>
      </c>
      <c r="E61" s="4">
        <v>8</v>
      </c>
      <c r="F61" s="4">
        <v>8</v>
      </c>
      <c r="G61" s="4">
        <v>8</v>
      </c>
      <c r="H61" s="4">
        <v>8</v>
      </c>
      <c r="I61" s="4">
        <v>8</v>
      </c>
      <c r="J61" s="4">
        <v>8</v>
      </c>
      <c r="K61" s="4">
        <v>8</v>
      </c>
      <c r="L61" s="4">
        <v>8</v>
      </c>
      <c r="M61" s="4">
        <v>8</v>
      </c>
      <c r="N61" s="4">
        <v>7</v>
      </c>
      <c r="O61" s="4">
        <v>7</v>
      </c>
      <c r="P61" s="9">
        <f>O61</f>
        <v>7</v>
      </c>
    </row>
    <row r="62" spans="1:16" ht="15.6" customHeight="1" x14ac:dyDescent="0.3">
      <c r="A62" s="620" t="s">
        <v>113</v>
      </c>
      <c r="B62" s="621"/>
      <c r="C62" s="5" t="s">
        <v>112</v>
      </c>
      <c r="D62" s="15">
        <f t="shared" ref="D62:H62" si="32">(D61*1000*31)/D9</f>
        <v>90.742773508964504</v>
      </c>
      <c r="E62" s="15">
        <f t="shared" si="32"/>
        <v>76.780185758513937</v>
      </c>
      <c r="F62" s="15">
        <f t="shared" si="32"/>
        <v>69.97742663656885</v>
      </c>
      <c r="G62" s="15">
        <f t="shared" si="32"/>
        <v>67.630215434960462</v>
      </c>
      <c r="H62" s="15">
        <f t="shared" si="32"/>
        <v>70.29478458049887</v>
      </c>
      <c r="I62" s="15">
        <f t="shared" ref="I62:P62" si="33">(I61*1000*31)/I9</f>
        <v>66.221628838451267</v>
      </c>
      <c r="J62" s="15">
        <f t="shared" si="33"/>
        <v>53.344805334480533</v>
      </c>
      <c r="K62" s="15">
        <f t="shared" si="33"/>
        <v>56.90683799908215</v>
      </c>
      <c r="L62" s="15">
        <f t="shared" si="33"/>
        <v>62.093139709564348</v>
      </c>
      <c r="M62" s="15">
        <f t="shared" si="33"/>
        <v>63.475812643972354</v>
      </c>
      <c r="N62" s="15">
        <f t="shared" si="33"/>
        <v>53.59347987157323</v>
      </c>
      <c r="O62" s="15">
        <v>72.285143237841439</v>
      </c>
      <c r="P62" s="103">
        <f t="shared" si="33"/>
        <v>4.8867270188713237</v>
      </c>
    </row>
    <row r="63" spans="1:16" ht="15.6" x14ac:dyDescent="0.3">
      <c r="A63" s="634" t="s">
        <v>111</v>
      </c>
      <c r="B63" s="635"/>
      <c r="C63" s="38" t="s">
        <v>3</v>
      </c>
      <c r="D63" s="4"/>
      <c r="E63" s="4"/>
      <c r="F63" s="4"/>
      <c r="G63" s="4"/>
      <c r="H63" s="4"/>
      <c r="I63" s="4"/>
      <c r="J63" s="4"/>
      <c r="K63" s="4">
        <v>2</v>
      </c>
      <c r="L63" s="4">
        <v>2</v>
      </c>
      <c r="M63" s="4">
        <v>2</v>
      </c>
      <c r="N63" s="4">
        <v>2</v>
      </c>
      <c r="O63" s="4">
        <v>2</v>
      </c>
      <c r="P63" s="9">
        <f>SUM(D63:O63)</f>
        <v>10</v>
      </c>
    </row>
    <row r="64" spans="1:16" x14ac:dyDescent="0.3">
      <c r="A64" s="636"/>
      <c r="B64" s="637"/>
      <c r="C64" s="637"/>
      <c r="D64" s="637"/>
      <c r="E64" s="637"/>
      <c r="F64" s="637"/>
      <c r="G64" s="637"/>
      <c r="H64" s="637"/>
      <c r="I64" s="637"/>
      <c r="J64" s="637"/>
      <c r="K64" s="637"/>
      <c r="L64" s="637"/>
      <c r="M64" s="637"/>
      <c r="N64" s="637"/>
      <c r="O64" s="637"/>
      <c r="P64" s="638"/>
    </row>
    <row r="65" spans="1:16" ht="14.4" customHeight="1" x14ac:dyDescent="0.3">
      <c r="A65" s="617" t="s">
        <v>110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9"/>
    </row>
    <row r="66" spans="1:16" ht="15.6" x14ac:dyDescent="0.3">
      <c r="A66" s="622" t="s">
        <v>109</v>
      </c>
      <c r="B66" s="37" t="s">
        <v>85</v>
      </c>
      <c r="C66" s="5" t="s">
        <v>3</v>
      </c>
      <c r="D66" s="4">
        <v>4</v>
      </c>
      <c r="E66" s="4">
        <f>D71</f>
        <v>6</v>
      </c>
      <c r="F66" s="4">
        <f t="shared" ref="F66:K66" si="34">E71</f>
        <v>6</v>
      </c>
      <c r="G66" s="4">
        <f t="shared" si="34"/>
        <v>53</v>
      </c>
      <c r="H66" s="4">
        <f t="shared" si="34"/>
        <v>214</v>
      </c>
      <c r="I66" s="4">
        <f t="shared" si="34"/>
        <v>234</v>
      </c>
      <c r="J66" s="4">
        <f t="shared" si="34"/>
        <v>229</v>
      </c>
      <c r="K66" s="4">
        <f t="shared" si="34"/>
        <v>225</v>
      </c>
      <c r="L66" s="155">
        <v>221</v>
      </c>
      <c r="M66" s="155">
        <v>234</v>
      </c>
      <c r="N66" s="155">
        <v>230</v>
      </c>
      <c r="O66" s="155">
        <v>234</v>
      </c>
      <c r="P66" s="35">
        <f>D66</f>
        <v>4</v>
      </c>
    </row>
    <row r="67" spans="1:16" ht="15.6" x14ac:dyDescent="0.3">
      <c r="A67" s="623"/>
      <c r="B67" s="24" t="s">
        <v>104</v>
      </c>
      <c r="C67" s="5" t="s">
        <v>3</v>
      </c>
      <c r="D67" s="4">
        <v>8</v>
      </c>
      <c r="E67" s="4">
        <v>4</v>
      </c>
      <c r="F67" s="4">
        <v>59</v>
      </c>
      <c r="G67" s="4">
        <v>189</v>
      </c>
      <c r="H67" s="4">
        <v>48</v>
      </c>
      <c r="I67" s="4">
        <v>15</v>
      </c>
      <c r="J67" s="4">
        <v>9</v>
      </c>
      <c r="K67" s="4">
        <v>9</v>
      </c>
      <c r="L67" s="153">
        <v>30</v>
      </c>
      <c r="M67" s="153">
        <v>6</v>
      </c>
      <c r="N67" s="153">
        <v>10</v>
      </c>
      <c r="O67" s="153">
        <v>2</v>
      </c>
      <c r="P67" s="35">
        <f>SUM(D67:O67)</f>
        <v>389</v>
      </c>
    </row>
    <row r="68" spans="1:16" ht="27" x14ac:dyDescent="0.3">
      <c r="A68" s="623"/>
      <c r="B68" s="24" t="s">
        <v>103</v>
      </c>
      <c r="C68" s="5" t="s">
        <v>3</v>
      </c>
      <c r="D68" s="4">
        <v>6</v>
      </c>
      <c r="E68" s="4">
        <v>4</v>
      </c>
      <c r="F68" s="4">
        <v>12</v>
      </c>
      <c r="G68" s="4">
        <v>28</v>
      </c>
      <c r="H68" s="4">
        <v>28</v>
      </c>
      <c r="I68" s="4">
        <v>20</v>
      </c>
      <c r="J68" s="4">
        <v>13</v>
      </c>
      <c r="K68" s="4">
        <v>13</v>
      </c>
      <c r="L68" s="153">
        <v>17</v>
      </c>
      <c r="M68" s="153">
        <v>10</v>
      </c>
      <c r="N68" s="153">
        <v>6</v>
      </c>
      <c r="O68" s="153">
        <v>3</v>
      </c>
      <c r="P68" s="35">
        <f t="shared" ref="P68:P69" si="35">SUM(D68:O68)</f>
        <v>160</v>
      </c>
    </row>
    <row r="69" spans="1:16" s="2" customFormat="1" ht="27" x14ac:dyDescent="0.3">
      <c r="A69" s="623"/>
      <c r="B69" s="24" t="s">
        <v>102</v>
      </c>
      <c r="C69" s="11" t="s">
        <v>3</v>
      </c>
      <c r="D69" s="4"/>
      <c r="E69" s="4"/>
      <c r="F69" s="4"/>
      <c r="G69" s="4"/>
      <c r="H69" s="4"/>
      <c r="I69" s="4"/>
      <c r="J69" s="153"/>
      <c r="K69" s="153"/>
      <c r="L69" s="153"/>
      <c r="M69" s="153"/>
      <c r="N69" s="153"/>
      <c r="O69" s="153"/>
      <c r="P69" s="74">
        <f t="shared" si="35"/>
        <v>0</v>
      </c>
    </row>
    <row r="70" spans="1:16" s="2" customFormat="1" ht="15.6" x14ac:dyDescent="0.3">
      <c r="A70" s="623"/>
      <c r="B70" s="24" t="s">
        <v>188</v>
      </c>
      <c r="C70" s="11" t="s">
        <v>3</v>
      </c>
      <c r="D70" s="4">
        <f t="shared" ref="D70:G70" si="36">D68+D69</f>
        <v>6</v>
      </c>
      <c r="E70" s="4">
        <f t="shared" si="36"/>
        <v>4</v>
      </c>
      <c r="F70" s="4">
        <f t="shared" si="36"/>
        <v>12</v>
      </c>
      <c r="G70" s="4">
        <f t="shared" si="36"/>
        <v>28</v>
      </c>
      <c r="H70" s="4">
        <v>28</v>
      </c>
      <c r="I70" s="4">
        <f t="shared" ref="I70" si="37">I68+I69</f>
        <v>20</v>
      </c>
      <c r="J70" s="153">
        <f t="shared" ref="J70:K70" si="38">J68+J69</f>
        <v>13</v>
      </c>
      <c r="K70" s="153">
        <f t="shared" si="38"/>
        <v>13</v>
      </c>
      <c r="L70" s="153">
        <v>17</v>
      </c>
      <c r="M70" s="153">
        <v>10</v>
      </c>
      <c r="N70" s="153">
        <v>6</v>
      </c>
      <c r="O70" s="153">
        <v>3</v>
      </c>
      <c r="P70" s="105">
        <f t="shared" ref="P70" si="39">P68+P69</f>
        <v>160</v>
      </c>
    </row>
    <row r="71" spans="1:16" ht="15.6" x14ac:dyDescent="0.3">
      <c r="A71" s="624"/>
      <c r="B71" s="37" t="s">
        <v>81</v>
      </c>
      <c r="C71" s="5" t="s">
        <v>3</v>
      </c>
      <c r="D71" s="26">
        <f t="shared" ref="D71:I71" si="40">D66+D67-D70</f>
        <v>6</v>
      </c>
      <c r="E71" s="26">
        <f t="shared" si="40"/>
        <v>6</v>
      </c>
      <c r="F71" s="26">
        <f t="shared" si="40"/>
        <v>53</v>
      </c>
      <c r="G71" s="26">
        <f t="shared" si="40"/>
        <v>214</v>
      </c>
      <c r="H71" s="26">
        <f t="shared" si="40"/>
        <v>234</v>
      </c>
      <c r="I71" s="26">
        <f t="shared" si="40"/>
        <v>229</v>
      </c>
      <c r="J71" s="156">
        <f t="shared" ref="J71:K71" si="41">J66+J67-J70</f>
        <v>225</v>
      </c>
      <c r="K71" s="156">
        <f t="shared" si="41"/>
        <v>221</v>
      </c>
      <c r="L71" s="156">
        <v>234</v>
      </c>
      <c r="M71" s="156">
        <v>230</v>
      </c>
      <c r="N71" s="156">
        <v>234</v>
      </c>
      <c r="O71" s="156">
        <v>233</v>
      </c>
      <c r="P71" s="156">
        <f t="shared" ref="P71" si="42">P66+P67-P70</f>
        <v>233</v>
      </c>
    </row>
    <row r="72" spans="1:16" ht="15.6" x14ac:dyDescent="0.3">
      <c r="A72" s="622" t="s">
        <v>108</v>
      </c>
      <c r="B72" s="37" t="s">
        <v>85</v>
      </c>
      <c r="C72" s="5" t="s">
        <v>3</v>
      </c>
      <c r="D72" s="4"/>
      <c r="E72" s="4">
        <f>D77</f>
        <v>0</v>
      </c>
      <c r="F72" s="4">
        <f t="shared" ref="F72:G72" si="43">E77</f>
        <v>0</v>
      </c>
      <c r="G72" s="4">
        <f t="shared" si="43"/>
        <v>0</v>
      </c>
      <c r="H72" s="155"/>
      <c r="I72" s="155"/>
      <c r="J72" s="155"/>
      <c r="K72" s="155"/>
      <c r="L72" s="155"/>
      <c r="M72" s="155"/>
      <c r="N72" s="155"/>
      <c r="O72" s="155"/>
      <c r="P72" s="35">
        <f>D72</f>
        <v>0</v>
      </c>
    </row>
    <row r="73" spans="1:16" ht="15.6" x14ac:dyDescent="0.3">
      <c r="A73" s="623"/>
      <c r="B73" s="24" t="s">
        <v>104</v>
      </c>
      <c r="C73" s="5" t="s">
        <v>3</v>
      </c>
      <c r="D73" s="4"/>
      <c r="E73" s="4"/>
      <c r="F73" s="4"/>
      <c r="G73" s="4"/>
      <c r="H73" s="153"/>
      <c r="I73" s="153"/>
      <c r="J73" s="153"/>
      <c r="K73" s="153"/>
      <c r="L73" s="153"/>
      <c r="M73" s="153"/>
      <c r="N73" s="153"/>
      <c r="O73" s="153"/>
      <c r="P73" s="35">
        <f>SUM(D73:O73)</f>
        <v>0</v>
      </c>
    </row>
    <row r="74" spans="1:16" ht="27" x14ac:dyDescent="0.3">
      <c r="A74" s="623"/>
      <c r="B74" s="24" t="s">
        <v>103</v>
      </c>
      <c r="C74" s="5" t="s">
        <v>3</v>
      </c>
      <c r="D74" s="4"/>
      <c r="E74" s="4"/>
      <c r="F74" s="4"/>
      <c r="G74" s="4"/>
      <c r="H74" s="153"/>
      <c r="I74" s="153"/>
      <c r="J74" s="153"/>
      <c r="K74" s="153"/>
      <c r="L74" s="153"/>
      <c r="M74" s="153"/>
      <c r="N74" s="153"/>
      <c r="O74" s="153"/>
      <c r="P74" s="35">
        <f>SUM(D74:O74)</f>
        <v>0</v>
      </c>
    </row>
    <row r="75" spans="1:16" s="2" customFormat="1" ht="27" x14ac:dyDescent="0.3">
      <c r="A75" s="623"/>
      <c r="B75" s="24" t="s">
        <v>102</v>
      </c>
      <c r="C75" s="11" t="s">
        <v>3</v>
      </c>
      <c r="D75" s="4"/>
      <c r="E75" s="4"/>
      <c r="F75" s="4"/>
      <c r="G75" s="4"/>
      <c r="H75" s="153"/>
      <c r="I75" s="153"/>
      <c r="J75" s="153"/>
      <c r="K75" s="153"/>
      <c r="L75" s="153"/>
      <c r="M75" s="153"/>
      <c r="N75" s="153"/>
      <c r="O75" s="153"/>
      <c r="P75" s="35">
        <f>SUM(D75:O75)</f>
        <v>0</v>
      </c>
    </row>
    <row r="76" spans="1:16" s="2" customFormat="1" ht="15.6" x14ac:dyDescent="0.3">
      <c r="A76" s="623"/>
      <c r="B76" s="24" t="s">
        <v>188</v>
      </c>
      <c r="C76" s="11" t="s">
        <v>3</v>
      </c>
      <c r="D76" s="4">
        <f t="shared" ref="D76:G76" si="44">D74+D75</f>
        <v>0</v>
      </c>
      <c r="E76" s="4">
        <f t="shared" si="44"/>
        <v>0</v>
      </c>
      <c r="F76" s="4">
        <f t="shared" si="44"/>
        <v>0</v>
      </c>
      <c r="G76" s="4">
        <f t="shared" si="44"/>
        <v>0</v>
      </c>
      <c r="H76" s="153">
        <f t="shared" ref="H76:I76" si="45">H74+H75</f>
        <v>0</v>
      </c>
      <c r="I76" s="153">
        <f t="shared" si="45"/>
        <v>0</v>
      </c>
      <c r="J76" s="153">
        <f t="shared" ref="J76:K76" si="46">J74+J75</f>
        <v>0</v>
      </c>
      <c r="K76" s="153">
        <f t="shared" si="46"/>
        <v>0</v>
      </c>
      <c r="L76" s="153">
        <f t="shared" ref="L76:M76" si="47">L74+L75</f>
        <v>0</v>
      </c>
      <c r="M76" s="153">
        <f t="shared" si="47"/>
        <v>0</v>
      </c>
      <c r="N76" s="153">
        <f t="shared" ref="N76" si="48">N74+N75</f>
        <v>0</v>
      </c>
      <c r="O76" s="153">
        <v>0</v>
      </c>
      <c r="P76" s="105">
        <f t="shared" ref="P76" si="49">P74+P75</f>
        <v>0</v>
      </c>
    </row>
    <row r="77" spans="1:16" ht="15.6" x14ac:dyDescent="0.3">
      <c r="A77" s="624"/>
      <c r="B77" s="37" t="s">
        <v>81</v>
      </c>
      <c r="C77" s="5" t="s">
        <v>3</v>
      </c>
      <c r="D77" s="26">
        <f t="shared" ref="D77:G77" si="50">D72+D73-D76</f>
        <v>0</v>
      </c>
      <c r="E77" s="26">
        <f t="shared" si="50"/>
        <v>0</v>
      </c>
      <c r="F77" s="26">
        <f t="shared" si="50"/>
        <v>0</v>
      </c>
      <c r="G77" s="26">
        <f t="shared" si="50"/>
        <v>0</v>
      </c>
      <c r="H77" s="156">
        <f t="shared" ref="H77:L77" si="51">H72+H73-H76</f>
        <v>0</v>
      </c>
      <c r="I77" s="156">
        <f t="shared" si="51"/>
        <v>0</v>
      </c>
      <c r="J77" s="156">
        <f t="shared" si="51"/>
        <v>0</v>
      </c>
      <c r="K77" s="156">
        <f t="shared" si="51"/>
        <v>0</v>
      </c>
      <c r="L77" s="156">
        <f t="shared" si="51"/>
        <v>0</v>
      </c>
      <c r="M77" s="156">
        <f t="shared" ref="M77" si="52">M72+M73-M76</f>
        <v>0</v>
      </c>
      <c r="N77" s="156">
        <f t="shared" ref="N77:P77" si="53">N72+N73-N76</f>
        <v>0</v>
      </c>
      <c r="O77" s="156">
        <v>0</v>
      </c>
      <c r="P77" s="156">
        <f t="shared" si="53"/>
        <v>0</v>
      </c>
    </row>
    <row r="78" spans="1:16" ht="15.6" customHeight="1" x14ac:dyDescent="0.3">
      <c r="A78" s="622" t="s">
        <v>107</v>
      </c>
      <c r="B78" s="37" t="s">
        <v>85</v>
      </c>
      <c r="C78" s="5" t="s">
        <v>3</v>
      </c>
      <c r="D78" s="4"/>
      <c r="E78" s="4">
        <f>D83</f>
        <v>0</v>
      </c>
      <c r="F78" s="4">
        <f t="shared" ref="F78:G78" si="54">E83</f>
        <v>0</v>
      </c>
      <c r="G78" s="4">
        <f t="shared" si="54"/>
        <v>0</v>
      </c>
      <c r="H78" s="155"/>
      <c r="I78" s="155"/>
      <c r="J78" s="155"/>
      <c r="K78" s="155"/>
      <c r="L78" s="155"/>
      <c r="M78" s="155"/>
      <c r="N78" s="155"/>
      <c r="O78" s="155"/>
      <c r="P78" s="35">
        <f>D78</f>
        <v>0</v>
      </c>
    </row>
    <row r="79" spans="1:16" ht="15.6" x14ac:dyDescent="0.3">
      <c r="A79" s="623"/>
      <c r="B79" s="24" t="s">
        <v>104</v>
      </c>
      <c r="C79" s="5" t="s">
        <v>3</v>
      </c>
      <c r="D79" s="4"/>
      <c r="E79" s="4"/>
      <c r="F79" s="4"/>
      <c r="G79" s="4"/>
      <c r="H79" s="153"/>
      <c r="I79" s="153"/>
      <c r="J79" s="153"/>
      <c r="K79" s="153"/>
      <c r="L79" s="153"/>
      <c r="M79" s="153"/>
      <c r="N79" s="153"/>
      <c r="O79" s="153"/>
      <c r="P79" s="35">
        <f>SUM(D79:O79)</f>
        <v>0</v>
      </c>
    </row>
    <row r="80" spans="1:16" ht="27" x14ac:dyDescent="0.3">
      <c r="A80" s="623"/>
      <c r="B80" s="24" t="s">
        <v>103</v>
      </c>
      <c r="C80" s="5" t="s">
        <v>3</v>
      </c>
      <c r="D80" s="4"/>
      <c r="E80" s="4"/>
      <c r="F80" s="4"/>
      <c r="G80" s="4"/>
      <c r="H80" s="153"/>
      <c r="I80" s="153"/>
      <c r="J80" s="153"/>
      <c r="K80" s="153"/>
      <c r="L80" s="153"/>
      <c r="M80" s="153"/>
      <c r="N80" s="153"/>
      <c r="O80" s="153"/>
      <c r="P80" s="35">
        <f>SUM(D80:O80)</f>
        <v>0</v>
      </c>
    </row>
    <row r="81" spans="1:16" s="2" customFormat="1" ht="27" x14ac:dyDescent="0.3">
      <c r="A81" s="623"/>
      <c r="B81" s="24" t="s">
        <v>102</v>
      </c>
      <c r="C81" s="11" t="s">
        <v>3</v>
      </c>
      <c r="D81" s="4"/>
      <c r="E81" s="4"/>
      <c r="F81" s="4"/>
      <c r="G81" s="4"/>
      <c r="H81" s="153"/>
      <c r="I81" s="153"/>
      <c r="J81" s="153"/>
      <c r="K81" s="153"/>
      <c r="L81" s="153"/>
      <c r="M81" s="153"/>
      <c r="N81" s="153"/>
      <c r="O81" s="153"/>
      <c r="P81" s="74">
        <f>SUM(D81:O81)</f>
        <v>0</v>
      </c>
    </row>
    <row r="82" spans="1:16" s="2" customFormat="1" ht="15.6" x14ac:dyDescent="0.3">
      <c r="A82" s="623"/>
      <c r="B82" s="24" t="s">
        <v>188</v>
      </c>
      <c r="C82" s="11" t="s">
        <v>3</v>
      </c>
      <c r="D82" s="4">
        <f t="shared" ref="D82:G82" si="55">D80+D81</f>
        <v>0</v>
      </c>
      <c r="E82" s="4">
        <f t="shared" si="55"/>
        <v>0</v>
      </c>
      <c r="F82" s="4">
        <f t="shared" si="55"/>
        <v>0</v>
      </c>
      <c r="G82" s="4">
        <f t="shared" si="55"/>
        <v>0</v>
      </c>
      <c r="H82" s="153">
        <f t="shared" ref="H82:I82" si="56">H81+H80</f>
        <v>0</v>
      </c>
      <c r="I82" s="153">
        <f t="shared" si="56"/>
        <v>0</v>
      </c>
      <c r="J82" s="153">
        <f t="shared" ref="J82:K82" si="57">J81+J80</f>
        <v>0</v>
      </c>
      <c r="K82" s="153">
        <f t="shared" si="57"/>
        <v>0</v>
      </c>
      <c r="L82" s="153">
        <f t="shared" ref="L82:M82" si="58">L81+L80</f>
        <v>0</v>
      </c>
      <c r="M82" s="153">
        <f t="shared" si="58"/>
        <v>0</v>
      </c>
      <c r="N82" s="153">
        <f t="shared" ref="N82" si="59">N81+N80</f>
        <v>0</v>
      </c>
      <c r="O82" s="153">
        <v>0</v>
      </c>
      <c r="P82" s="105">
        <f t="shared" ref="P82" si="60">P81+P80</f>
        <v>0</v>
      </c>
    </row>
    <row r="83" spans="1:16" ht="15.6" x14ac:dyDescent="0.3">
      <c r="A83" s="624"/>
      <c r="B83" s="37" t="s">
        <v>81</v>
      </c>
      <c r="C83" s="5" t="s">
        <v>3</v>
      </c>
      <c r="D83" s="26">
        <f t="shared" ref="D83:G83" si="61">D78+D79-D82</f>
        <v>0</v>
      </c>
      <c r="E83" s="26">
        <f t="shared" si="61"/>
        <v>0</v>
      </c>
      <c r="F83" s="26">
        <f t="shared" si="61"/>
        <v>0</v>
      </c>
      <c r="G83" s="26">
        <f t="shared" si="61"/>
        <v>0</v>
      </c>
      <c r="H83" s="156">
        <f t="shared" ref="H83" si="62">H78+H79-H82</f>
        <v>0</v>
      </c>
      <c r="I83" s="156">
        <f t="shared" ref="I83:J83" si="63">I78+I79-I82</f>
        <v>0</v>
      </c>
      <c r="J83" s="156">
        <f t="shared" si="63"/>
        <v>0</v>
      </c>
      <c r="K83" s="156">
        <f t="shared" ref="K83:L83" si="64">K78+K79-K82</f>
        <v>0</v>
      </c>
      <c r="L83" s="156">
        <f t="shared" si="64"/>
        <v>0</v>
      </c>
      <c r="M83" s="156">
        <f t="shared" ref="M83:N83" si="65">M78+M79-M82</f>
        <v>0</v>
      </c>
      <c r="N83" s="156">
        <f t="shared" si="65"/>
        <v>0</v>
      </c>
      <c r="O83" s="156">
        <v>0</v>
      </c>
      <c r="P83" s="156">
        <f t="shared" ref="P83" si="66">P78+P79-P82</f>
        <v>0</v>
      </c>
    </row>
    <row r="84" spans="1:16" ht="15.6" x14ac:dyDescent="0.3">
      <c r="A84" s="625" t="s">
        <v>106</v>
      </c>
      <c r="B84" s="37" t="s">
        <v>85</v>
      </c>
      <c r="C84" s="5" t="s">
        <v>3</v>
      </c>
      <c r="D84" s="4"/>
      <c r="E84" s="4">
        <f>D89</f>
        <v>0</v>
      </c>
      <c r="F84" s="4">
        <f t="shared" ref="F84:G84" si="67">E89</f>
        <v>0</v>
      </c>
      <c r="G84" s="4">
        <f t="shared" si="67"/>
        <v>0</v>
      </c>
      <c r="H84" s="155"/>
      <c r="I84" s="155"/>
      <c r="J84" s="155"/>
      <c r="K84" s="155"/>
      <c r="L84" s="155"/>
      <c r="M84" s="155"/>
      <c r="N84" s="155"/>
      <c r="O84" s="155"/>
      <c r="P84" s="35">
        <f>D84</f>
        <v>0</v>
      </c>
    </row>
    <row r="85" spans="1:16" ht="15.6" x14ac:dyDescent="0.3">
      <c r="A85" s="626"/>
      <c r="B85" s="37" t="s">
        <v>104</v>
      </c>
      <c r="C85" s="5" t="s">
        <v>3</v>
      </c>
      <c r="D85" s="4"/>
      <c r="E85" s="4"/>
      <c r="F85" s="4"/>
      <c r="G85" s="4"/>
      <c r="H85" s="153"/>
      <c r="I85" s="153"/>
      <c r="J85" s="153"/>
      <c r="K85" s="153"/>
      <c r="L85" s="153"/>
      <c r="M85" s="153"/>
      <c r="N85" s="153"/>
      <c r="O85" s="153"/>
      <c r="P85" s="35">
        <f>SUM(D85:O85)</f>
        <v>0</v>
      </c>
    </row>
    <row r="86" spans="1:16" ht="27" x14ac:dyDescent="0.3">
      <c r="A86" s="626"/>
      <c r="B86" s="37" t="s">
        <v>103</v>
      </c>
      <c r="C86" s="5" t="s">
        <v>3</v>
      </c>
      <c r="D86" s="4"/>
      <c r="E86" s="4"/>
      <c r="F86" s="4"/>
      <c r="G86" s="4"/>
      <c r="H86" s="153"/>
      <c r="I86" s="153"/>
      <c r="J86" s="153"/>
      <c r="K86" s="153"/>
      <c r="L86" s="153"/>
      <c r="M86" s="153"/>
      <c r="N86" s="153"/>
      <c r="O86" s="153"/>
      <c r="P86" s="35">
        <f>SUM(D86:O86)</f>
        <v>0</v>
      </c>
    </row>
    <row r="87" spans="1:16" s="2" customFormat="1" ht="27" x14ac:dyDescent="0.3">
      <c r="A87" s="626"/>
      <c r="B87" s="24" t="s">
        <v>102</v>
      </c>
      <c r="C87" s="11" t="s">
        <v>3</v>
      </c>
      <c r="D87" s="4"/>
      <c r="E87" s="4"/>
      <c r="F87" s="4"/>
      <c r="G87" s="4"/>
      <c r="H87" s="153"/>
      <c r="I87" s="153"/>
      <c r="J87" s="153"/>
      <c r="K87" s="153"/>
      <c r="L87" s="153"/>
      <c r="M87" s="153"/>
      <c r="N87" s="153"/>
      <c r="O87" s="153"/>
      <c r="P87" s="74">
        <f>SUM(D87:O87)</f>
        <v>0</v>
      </c>
    </row>
    <row r="88" spans="1:16" s="2" customFormat="1" ht="15.6" x14ac:dyDescent="0.3">
      <c r="A88" s="626"/>
      <c r="B88" s="24" t="s">
        <v>188</v>
      </c>
      <c r="C88" s="11" t="s">
        <v>3</v>
      </c>
      <c r="D88" s="4">
        <f t="shared" ref="D88:G88" si="68">D86+D87</f>
        <v>0</v>
      </c>
      <c r="E88" s="4">
        <f t="shared" si="68"/>
        <v>0</v>
      </c>
      <c r="F88" s="4">
        <f t="shared" si="68"/>
        <v>0</v>
      </c>
      <c r="G88" s="4">
        <f t="shared" si="68"/>
        <v>0</v>
      </c>
      <c r="H88" s="153">
        <f t="shared" ref="H88:I88" si="69">H87+H86</f>
        <v>0</v>
      </c>
      <c r="I88" s="153">
        <f t="shared" si="69"/>
        <v>0</v>
      </c>
      <c r="J88" s="153">
        <f t="shared" ref="J88:K88" si="70">J87+J86</f>
        <v>0</v>
      </c>
      <c r="K88" s="153">
        <f t="shared" si="70"/>
        <v>0</v>
      </c>
      <c r="L88" s="153">
        <f t="shared" ref="L88:M88" si="71">L87+L86</f>
        <v>0</v>
      </c>
      <c r="M88" s="153">
        <f t="shared" si="71"/>
        <v>0</v>
      </c>
      <c r="N88" s="153">
        <f t="shared" ref="N88" si="72">N87+N86</f>
        <v>0</v>
      </c>
      <c r="O88" s="153">
        <v>0</v>
      </c>
      <c r="P88" s="74">
        <f>SUM(D88:O88)</f>
        <v>0</v>
      </c>
    </row>
    <row r="89" spans="1:16" ht="15.6" x14ac:dyDescent="0.3">
      <c r="A89" s="627"/>
      <c r="B89" s="36" t="s">
        <v>81</v>
      </c>
      <c r="C89" s="5" t="s">
        <v>3</v>
      </c>
      <c r="D89" s="26">
        <f t="shared" ref="D89:G89" si="73">D84+D85-D88</f>
        <v>0</v>
      </c>
      <c r="E89" s="26">
        <f t="shared" si="73"/>
        <v>0</v>
      </c>
      <c r="F89" s="26">
        <f t="shared" si="73"/>
        <v>0</v>
      </c>
      <c r="G89" s="26">
        <f t="shared" si="73"/>
        <v>0</v>
      </c>
      <c r="H89" s="156">
        <f t="shared" ref="H89" si="74">H84+H85-H88</f>
        <v>0</v>
      </c>
      <c r="I89" s="156">
        <f t="shared" ref="I89:J89" si="75">I84+I85-I88</f>
        <v>0</v>
      </c>
      <c r="J89" s="156">
        <f t="shared" si="75"/>
        <v>0</v>
      </c>
      <c r="K89" s="156">
        <f t="shared" ref="K89:L89" si="76">K84+K85-K88</f>
        <v>0</v>
      </c>
      <c r="L89" s="156">
        <f t="shared" si="76"/>
        <v>0</v>
      </c>
      <c r="M89" s="156">
        <f t="shared" ref="M89:N89" si="77">M84+M85-M88</f>
        <v>0</v>
      </c>
      <c r="N89" s="156">
        <f t="shared" si="77"/>
        <v>0</v>
      </c>
      <c r="O89" s="156">
        <v>0</v>
      </c>
      <c r="P89" s="156">
        <f t="shared" ref="P89" si="78">P84+P85-P88</f>
        <v>0</v>
      </c>
    </row>
    <row r="90" spans="1:16" ht="15.6" x14ac:dyDescent="0.3">
      <c r="A90" s="628" t="s">
        <v>105</v>
      </c>
      <c r="B90" s="24" t="s">
        <v>85</v>
      </c>
      <c r="C90" s="11" t="s">
        <v>3</v>
      </c>
      <c r="D90" s="558">
        <f>D66+D72+D78+D84</f>
        <v>4</v>
      </c>
      <c r="E90" s="558">
        <f t="shared" ref="E90:G90" si="79">E66+E72+E78+E84</f>
        <v>6</v>
      </c>
      <c r="F90" s="558">
        <f t="shared" si="79"/>
        <v>6</v>
      </c>
      <c r="G90" s="558">
        <f t="shared" si="79"/>
        <v>53</v>
      </c>
      <c r="H90" s="136">
        <f t="shared" ref="H90:I90" si="80">H66+H72+H78+H84</f>
        <v>214</v>
      </c>
      <c r="I90" s="136">
        <f t="shared" si="80"/>
        <v>234</v>
      </c>
      <c r="J90" s="136">
        <f t="shared" ref="J90:K90" si="81">J66+J72+J78+J84</f>
        <v>229</v>
      </c>
      <c r="K90" s="136">
        <f t="shared" si="81"/>
        <v>225</v>
      </c>
      <c r="L90" s="136">
        <f t="shared" ref="L90:M90" si="82">L66+L72+L78+L84</f>
        <v>221</v>
      </c>
      <c r="M90" s="136">
        <f t="shared" si="82"/>
        <v>234</v>
      </c>
      <c r="N90" s="136">
        <f t="shared" ref="N90" si="83">N66+N72+N78+N84</f>
        <v>230</v>
      </c>
      <c r="O90" s="136">
        <v>234</v>
      </c>
      <c r="P90" s="35">
        <f>D90</f>
        <v>4</v>
      </c>
    </row>
    <row r="91" spans="1:16" ht="15.6" x14ac:dyDescent="0.3">
      <c r="A91" s="629"/>
      <c r="B91" s="24" t="s">
        <v>104</v>
      </c>
      <c r="C91" s="11" t="s">
        <v>3</v>
      </c>
      <c r="D91" s="558">
        <f t="shared" ref="D91:G95" si="84">D67+D73+D79+D85</f>
        <v>8</v>
      </c>
      <c r="E91" s="558">
        <f t="shared" si="84"/>
        <v>4</v>
      </c>
      <c r="F91" s="558">
        <f t="shared" si="84"/>
        <v>59</v>
      </c>
      <c r="G91" s="558">
        <f t="shared" si="84"/>
        <v>189</v>
      </c>
      <c r="H91" s="136">
        <f t="shared" ref="H91:I91" si="85">H67+H73+H79+H85</f>
        <v>48</v>
      </c>
      <c r="I91" s="136">
        <f t="shared" si="85"/>
        <v>15</v>
      </c>
      <c r="J91" s="136">
        <f t="shared" ref="J91:K91" si="86">J67+J73+J79+J85</f>
        <v>9</v>
      </c>
      <c r="K91" s="136">
        <f t="shared" si="86"/>
        <v>9</v>
      </c>
      <c r="L91" s="136">
        <f t="shared" ref="L91:M91" si="87">L67+L73+L79+L85</f>
        <v>30</v>
      </c>
      <c r="M91" s="136">
        <f t="shared" si="87"/>
        <v>6</v>
      </c>
      <c r="N91" s="136">
        <f t="shared" ref="N91" si="88">N67+N73+N79+N85</f>
        <v>10</v>
      </c>
      <c r="O91" s="136">
        <v>2</v>
      </c>
      <c r="P91" s="35">
        <f>SUM(D91:O91)</f>
        <v>389</v>
      </c>
    </row>
    <row r="92" spans="1:16" ht="27" x14ac:dyDescent="0.3">
      <c r="A92" s="629"/>
      <c r="B92" s="24" t="s">
        <v>103</v>
      </c>
      <c r="C92" s="11" t="s">
        <v>3</v>
      </c>
      <c r="D92" s="558">
        <f t="shared" si="84"/>
        <v>6</v>
      </c>
      <c r="E92" s="558">
        <f t="shared" si="84"/>
        <v>4</v>
      </c>
      <c r="F92" s="558">
        <f t="shared" si="84"/>
        <v>12</v>
      </c>
      <c r="G92" s="558">
        <f t="shared" si="84"/>
        <v>28</v>
      </c>
      <c r="H92" s="136">
        <f t="shared" ref="H92:I92" si="89">H68+H74+H80+H86</f>
        <v>28</v>
      </c>
      <c r="I92" s="136">
        <f t="shared" si="89"/>
        <v>20</v>
      </c>
      <c r="J92" s="136">
        <f t="shared" ref="J92:K92" si="90">J68+J74+J80+J86</f>
        <v>13</v>
      </c>
      <c r="K92" s="136">
        <f t="shared" si="90"/>
        <v>13</v>
      </c>
      <c r="L92" s="136">
        <f t="shared" ref="L92:M92" si="91">L68+L74+L80+L86</f>
        <v>17</v>
      </c>
      <c r="M92" s="136">
        <f t="shared" si="91"/>
        <v>10</v>
      </c>
      <c r="N92" s="136">
        <f t="shared" ref="N92" si="92">N68+N74+N80+N86</f>
        <v>6</v>
      </c>
      <c r="O92" s="136">
        <v>3</v>
      </c>
      <c r="P92" s="35">
        <f>SUM(D92:O92)</f>
        <v>160</v>
      </c>
    </row>
    <row r="93" spans="1:16" s="2" customFormat="1" ht="27" x14ac:dyDescent="0.3">
      <c r="A93" s="629"/>
      <c r="B93" s="24" t="s">
        <v>102</v>
      </c>
      <c r="C93" s="11"/>
      <c r="D93" s="558">
        <f t="shared" si="84"/>
        <v>0</v>
      </c>
      <c r="E93" s="558">
        <f t="shared" si="84"/>
        <v>0</v>
      </c>
      <c r="F93" s="558">
        <f t="shared" si="84"/>
        <v>0</v>
      </c>
      <c r="G93" s="558">
        <f t="shared" si="84"/>
        <v>0</v>
      </c>
      <c r="H93" s="136">
        <f t="shared" ref="H93:I93" si="93">H69+H75+H81+H87</f>
        <v>0</v>
      </c>
      <c r="I93" s="136">
        <f t="shared" si="93"/>
        <v>0</v>
      </c>
      <c r="J93" s="136">
        <f t="shared" ref="J93:K93" si="94">J69+J75+J81+J87</f>
        <v>0</v>
      </c>
      <c r="K93" s="136">
        <f t="shared" si="94"/>
        <v>0</v>
      </c>
      <c r="L93" s="136">
        <f t="shared" ref="L93:M93" si="95">L69+L75+L81+L87</f>
        <v>0</v>
      </c>
      <c r="M93" s="136">
        <f t="shared" si="95"/>
        <v>0</v>
      </c>
      <c r="N93" s="136">
        <f t="shared" ref="N93" si="96">N69+N75+N81+N87</f>
        <v>0</v>
      </c>
      <c r="O93" s="136">
        <v>0</v>
      </c>
      <c r="P93" s="35">
        <f>SUM(D93:O93)</f>
        <v>0</v>
      </c>
    </row>
    <row r="94" spans="1:16" s="2" customFormat="1" ht="15.6" x14ac:dyDescent="0.3">
      <c r="A94" s="629"/>
      <c r="B94" s="24" t="s">
        <v>188</v>
      </c>
      <c r="C94" s="11" t="s">
        <v>3</v>
      </c>
      <c r="D94" s="558">
        <f t="shared" si="84"/>
        <v>6</v>
      </c>
      <c r="E94" s="558">
        <f t="shared" si="84"/>
        <v>4</v>
      </c>
      <c r="F94" s="558">
        <f t="shared" si="84"/>
        <v>12</v>
      </c>
      <c r="G94" s="558">
        <f t="shared" si="84"/>
        <v>28</v>
      </c>
      <c r="H94" s="137">
        <f t="shared" ref="H94" si="97">H93+H92</f>
        <v>28</v>
      </c>
      <c r="I94" s="137">
        <f t="shared" ref="I94:J94" si="98">I93+I92</f>
        <v>20</v>
      </c>
      <c r="J94" s="137">
        <f t="shared" si="98"/>
        <v>13</v>
      </c>
      <c r="K94" s="137">
        <f t="shared" ref="K94:L94" si="99">K93+K92</f>
        <v>13</v>
      </c>
      <c r="L94" s="137">
        <f t="shared" si="99"/>
        <v>17</v>
      </c>
      <c r="M94" s="137">
        <f t="shared" ref="M94:N94" si="100">M93+M92</f>
        <v>10</v>
      </c>
      <c r="N94" s="137">
        <f t="shared" si="100"/>
        <v>6</v>
      </c>
      <c r="O94" s="137">
        <v>3</v>
      </c>
      <c r="P94" s="144">
        <f t="shared" ref="P94" si="101">P93+P92</f>
        <v>160</v>
      </c>
    </row>
    <row r="95" spans="1:16" ht="16.2" thickBot="1" x14ac:dyDescent="0.35">
      <c r="A95" s="630"/>
      <c r="B95" s="24" t="s">
        <v>81</v>
      </c>
      <c r="C95" s="11" t="s">
        <v>3</v>
      </c>
      <c r="D95" s="558">
        <f t="shared" si="84"/>
        <v>6</v>
      </c>
      <c r="E95" s="558">
        <f t="shared" si="84"/>
        <v>6</v>
      </c>
      <c r="F95" s="558">
        <f t="shared" si="84"/>
        <v>53</v>
      </c>
      <c r="G95" s="558">
        <f t="shared" si="84"/>
        <v>214</v>
      </c>
      <c r="H95" s="138">
        <f t="shared" ref="H95" si="102">H90+H91-H94</f>
        <v>234</v>
      </c>
      <c r="I95" s="138">
        <f t="shared" ref="I95:J95" si="103">I90+I91-I94</f>
        <v>229</v>
      </c>
      <c r="J95" s="138">
        <f t="shared" si="103"/>
        <v>225</v>
      </c>
      <c r="K95" s="138">
        <f t="shared" ref="K95:L95" si="104">K90+K91-K94</f>
        <v>221</v>
      </c>
      <c r="L95" s="138">
        <f t="shared" si="104"/>
        <v>234</v>
      </c>
      <c r="M95" s="138">
        <f t="shared" ref="M95:N95" si="105">M90+M91-M94</f>
        <v>230</v>
      </c>
      <c r="N95" s="138">
        <f t="shared" si="105"/>
        <v>234</v>
      </c>
      <c r="O95" s="138">
        <v>233</v>
      </c>
      <c r="P95" s="145">
        <f t="shared" ref="P95" si="106">P90+P91-P94</f>
        <v>233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7"/>
    </row>
    <row r="97" spans="1:16" s="2" customFormat="1" ht="15.75" customHeight="1" thickBot="1" x14ac:dyDescent="0.35">
      <c r="A97" s="631" t="s">
        <v>189</v>
      </c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2"/>
      <c r="P97" s="633"/>
    </row>
    <row r="98" spans="1:16" ht="15.6" x14ac:dyDescent="0.3">
      <c r="A98" s="88" t="s">
        <v>190</v>
      </c>
      <c r="B98" s="69"/>
      <c r="C98" s="11" t="s">
        <v>3</v>
      </c>
      <c r="D98" s="561"/>
      <c r="E98" s="561"/>
      <c r="F98" s="561"/>
      <c r="G98" s="561"/>
      <c r="H98" s="70"/>
      <c r="I98" s="70"/>
      <c r="J98" s="71"/>
      <c r="K98" s="71"/>
      <c r="L98" s="71"/>
      <c r="M98" s="71"/>
      <c r="N98" s="71"/>
      <c r="O98" s="71"/>
      <c r="P98" s="108">
        <f>SUM(D98:O98)</f>
        <v>0</v>
      </c>
    </row>
    <row r="99" spans="1:16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7"/>
    </row>
    <row r="100" spans="1:16" s="2" customFormat="1" x14ac:dyDescent="0.3">
      <c r="A100" s="642" t="s">
        <v>101</v>
      </c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43"/>
      <c r="P100" s="644"/>
    </row>
    <row r="101" spans="1:16" ht="15.6" x14ac:dyDescent="0.3">
      <c r="A101" s="591" t="s">
        <v>100</v>
      </c>
      <c r="B101" s="592"/>
      <c r="C101" s="11" t="s">
        <v>3</v>
      </c>
      <c r="D101" s="551"/>
      <c r="E101" s="4"/>
      <c r="F101" s="4"/>
      <c r="G101" s="4"/>
      <c r="H101" s="4"/>
      <c r="I101" s="133"/>
      <c r="J101" s="133"/>
      <c r="K101" s="133"/>
      <c r="L101" s="133"/>
      <c r="M101" s="153"/>
      <c r="N101" s="153"/>
      <c r="O101" s="4"/>
      <c r="P101" s="32">
        <f t="shared" ref="P101:P116" si="107">O101</f>
        <v>0</v>
      </c>
    </row>
    <row r="102" spans="1:16" ht="15.6" x14ac:dyDescent="0.3">
      <c r="A102" s="591" t="s">
        <v>99</v>
      </c>
      <c r="B102" s="592"/>
      <c r="C102" s="11" t="s">
        <v>3</v>
      </c>
      <c r="D102" s="551"/>
      <c r="E102" s="4"/>
      <c r="F102" s="4"/>
      <c r="G102" s="4"/>
      <c r="H102" s="4"/>
      <c r="I102" s="133"/>
      <c r="J102" s="133"/>
      <c r="K102" s="133"/>
      <c r="L102" s="133"/>
      <c r="M102" s="153"/>
      <c r="N102" s="153"/>
      <c r="O102" s="4"/>
      <c r="P102" s="32">
        <f t="shared" si="107"/>
        <v>0</v>
      </c>
    </row>
    <row r="103" spans="1:16" ht="15.6" customHeight="1" x14ac:dyDescent="0.3">
      <c r="A103" s="598" t="s">
        <v>98</v>
      </c>
      <c r="B103" s="599"/>
      <c r="C103" s="11" t="s">
        <v>3</v>
      </c>
      <c r="D103" s="551"/>
      <c r="E103" s="4"/>
      <c r="F103" s="4"/>
      <c r="G103" s="4"/>
      <c r="H103" s="4"/>
      <c r="I103" s="133"/>
      <c r="J103" s="133"/>
      <c r="K103" s="133"/>
      <c r="L103" s="133"/>
      <c r="M103" s="153"/>
      <c r="N103" s="153"/>
      <c r="O103" s="4"/>
      <c r="P103" s="32">
        <f t="shared" si="107"/>
        <v>0</v>
      </c>
    </row>
    <row r="104" spans="1:16" ht="15.6" x14ac:dyDescent="0.3">
      <c r="A104" s="598" t="s">
        <v>97</v>
      </c>
      <c r="B104" s="599"/>
      <c r="C104" s="11" t="s">
        <v>3</v>
      </c>
      <c r="D104" s="551"/>
      <c r="E104" s="4"/>
      <c r="F104" s="4"/>
      <c r="G104" s="4"/>
      <c r="H104" s="4"/>
      <c r="I104" s="133"/>
      <c r="J104" s="133"/>
      <c r="K104" s="133"/>
      <c r="L104" s="133"/>
      <c r="M104" s="153"/>
      <c r="N104" s="153"/>
      <c r="O104" s="4"/>
      <c r="P104" s="32">
        <f t="shared" si="107"/>
        <v>0</v>
      </c>
    </row>
    <row r="105" spans="1:16" ht="15.6" x14ac:dyDescent="0.3">
      <c r="A105" s="645" t="s">
        <v>96</v>
      </c>
      <c r="B105" s="646"/>
      <c r="C105" s="11" t="s">
        <v>3</v>
      </c>
      <c r="D105" s="33">
        <f>SUM(D101:D104)</f>
        <v>0</v>
      </c>
      <c r="E105" s="33">
        <f t="shared" ref="E105:N105" si="108">SUM(E101:E104)</f>
        <v>0</v>
      </c>
      <c r="F105" s="33">
        <f t="shared" si="108"/>
        <v>0</v>
      </c>
      <c r="G105" s="33">
        <f t="shared" si="108"/>
        <v>0</v>
      </c>
      <c r="H105" s="33">
        <f t="shared" si="108"/>
        <v>0</v>
      </c>
      <c r="I105" s="135">
        <f t="shared" si="108"/>
        <v>0</v>
      </c>
      <c r="J105" s="135">
        <f t="shared" si="108"/>
        <v>0</v>
      </c>
      <c r="K105" s="135">
        <f t="shared" si="108"/>
        <v>0</v>
      </c>
      <c r="L105" s="135">
        <f t="shared" si="108"/>
        <v>0</v>
      </c>
      <c r="M105" s="166">
        <f t="shared" si="108"/>
        <v>0</v>
      </c>
      <c r="N105" s="166">
        <f t="shared" si="108"/>
        <v>0</v>
      </c>
      <c r="O105" s="33">
        <v>0</v>
      </c>
      <c r="P105" s="32">
        <f t="shared" si="107"/>
        <v>0</v>
      </c>
    </row>
    <row r="106" spans="1:16" s="2" customFormat="1" ht="15.6" customHeight="1" x14ac:dyDescent="0.3">
      <c r="A106" s="639" t="s">
        <v>210</v>
      </c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40"/>
      <c r="P106" s="641"/>
    </row>
    <row r="107" spans="1:16" ht="15.6" x14ac:dyDescent="0.3">
      <c r="A107" s="591" t="s">
        <v>193</v>
      </c>
      <c r="B107" s="592"/>
      <c r="C107" s="11" t="s">
        <v>3</v>
      </c>
      <c r="D107" s="551">
        <v>66</v>
      </c>
      <c r="E107" s="4">
        <v>70</v>
      </c>
      <c r="F107" s="4">
        <v>82</v>
      </c>
      <c r="G107" s="4">
        <v>110</v>
      </c>
      <c r="H107" s="4">
        <v>138</v>
      </c>
      <c r="I107" s="4">
        <v>158</v>
      </c>
      <c r="J107" s="4">
        <v>171</v>
      </c>
      <c r="K107" s="4">
        <v>184</v>
      </c>
      <c r="L107" s="153">
        <v>201</v>
      </c>
      <c r="M107" s="153">
        <v>211</v>
      </c>
      <c r="N107" s="153">
        <v>217</v>
      </c>
      <c r="O107" s="130">
        <v>220</v>
      </c>
      <c r="P107" s="171">
        <f t="shared" si="107"/>
        <v>220</v>
      </c>
    </row>
    <row r="108" spans="1:16" ht="15.6" x14ac:dyDescent="0.3">
      <c r="A108" s="591" t="s">
        <v>194</v>
      </c>
      <c r="B108" s="592"/>
      <c r="C108" s="11" t="s">
        <v>3</v>
      </c>
      <c r="D108" s="551"/>
      <c r="E108" s="4">
        <f>D108+E75</f>
        <v>0</v>
      </c>
      <c r="F108" s="4">
        <f t="shared" ref="F108:G108" si="109">E108+F75</f>
        <v>0</v>
      </c>
      <c r="G108" s="4">
        <f t="shared" si="109"/>
        <v>0</v>
      </c>
      <c r="H108" s="4">
        <v>0</v>
      </c>
      <c r="I108" s="133"/>
      <c r="J108" s="133"/>
      <c r="K108" s="133"/>
      <c r="L108" s="153">
        <v>0</v>
      </c>
      <c r="M108" s="153">
        <v>0</v>
      </c>
      <c r="N108" s="153">
        <v>0</v>
      </c>
      <c r="O108" s="130">
        <v>0</v>
      </c>
      <c r="P108" s="171">
        <f t="shared" si="107"/>
        <v>0</v>
      </c>
    </row>
    <row r="109" spans="1:16" ht="15.6" x14ac:dyDescent="0.3">
      <c r="A109" s="591" t="s">
        <v>195</v>
      </c>
      <c r="B109" s="592"/>
      <c r="C109" s="11" t="s">
        <v>3</v>
      </c>
      <c r="D109" s="551">
        <v>2</v>
      </c>
      <c r="E109" s="4">
        <f>D109+E81</f>
        <v>2</v>
      </c>
      <c r="F109" s="4">
        <f t="shared" ref="F109:G109" si="110">E109+F81</f>
        <v>2</v>
      </c>
      <c r="G109" s="4">
        <f t="shared" si="110"/>
        <v>2</v>
      </c>
      <c r="H109" s="4">
        <v>2</v>
      </c>
      <c r="I109" s="4">
        <f t="shared" ref="I109:K109" si="111">H109+I81</f>
        <v>2</v>
      </c>
      <c r="J109" s="4">
        <f t="shared" si="111"/>
        <v>2</v>
      </c>
      <c r="K109" s="4">
        <f t="shared" si="111"/>
        <v>2</v>
      </c>
      <c r="L109" s="153">
        <v>2</v>
      </c>
      <c r="M109" s="153">
        <v>2</v>
      </c>
      <c r="N109" s="153">
        <v>2</v>
      </c>
      <c r="O109" s="130">
        <v>2</v>
      </c>
      <c r="P109" s="171">
        <f t="shared" si="107"/>
        <v>2</v>
      </c>
    </row>
    <row r="110" spans="1:16" ht="15.6" x14ac:dyDescent="0.3">
      <c r="A110" s="591" t="s">
        <v>196</v>
      </c>
      <c r="B110" s="592"/>
      <c r="C110" s="11" t="s">
        <v>3</v>
      </c>
      <c r="D110" s="551"/>
      <c r="E110" s="4">
        <f>D110+E87</f>
        <v>0</v>
      </c>
      <c r="F110" s="4">
        <f t="shared" ref="F110:G110" si="112">E110+F87</f>
        <v>0</v>
      </c>
      <c r="G110" s="4">
        <f t="shared" si="112"/>
        <v>0</v>
      </c>
      <c r="H110" s="4"/>
      <c r="I110" s="133"/>
      <c r="J110" s="133"/>
      <c r="K110" s="133"/>
      <c r="L110" s="153"/>
      <c r="M110" s="153">
        <v>0</v>
      </c>
      <c r="N110" s="153"/>
      <c r="O110" s="130">
        <v>0</v>
      </c>
      <c r="P110" s="171">
        <f t="shared" si="107"/>
        <v>0</v>
      </c>
    </row>
    <row r="111" spans="1:16" ht="15.6" x14ac:dyDescent="0.3">
      <c r="A111" s="593" t="s">
        <v>95</v>
      </c>
      <c r="B111" s="594"/>
      <c r="C111" s="11" t="s">
        <v>3</v>
      </c>
      <c r="D111" s="33">
        <f>SUM(D107:D110)</f>
        <v>68</v>
      </c>
      <c r="E111" s="33">
        <f t="shared" ref="E111:N111" si="113">SUM(E107:E110)</f>
        <v>72</v>
      </c>
      <c r="F111" s="33">
        <f t="shared" si="113"/>
        <v>84</v>
      </c>
      <c r="G111" s="33">
        <f t="shared" si="113"/>
        <v>112</v>
      </c>
      <c r="H111" s="33">
        <f t="shared" si="113"/>
        <v>140</v>
      </c>
      <c r="I111" s="33">
        <f t="shared" si="113"/>
        <v>160</v>
      </c>
      <c r="J111" s="33">
        <f t="shared" si="113"/>
        <v>173</v>
      </c>
      <c r="K111" s="33">
        <f t="shared" si="113"/>
        <v>186</v>
      </c>
      <c r="L111" s="166">
        <f t="shared" si="113"/>
        <v>203</v>
      </c>
      <c r="M111" s="166">
        <f t="shared" si="113"/>
        <v>213</v>
      </c>
      <c r="N111" s="166">
        <f t="shared" si="113"/>
        <v>219</v>
      </c>
      <c r="O111" s="33">
        <v>222</v>
      </c>
      <c r="P111" s="171">
        <f t="shared" si="107"/>
        <v>222</v>
      </c>
    </row>
    <row r="112" spans="1:16" s="2" customFormat="1" ht="15.6" customHeight="1" x14ac:dyDescent="0.3">
      <c r="A112" s="642" t="s">
        <v>216</v>
      </c>
      <c r="B112" s="643"/>
      <c r="C112" s="643"/>
      <c r="D112" s="643"/>
      <c r="E112" s="643"/>
      <c r="F112" s="643"/>
      <c r="G112" s="643"/>
      <c r="H112" s="643"/>
      <c r="I112" s="643"/>
      <c r="J112" s="643"/>
      <c r="K112" s="643"/>
      <c r="L112" s="643"/>
      <c r="M112" s="643"/>
      <c r="N112" s="643"/>
      <c r="O112" s="643"/>
      <c r="P112" s="644"/>
    </row>
    <row r="113" spans="1:16" ht="15.6" x14ac:dyDescent="0.3">
      <c r="A113" s="591" t="s">
        <v>197</v>
      </c>
      <c r="B113" s="592"/>
      <c r="C113" s="11" t="s">
        <v>3</v>
      </c>
      <c r="D113" s="33">
        <v>384</v>
      </c>
      <c r="E113" s="4">
        <f>D113+E76</f>
        <v>384</v>
      </c>
      <c r="F113" s="4">
        <f t="shared" ref="F113:G114" si="114">E113+F76</f>
        <v>384</v>
      </c>
      <c r="G113" s="4">
        <f t="shared" si="114"/>
        <v>384</v>
      </c>
      <c r="H113" s="4">
        <v>384</v>
      </c>
      <c r="I113" s="4">
        <f t="shared" ref="I113:K114" si="115">H113+I76</f>
        <v>384</v>
      </c>
      <c r="J113" s="4">
        <f t="shared" si="115"/>
        <v>384</v>
      </c>
      <c r="K113" s="4">
        <f t="shared" si="115"/>
        <v>384</v>
      </c>
      <c r="L113" s="134">
        <v>384</v>
      </c>
      <c r="M113" s="134">
        <v>384</v>
      </c>
      <c r="N113" s="134">
        <v>384</v>
      </c>
      <c r="O113" s="134">
        <v>384</v>
      </c>
      <c r="P113" s="171">
        <f t="shared" si="107"/>
        <v>384</v>
      </c>
    </row>
    <row r="114" spans="1:16" ht="15.6" x14ac:dyDescent="0.3">
      <c r="A114" s="591" t="s">
        <v>198</v>
      </c>
      <c r="B114" s="592"/>
      <c r="C114" s="11" t="s">
        <v>3</v>
      </c>
      <c r="D114" s="33">
        <v>10</v>
      </c>
      <c r="E114" s="4">
        <f>D114+E77</f>
        <v>10</v>
      </c>
      <c r="F114" s="4">
        <f t="shared" si="114"/>
        <v>10</v>
      </c>
      <c r="G114" s="4">
        <f t="shared" si="114"/>
        <v>10</v>
      </c>
      <c r="H114" s="4">
        <v>10</v>
      </c>
      <c r="I114" s="4">
        <f t="shared" si="115"/>
        <v>10</v>
      </c>
      <c r="J114" s="4">
        <f t="shared" si="115"/>
        <v>10</v>
      </c>
      <c r="K114" s="4">
        <f t="shared" si="115"/>
        <v>10</v>
      </c>
      <c r="L114" s="134">
        <v>10</v>
      </c>
      <c r="M114" s="134">
        <v>10</v>
      </c>
      <c r="N114" s="134">
        <v>10</v>
      </c>
      <c r="O114" s="134">
        <v>10</v>
      </c>
      <c r="P114" s="171">
        <f t="shared" si="107"/>
        <v>10</v>
      </c>
    </row>
    <row r="115" spans="1:16" ht="15.6" x14ac:dyDescent="0.3">
      <c r="A115" s="591" t="s">
        <v>199</v>
      </c>
      <c r="B115" s="592"/>
      <c r="C115" s="11" t="s">
        <v>3</v>
      </c>
      <c r="D115" s="33">
        <v>6</v>
      </c>
      <c r="E115" s="4">
        <f>D115+E83</f>
        <v>6</v>
      </c>
      <c r="F115" s="4">
        <f t="shared" ref="F115:G115" si="116">E115+F83</f>
        <v>6</v>
      </c>
      <c r="G115" s="4">
        <f t="shared" si="116"/>
        <v>6</v>
      </c>
      <c r="H115" s="4">
        <v>6</v>
      </c>
      <c r="I115" s="4">
        <f t="shared" ref="I115:K115" si="117">H115+I83</f>
        <v>6</v>
      </c>
      <c r="J115" s="4">
        <f t="shared" si="117"/>
        <v>6</v>
      </c>
      <c r="K115" s="4">
        <f t="shared" si="117"/>
        <v>6</v>
      </c>
      <c r="L115" s="134">
        <v>6</v>
      </c>
      <c r="M115" s="134">
        <v>6</v>
      </c>
      <c r="N115" s="134">
        <v>6</v>
      </c>
      <c r="O115" s="134">
        <v>6</v>
      </c>
      <c r="P115" s="171">
        <f t="shared" si="107"/>
        <v>6</v>
      </c>
    </row>
    <row r="116" spans="1:16" ht="15.6" x14ac:dyDescent="0.3">
      <c r="A116" s="591" t="s">
        <v>200</v>
      </c>
      <c r="B116" s="592"/>
      <c r="C116" s="11" t="s">
        <v>3</v>
      </c>
      <c r="D116" s="33">
        <v>14</v>
      </c>
      <c r="E116" s="4">
        <f>D116+E89</f>
        <v>14</v>
      </c>
      <c r="F116" s="4">
        <f t="shared" ref="F116:G116" si="118">E116+F89</f>
        <v>14</v>
      </c>
      <c r="G116" s="4">
        <f t="shared" si="118"/>
        <v>14</v>
      </c>
      <c r="H116" s="4">
        <v>14</v>
      </c>
      <c r="I116" s="4">
        <f t="shared" ref="I116:K116" si="119">H116+I89</f>
        <v>14</v>
      </c>
      <c r="J116" s="4">
        <f t="shared" si="119"/>
        <v>14</v>
      </c>
      <c r="K116" s="4">
        <f t="shared" si="119"/>
        <v>14</v>
      </c>
      <c r="L116" s="134">
        <v>14</v>
      </c>
      <c r="M116" s="134">
        <v>14</v>
      </c>
      <c r="N116" s="134">
        <v>14</v>
      </c>
      <c r="O116" s="134">
        <v>14</v>
      </c>
      <c r="P116" s="171">
        <f t="shared" si="107"/>
        <v>14</v>
      </c>
    </row>
    <row r="117" spans="1:16" ht="15.6" x14ac:dyDescent="0.3">
      <c r="A117" s="593" t="s">
        <v>94</v>
      </c>
      <c r="B117" s="594"/>
      <c r="C117" s="11" t="s">
        <v>3</v>
      </c>
      <c r="D117" s="33">
        <f>SUM(D113:D116)</f>
        <v>414</v>
      </c>
      <c r="E117" s="33">
        <f t="shared" ref="E117:G117" si="120">SUM(E113:E116)</f>
        <v>414</v>
      </c>
      <c r="F117" s="33">
        <f t="shared" si="120"/>
        <v>414</v>
      </c>
      <c r="G117" s="33">
        <f t="shared" si="120"/>
        <v>414</v>
      </c>
      <c r="H117" s="33">
        <f t="shared" ref="H117" si="121">SUM(H113:H116)</f>
        <v>414</v>
      </c>
      <c r="I117" s="33">
        <f t="shared" ref="I117:J117" si="122">SUM(I113:I116)</f>
        <v>414</v>
      </c>
      <c r="J117" s="33">
        <f t="shared" si="122"/>
        <v>414</v>
      </c>
      <c r="K117" s="33">
        <f t="shared" ref="K117:L117" si="123">SUM(K113:K116)</f>
        <v>414</v>
      </c>
      <c r="L117" s="33">
        <f t="shared" si="123"/>
        <v>414</v>
      </c>
      <c r="M117" s="33">
        <f t="shared" ref="M117:N117" si="124">SUM(M113:M116)</f>
        <v>414</v>
      </c>
      <c r="N117" s="33">
        <f t="shared" si="124"/>
        <v>414</v>
      </c>
      <c r="O117" s="33">
        <v>414</v>
      </c>
      <c r="P117" s="55">
        <f t="shared" ref="P117" si="125">SUM(P113:P116)</f>
        <v>414</v>
      </c>
    </row>
    <row r="118" spans="1:16" s="2" customFormat="1" ht="15.6" x14ac:dyDescent="0.3">
      <c r="A118" s="80" t="s">
        <v>191</v>
      </c>
      <c r="B118" s="81"/>
      <c r="C118" s="11" t="s">
        <v>3</v>
      </c>
      <c r="D118" s="33">
        <f t="shared" ref="D118:I118" si="126">D111+D117</f>
        <v>482</v>
      </c>
      <c r="E118" s="33">
        <f t="shared" si="126"/>
        <v>486</v>
      </c>
      <c r="F118" s="33">
        <f t="shared" si="126"/>
        <v>498</v>
      </c>
      <c r="G118" s="33">
        <f t="shared" si="126"/>
        <v>526</v>
      </c>
      <c r="H118" s="33">
        <f t="shared" si="126"/>
        <v>554</v>
      </c>
      <c r="I118" s="33">
        <f t="shared" si="126"/>
        <v>574</v>
      </c>
      <c r="J118" s="33">
        <f t="shared" ref="J118" si="127">J111+J117</f>
        <v>587</v>
      </c>
      <c r="K118" s="33">
        <f t="shared" ref="K118:L118" si="128">K111+K117</f>
        <v>600</v>
      </c>
      <c r="L118" s="33">
        <f t="shared" si="128"/>
        <v>617</v>
      </c>
      <c r="M118" s="33">
        <f t="shared" ref="M118:N118" si="129">M111+M117</f>
        <v>627</v>
      </c>
      <c r="N118" s="33">
        <f t="shared" si="129"/>
        <v>633</v>
      </c>
      <c r="O118" s="33">
        <v>636</v>
      </c>
      <c r="P118" s="33">
        <f t="shared" ref="P118" si="130">P111+P117</f>
        <v>636</v>
      </c>
    </row>
    <row r="119" spans="1:16" ht="15.6" x14ac:dyDescent="0.3">
      <c r="A119" s="593" t="s">
        <v>192</v>
      </c>
      <c r="B119" s="594"/>
      <c r="C119" s="11" t="s">
        <v>3</v>
      </c>
      <c r="D119" s="33">
        <f t="shared" ref="D119:I119" si="131">D105+D118</f>
        <v>482</v>
      </c>
      <c r="E119" s="33">
        <f t="shared" si="131"/>
        <v>486</v>
      </c>
      <c r="F119" s="33">
        <f t="shared" si="131"/>
        <v>498</v>
      </c>
      <c r="G119" s="33">
        <f t="shared" si="131"/>
        <v>526</v>
      </c>
      <c r="H119" s="33">
        <f t="shared" si="131"/>
        <v>554</v>
      </c>
      <c r="I119" s="33">
        <f t="shared" si="131"/>
        <v>574</v>
      </c>
      <c r="J119" s="33">
        <f t="shared" ref="J119" si="132">J105+J118</f>
        <v>587</v>
      </c>
      <c r="K119" s="33">
        <f t="shared" ref="K119:L119" si="133">K105+K118</f>
        <v>600</v>
      </c>
      <c r="L119" s="33">
        <f t="shared" si="133"/>
        <v>617</v>
      </c>
      <c r="M119" s="33">
        <f t="shared" ref="M119:N119" si="134">M105+M118</f>
        <v>627</v>
      </c>
      <c r="N119" s="33">
        <f t="shared" si="134"/>
        <v>633</v>
      </c>
      <c r="O119" s="33">
        <v>636</v>
      </c>
      <c r="P119" s="33">
        <f t="shared" ref="P119" si="135">P105+P118</f>
        <v>636</v>
      </c>
    </row>
    <row r="120" spans="1:16" x14ac:dyDescent="0.3">
      <c r="A120" s="595" t="s">
        <v>201</v>
      </c>
      <c r="B120" s="596"/>
      <c r="C120" s="596"/>
      <c r="D120" s="596"/>
      <c r="E120" s="596"/>
      <c r="F120" s="596"/>
      <c r="G120" s="596"/>
      <c r="H120" s="596"/>
      <c r="I120" s="596"/>
      <c r="J120" s="596"/>
      <c r="K120" s="596"/>
      <c r="L120" s="596"/>
      <c r="M120" s="596"/>
      <c r="N120" s="596"/>
      <c r="O120" s="596"/>
      <c r="P120" s="597"/>
    </row>
    <row r="121" spans="1:16" ht="15.6" x14ac:dyDescent="0.3">
      <c r="A121" s="591" t="s">
        <v>93</v>
      </c>
      <c r="B121" s="592"/>
      <c r="C121" s="5" t="s">
        <v>3</v>
      </c>
      <c r="D121" s="551"/>
      <c r="E121" s="4"/>
      <c r="F121" s="4"/>
      <c r="G121" s="4"/>
      <c r="H121" s="129"/>
      <c r="I121" s="129">
        <v>7192</v>
      </c>
      <c r="J121" s="4">
        <v>7206.384</v>
      </c>
      <c r="K121" s="4">
        <v>7220.7967680000002</v>
      </c>
      <c r="L121" s="129">
        <v>7235.2383615360004</v>
      </c>
      <c r="M121" s="4">
        <f t="shared" ref="M121:N121" si="136">L121*1.002</f>
        <v>7249.7088382590728</v>
      </c>
      <c r="N121" s="4">
        <f t="shared" si="136"/>
        <v>7264.2082559355913</v>
      </c>
      <c r="O121" s="129">
        <v>7278.7366724474623</v>
      </c>
      <c r="P121" s="31">
        <f>O121</f>
        <v>7278.7366724474623</v>
      </c>
    </row>
    <row r="122" spans="1:16" ht="15.6" x14ac:dyDescent="0.3">
      <c r="A122" s="591" t="s">
        <v>92</v>
      </c>
      <c r="B122" s="592"/>
      <c r="C122" s="5" t="s">
        <v>3</v>
      </c>
      <c r="D122" s="551"/>
      <c r="E122" s="4"/>
      <c r="F122" s="4"/>
      <c r="G122" s="4"/>
      <c r="H122" s="129"/>
      <c r="I122" s="129">
        <v>5303</v>
      </c>
      <c r="J122" s="4">
        <v>5329</v>
      </c>
      <c r="K122" s="4">
        <v>5355</v>
      </c>
      <c r="L122" s="129">
        <v>5389</v>
      </c>
      <c r="M122" s="4">
        <f t="shared" ref="M122:N122" si="137">L122+(M96*2)</f>
        <v>5389</v>
      </c>
      <c r="N122" s="4">
        <f t="shared" si="137"/>
        <v>5389</v>
      </c>
      <c r="O122" s="129">
        <v>5427</v>
      </c>
      <c r="P122" s="31">
        <f>O122</f>
        <v>5427</v>
      </c>
    </row>
    <row r="123" spans="1:16" ht="15.6" x14ac:dyDescent="0.3">
      <c r="A123" s="647" t="s">
        <v>91</v>
      </c>
      <c r="B123" s="648"/>
      <c r="C123" s="30" t="s">
        <v>6</v>
      </c>
      <c r="D123" s="29" t="e">
        <f t="shared" ref="D123:P123" si="138">D122/D121</f>
        <v>#DIV/0!</v>
      </c>
      <c r="E123" s="29" t="e">
        <f t="shared" si="138"/>
        <v>#DIV/0!</v>
      </c>
      <c r="F123" s="29" t="e">
        <f t="shared" si="138"/>
        <v>#DIV/0!</v>
      </c>
      <c r="G123" s="29" t="e">
        <f t="shared" si="138"/>
        <v>#DIV/0!</v>
      </c>
      <c r="H123" s="29" t="e">
        <f t="shared" si="138"/>
        <v>#DIV/0!</v>
      </c>
      <c r="I123" s="29">
        <f t="shared" si="138"/>
        <v>0.7373470522803115</v>
      </c>
      <c r="J123" s="29">
        <f t="shared" si="138"/>
        <v>0.73948321377267712</v>
      </c>
      <c r="K123" s="29">
        <f t="shared" si="138"/>
        <v>0.74160791004830007</v>
      </c>
      <c r="L123" s="29">
        <f t="shared" si="138"/>
        <v>0.74482687794351332</v>
      </c>
      <c r="M123" s="29">
        <f t="shared" si="138"/>
        <v>0.74334019754841651</v>
      </c>
      <c r="N123" s="29">
        <f t="shared" si="138"/>
        <v>0.7418564845792579</v>
      </c>
      <c r="O123" s="29">
        <v>0.74559641929939213</v>
      </c>
      <c r="P123" s="109">
        <f t="shared" si="138"/>
        <v>0.74559641929939213</v>
      </c>
    </row>
    <row r="124" spans="1:16" x14ac:dyDescent="0.3">
      <c r="A124" s="649" t="s">
        <v>90</v>
      </c>
      <c r="B124" s="650"/>
      <c r="C124" s="650"/>
      <c r="D124" s="650"/>
      <c r="E124" s="650"/>
      <c r="F124" s="650"/>
      <c r="G124" s="650"/>
      <c r="H124" s="650"/>
      <c r="I124" s="650"/>
      <c r="J124" s="650"/>
      <c r="K124" s="650"/>
      <c r="L124" s="650"/>
      <c r="M124" s="650"/>
      <c r="N124" s="650"/>
      <c r="O124" s="650"/>
      <c r="P124" s="651"/>
    </row>
    <row r="125" spans="1:16" ht="15.6" x14ac:dyDescent="0.3">
      <c r="A125" s="605" t="s">
        <v>227</v>
      </c>
      <c r="B125" s="24" t="s">
        <v>85</v>
      </c>
      <c r="C125" s="11" t="s">
        <v>3</v>
      </c>
      <c r="D125" s="4"/>
      <c r="E125" s="4">
        <f>D129</f>
        <v>0</v>
      </c>
      <c r="F125" s="4">
        <f t="shared" ref="F125:G125" si="139">E129</f>
        <v>0</v>
      </c>
      <c r="G125" s="4">
        <f t="shared" si="139"/>
        <v>0</v>
      </c>
      <c r="H125" s="155"/>
      <c r="I125" s="155"/>
      <c r="J125" s="155"/>
      <c r="K125" s="155"/>
      <c r="L125" s="155"/>
      <c r="M125" s="155"/>
      <c r="N125" s="155"/>
      <c r="O125" s="155"/>
      <c r="P125" s="25">
        <f>D125</f>
        <v>0</v>
      </c>
    </row>
    <row r="126" spans="1:16" ht="15.6" x14ac:dyDescent="0.3">
      <c r="A126" s="655"/>
      <c r="B126" s="24" t="s">
        <v>84</v>
      </c>
      <c r="C126" s="11" t="s">
        <v>3</v>
      </c>
      <c r="D126" s="4"/>
      <c r="E126" s="4"/>
      <c r="F126" s="4"/>
      <c r="G126" s="4"/>
      <c r="H126" s="153"/>
      <c r="I126" s="153"/>
      <c r="J126" s="153"/>
      <c r="K126" s="153"/>
      <c r="L126" s="153"/>
      <c r="M126" s="153"/>
      <c r="N126" s="153"/>
      <c r="O126" s="153"/>
      <c r="P126" s="18">
        <f>SUM(D126:O126)</f>
        <v>0</v>
      </c>
    </row>
    <row r="127" spans="1:16" ht="15.6" x14ac:dyDescent="0.3">
      <c r="A127" s="655"/>
      <c r="B127" s="82" t="s">
        <v>88</v>
      </c>
      <c r="C127" s="11" t="s">
        <v>3</v>
      </c>
      <c r="D127" s="4"/>
      <c r="E127" s="4"/>
      <c r="F127" s="4"/>
      <c r="G127" s="4"/>
      <c r="H127" s="153"/>
      <c r="I127" s="153"/>
      <c r="J127" s="153"/>
      <c r="K127" s="153"/>
      <c r="L127" s="153"/>
      <c r="M127" s="153"/>
      <c r="N127" s="153"/>
      <c r="O127" s="153"/>
      <c r="P127" s="18">
        <f>SUM(D127:O127)</f>
        <v>0</v>
      </c>
    </row>
    <row r="128" spans="1:16" ht="15.6" x14ac:dyDescent="0.3">
      <c r="A128" s="655"/>
      <c r="B128" s="24" t="s">
        <v>82</v>
      </c>
      <c r="C128" s="11" t="s">
        <v>3</v>
      </c>
      <c r="D128" s="4"/>
      <c r="E128" s="4"/>
      <c r="F128" s="4"/>
      <c r="G128" s="4"/>
      <c r="H128" s="153"/>
      <c r="I128" s="153"/>
      <c r="J128" s="153"/>
      <c r="K128" s="153"/>
      <c r="L128" s="153"/>
      <c r="M128" s="153"/>
      <c r="N128" s="153"/>
      <c r="O128" s="153"/>
      <c r="P128" s="18">
        <f>SUM(D128:O128)</f>
        <v>0</v>
      </c>
    </row>
    <row r="129" spans="1:16" ht="15.6" x14ac:dyDescent="0.3">
      <c r="A129" s="606"/>
      <c r="B129" s="24" t="s">
        <v>81</v>
      </c>
      <c r="C129" s="11" t="s">
        <v>3</v>
      </c>
      <c r="D129" s="4">
        <f>D125+D126-D127-D128</f>
        <v>0</v>
      </c>
      <c r="E129" s="4">
        <f t="shared" ref="E129:G129" si="140">E125+E126-E127-E128</f>
        <v>0</v>
      </c>
      <c r="F129" s="4">
        <f t="shared" si="140"/>
        <v>0</v>
      </c>
      <c r="G129" s="4">
        <f t="shared" si="140"/>
        <v>0</v>
      </c>
      <c r="H129" s="155">
        <f t="shared" ref="H129:I129" si="141">H125+H126-H127-H128</f>
        <v>0</v>
      </c>
      <c r="I129" s="155">
        <f t="shared" si="141"/>
        <v>0</v>
      </c>
      <c r="J129" s="155">
        <f t="shared" ref="J129:K129" si="142">J125+J126-J127-J128</f>
        <v>0</v>
      </c>
      <c r="K129" s="155">
        <f t="shared" si="142"/>
        <v>0</v>
      </c>
      <c r="L129" s="155">
        <f t="shared" ref="L129:M129" si="143">L125+L126-L127-L128</f>
        <v>0</v>
      </c>
      <c r="M129" s="155">
        <f t="shared" si="143"/>
        <v>0</v>
      </c>
      <c r="N129" s="155">
        <f t="shared" ref="N129" si="144">N125+N126-N127-N128</f>
        <v>0</v>
      </c>
      <c r="O129" s="155">
        <v>0</v>
      </c>
      <c r="P129" s="25">
        <f>P125+P126-P127-P128</f>
        <v>0</v>
      </c>
    </row>
    <row r="130" spans="1:16" ht="15.6" x14ac:dyDescent="0.3">
      <c r="A130" s="605" t="s">
        <v>228</v>
      </c>
      <c r="B130" s="28" t="s">
        <v>85</v>
      </c>
      <c r="C130" s="27" t="s">
        <v>3</v>
      </c>
      <c r="D130" s="4"/>
      <c r="E130" s="4">
        <f>D134</f>
        <v>0</v>
      </c>
      <c r="F130" s="4">
        <f t="shared" ref="F130:G130" si="145">E134</f>
        <v>0</v>
      </c>
      <c r="G130" s="4">
        <f t="shared" si="145"/>
        <v>0</v>
      </c>
      <c r="H130" s="155"/>
      <c r="I130" s="155"/>
      <c r="J130" s="155"/>
      <c r="K130" s="155"/>
      <c r="L130" s="155"/>
      <c r="M130" s="155"/>
      <c r="N130" s="155"/>
      <c r="O130" s="155"/>
      <c r="P130" s="25">
        <f>D130</f>
        <v>0</v>
      </c>
    </row>
    <row r="131" spans="1:16" ht="15.6" x14ac:dyDescent="0.3">
      <c r="A131" s="655"/>
      <c r="B131" s="24" t="s">
        <v>84</v>
      </c>
      <c r="C131" s="11" t="s">
        <v>3</v>
      </c>
      <c r="D131" s="4"/>
      <c r="E131" s="4"/>
      <c r="F131" s="4"/>
      <c r="G131" s="4"/>
      <c r="H131" s="153"/>
      <c r="I131" s="153"/>
      <c r="J131" s="153"/>
      <c r="K131" s="153"/>
      <c r="L131" s="153"/>
      <c r="M131" s="153"/>
      <c r="N131" s="153"/>
      <c r="O131" s="153"/>
      <c r="P131" s="18">
        <f>SUM(D131:O131)</f>
        <v>0</v>
      </c>
    </row>
    <row r="132" spans="1:16" ht="15.6" x14ac:dyDescent="0.3">
      <c r="A132" s="655"/>
      <c r="B132" s="82" t="s">
        <v>88</v>
      </c>
      <c r="C132" s="11" t="s">
        <v>3</v>
      </c>
      <c r="D132" s="4"/>
      <c r="E132" s="4"/>
      <c r="F132" s="4"/>
      <c r="G132" s="4"/>
      <c r="H132" s="153"/>
      <c r="I132" s="153"/>
      <c r="J132" s="153"/>
      <c r="K132" s="153"/>
      <c r="L132" s="153"/>
      <c r="M132" s="153"/>
      <c r="N132" s="153"/>
      <c r="O132" s="153"/>
      <c r="P132" s="18">
        <f>SUM(D132:O132)</f>
        <v>0</v>
      </c>
    </row>
    <row r="133" spans="1:16" ht="15.6" x14ac:dyDescent="0.3">
      <c r="A133" s="655"/>
      <c r="B133" s="24" t="s">
        <v>82</v>
      </c>
      <c r="C133" s="11" t="s">
        <v>3</v>
      </c>
      <c r="D133" s="4"/>
      <c r="E133" s="4"/>
      <c r="F133" s="4"/>
      <c r="G133" s="4"/>
      <c r="H133" s="153"/>
      <c r="I133" s="153"/>
      <c r="J133" s="153"/>
      <c r="K133" s="153"/>
      <c r="L133" s="153"/>
      <c r="M133" s="153"/>
      <c r="N133" s="153"/>
      <c r="O133" s="153"/>
      <c r="P133" s="18">
        <f>SUM(D133:O133)</f>
        <v>0</v>
      </c>
    </row>
    <row r="134" spans="1:16" ht="15.6" x14ac:dyDescent="0.3">
      <c r="A134" s="606"/>
      <c r="B134" s="24" t="s">
        <v>81</v>
      </c>
      <c r="C134" s="11" t="s">
        <v>3</v>
      </c>
      <c r="D134" s="4">
        <f>D130+D131-D132-D133</f>
        <v>0</v>
      </c>
      <c r="E134" s="4">
        <f t="shared" ref="E134:G134" si="146">E130+E131-E132-E133</f>
        <v>0</v>
      </c>
      <c r="F134" s="4">
        <f t="shared" si="146"/>
        <v>0</v>
      </c>
      <c r="G134" s="4">
        <f t="shared" si="146"/>
        <v>0</v>
      </c>
      <c r="H134" s="155">
        <f t="shared" ref="H134:I134" si="147">H130+H131-H132-H133</f>
        <v>0</v>
      </c>
      <c r="I134" s="155">
        <f t="shared" si="147"/>
        <v>0</v>
      </c>
      <c r="J134" s="155">
        <f t="shared" ref="J134:K134" si="148">J130+J131-J132-J133</f>
        <v>0</v>
      </c>
      <c r="K134" s="155">
        <f t="shared" si="148"/>
        <v>0</v>
      </c>
      <c r="L134" s="155">
        <f t="shared" ref="L134:M134" si="149">L130+L131-L132-L133</f>
        <v>0</v>
      </c>
      <c r="M134" s="155">
        <f t="shared" si="149"/>
        <v>0</v>
      </c>
      <c r="N134" s="155">
        <f t="shared" ref="N134" si="150">N130+N131-N132-N133</f>
        <v>0</v>
      </c>
      <c r="O134" s="155">
        <v>0</v>
      </c>
      <c r="P134" s="25">
        <f>P130+P131-P132-P133</f>
        <v>0</v>
      </c>
    </row>
    <row r="135" spans="1:16" ht="15.6" x14ac:dyDescent="0.3">
      <c r="A135" s="605" t="s">
        <v>89</v>
      </c>
      <c r="B135" s="24" t="s">
        <v>85</v>
      </c>
      <c r="C135" s="11" t="s">
        <v>3</v>
      </c>
      <c r="D135" s="4"/>
      <c r="E135" s="4">
        <f>D139</f>
        <v>0</v>
      </c>
      <c r="F135" s="4">
        <f t="shared" ref="F135:G135" si="151">E139</f>
        <v>0</v>
      </c>
      <c r="G135" s="4">
        <f t="shared" si="151"/>
        <v>0</v>
      </c>
      <c r="H135" s="155"/>
      <c r="I135" s="155"/>
      <c r="J135" s="155"/>
      <c r="K135" s="155"/>
      <c r="L135" s="155"/>
      <c r="M135" s="155"/>
      <c r="N135" s="155"/>
      <c r="O135" s="155"/>
      <c r="P135" s="25">
        <f>D135</f>
        <v>0</v>
      </c>
    </row>
    <row r="136" spans="1:16" ht="15.6" x14ac:dyDescent="0.3">
      <c r="A136" s="655"/>
      <c r="B136" s="24" t="s">
        <v>84</v>
      </c>
      <c r="C136" s="11" t="s">
        <v>3</v>
      </c>
      <c r="D136" s="4"/>
      <c r="E136" s="4"/>
      <c r="F136" s="4"/>
      <c r="G136" s="4"/>
      <c r="H136" s="153"/>
      <c r="I136" s="153"/>
      <c r="J136" s="153"/>
      <c r="K136" s="153"/>
      <c r="L136" s="153"/>
      <c r="M136" s="153"/>
      <c r="N136" s="153"/>
      <c r="O136" s="153"/>
      <c r="P136" s="18">
        <f>SUM(D136:O136)</f>
        <v>0</v>
      </c>
    </row>
    <row r="137" spans="1:16" ht="15.6" x14ac:dyDescent="0.3">
      <c r="A137" s="655"/>
      <c r="B137" s="82" t="s">
        <v>88</v>
      </c>
      <c r="C137" s="11" t="s">
        <v>3</v>
      </c>
      <c r="D137" s="4"/>
      <c r="E137" s="4"/>
      <c r="F137" s="4"/>
      <c r="G137" s="4"/>
      <c r="H137" s="153"/>
      <c r="I137" s="153"/>
      <c r="J137" s="153"/>
      <c r="K137" s="153"/>
      <c r="L137" s="153"/>
      <c r="M137" s="153"/>
      <c r="N137" s="153"/>
      <c r="O137" s="153"/>
      <c r="P137" s="18">
        <f>SUM(D137:O137)</f>
        <v>0</v>
      </c>
    </row>
    <row r="138" spans="1:16" ht="15.6" x14ac:dyDescent="0.3">
      <c r="A138" s="655"/>
      <c r="B138" s="24" t="s">
        <v>82</v>
      </c>
      <c r="C138" s="11" t="s">
        <v>3</v>
      </c>
      <c r="D138" s="4"/>
      <c r="E138" s="4"/>
      <c r="F138" s="4"/>
      <c r="G138" s="4"/>
      <c r="H138" s="153"/>
      <c r="I138" s="153"/>
      <c r="J138" s="153"/>
      <c r="K138" s="153"/>
      <c r="L138" s="153"/>
      <c r="M138" s="153"/>
      <c r="N138" s="153"/>
      <c r="O138" s="153"/>
      <c r="P138" s="18">
        <f>SUM(D138:O138)</f>
        <v>0</v>
      </c>
    </row>
    <row r="139" spans="1:16" ht="15.6" x14ac:dyDescent="0.3">
      <c r="A139" s="606"/>
      <c r="B139" s="24" t="s">
        <v>81</v>
      </c>
      <c r="C139" s="11" t="s">
        <v>3</v>
      </c>
      <c r="D139" s="4">
        <f>D135+D136-D137-D138</f>
        <v>0</v>
      </c>
      <c r="E139" s="4">
        <f t="shared" ref="E139:G139" si="152">E135+E136-E137-E138</f>
        <v>0</v>
      </c>
      <c r="F139" s="4">
        <f t="shared" si="152"/>
        <v>0</v>
      </c>
      <c r="G139" s="4">
        <f t="shared" si="152"/>
        <v>0</v>
      </c>
      <c r="H139" s="155">
        <f t="shared" ref="H139:I139" si="153">H135+H136-H137-H138</f>
        <v>0</v>
      </c>
      <c r="I139" s="155">
        <f t="shared" si="153"/>
        <v>0</v>
      </c>
      <c r="J139" s="155">
        <f t="shared" ref="J139:K139" si="154">J135+J136-J137-J138</f>
        <v>0</v>
      </c>
      <c r="K139" s="155">
        <f t="shared" si="154"/>
        <v>0</v>
      </c>
      <c r="L139" s="155">
        <f t="shared" ref="L139:M139" si="155">L135+L136-L137-L138</f>
        <v>0</v>
      </c>
      <c r="M139" s="155">
        <f t="shared" si="155"/>
        <v>0</v>
      </c>
      <c r="N139" s="155">
        <f t="shared" ref="N139" si="156">N135+N136-N137-N138</f>
        <v>0</v>
      </c>
      <c r="O139" s="155">
        <v>0</v>
      </c>
      <c r="P139" s="25">
        <f>P135+P136-P137-P138</f>
        <v>0</v>
      </c>
    </row>
    <row r="140" spans="1:16" ht="15.6" x14ac:dyDescent="0.3">
      <c r="A140" s="605" t="s">
        <v>87</v>
      </c>
      <c r="B140" s="24" t="s">
        <v>85</v>
      </c>
      <c r="C140" s="11" t="s">
        <v>3</v>
      </c>
      <c r="D140" s="4">
        <v>2</v>
      </c>
      <c r="E140" s="4">
        <f>D144</f>
        <v>2</v>
      </c>
      <c r="F140" s="4">
        <f t="shared" ref="F140:K140" si="157">E144</f>
        <v>2</v>
      </c>
      <c r="G140" s="4">
        <f t="shared" si="157"/>
        <v>2</v>
      </c>
      <c r="H140" s="4">
        <f t="shared" si="157"/>
        <v>1</v>
      </c>
      <c r="I140" s="4">
        <f t="shared" si="157"/>
        <v>5</v>
      </c>
      <c r="J140" s="4">
        <f t="shared" si="157"/>
        <v>5</v>
      </c>
      <c r="K140" s="4">
        <f t="shared" si="157"/>
        <v>5</v>
      </c>
      <c r="L140" s="155">
        <v>5</v>
      </c>
      <c r="M140" s="155">
        <v>3</v>
      </c>
      <c r="N140" s="155">
        <v>1</v>
      </c>
      <c r="O140" s="155">
        <v>2</v>
      </c>
      <c r="P140" s="25">
        <f>D140</f>
        <v>2</v>
      </c>
    </row>
    <row r="141" spans="1:16" ht="15.6" x14ac:dyDescent="0.3">
      <c r="A141" s="655"/>
      <c r="B141" s="24" t="s">
        <v>84</v>
      </c>
      <c r="C141" s="11" t="s">
        <v>3</v>
      </c>
      <c r="D141" s="4"/>
      <c r="E141" s="4"/>
      <c r="F141" s="4"/>
      <c r="G141" s="4"/>
      <c r="H141" s="4">
        <v>4</v>
      </c>
      <c r="I141" s="153"/>
      <c r="J141" s="153"/>
      <c r="K141" s="153"/>
      <c r="L141" s="153"/>
      <c r="M141" s="153"/>
      <c r="N141" s="153">
        <v>1</v>
      </c>
      <c r="O141" s="153">
        <v>5</v>
      </c>
      <c r="P141" s="18">
        <f>SUM(D141:O141)</f>
        <v>10</v>
      </c>
    </row>
    <row r="142" spans="1:16" ht="15.6" x14ac:dyDescent="0.3">
      <c r="A142" s="655"/>
      <c r="B142" s="24" t="s">
        <v>83</v>
      </c>
      <c r="C142" s="11" t="s">
        <v>3</v>
      </c>
      <c r="D142" s="4"/>
      <c r="E142" s="4"/>
      <c r="F142" s="4"/>
      <c r="G142" s="4"/>
      <c r="H142" s="4"/>
      <c r="I142" s="153"/>
      <c r="J142" s="153"/>
      <c r="K142" s="153"/>
      <c r="L142" s="153"/>
      <c r="M142" s="153"/>
      <c r="N142" s="153"/>
      <c r="O142" s="153"/>
      <c r="P142" s="18">
        <f>SUM(D142:O142)</f>
        <v>0</v>
      </c>
    </row>
    <row r="143" spans="1:16" ht="15.6" x14ac:dyDescent="0.3">
      <c r="A143" s="655"/>
      <c r="B143" s="24" t="s">
        <v>82</v>
      </c>
      <c r="C143" s="11" t="s">
        <v>3</v>
      </c>
      <c r="D143" s="4"/>
      <c r="E143" s="4"/>
      <c r="F143" s="4"/>
      <c r="G143" s="4">
        <v>1</v>
      </c>
      <c r="H143" s="4"/>
      <c r="I143" s="153"/>
      <c r="J143" s="153"/>
      <c r="K143" s="153"/>
      <c r="L143" s="153">
        <v>2</v>
      </c>
      <c r="M143" s="153">
        <v>2</v>
      </c>
      <c r="N143" s="153"/>
      <c r="O143" s="153"/>
      <c r="P143" s="18">
        <f>SUM(D143:O143)</f>
        <v>5</v>
      </c>
    </row>
    <row r="144" spans="1:16" ht="15.6" x14ac:dyDescent="0.3">
      <c r="A144" s="606"/>
      <c r="B144" s="24" t="s">
        <v>81</v>
      </c>
      <c r="C144" s="11" t="s">
        <v>3</v>
      </c>
      <c r="D144" s="4">
        <f>D140+D141-D142-D143</f>
        <v>2</v>
      </c>
      <c r="E144" s="4">
        <f t="shared" ref="E144:H144" si="158">E140+E141-E142-E143</f>
        <v>2</v>
      </c>
      <c r="F144" s="4">
        <f t="shared" si="158"/>
        <v>2</v>
      </c>
      <c r="G144" s="4">
        <f t="shared" si="158"/>
        <v>1</v>
      </c>
      <c r="H144" s="4">
        <f t="shared" si="158"/>
        <v>5</v>
      </c>
      <c r="I144" s="155">
        <f t="shared" ref="I144" si="159">I140+I141-I142-I143</f>
        <v>5</v>
      </c>
      <c r="J144" s="155">
        <f t="shared" ref="J144:K144" si="160">J140+J141-J142-J143</f>
        <v>5</v>
      </c>
      <c r="K144" s="155">
        <f t="shared" si="160"/>
        <v>5</v>
      </c>
      <c r="L144" s="155">
        <f t="shared" ref="L144" si="161">L140+L141-L142-L143</f>
        <v>3</v>
      </c>
      <c r="M144" s="155">
        <v>1</v>
      </c>
      <c r="N144" s="155">
        <f t="shared" ref="N144" si="162">N140+N141-N142-N143</f>
        <v>2</v>
      </c>
      <c r="O144" s="155">
        <v>7</v>
      </c>
      <c r="P144" s="25">
        <f>P140+P141-P142-P143</f>
        <v>7</v>
      </c>
    </row>
    <row r="145" spans="1:16" s="2" customFormat="1" ht="15.6" x14ac:dyDescent="0.3">
      <c r="A145" s="605" t="s">
        <v>86</v>
      </c>
      <c r="B145" s="24" t="s">
        <v>85</v>
      </c>
      <c r="C145" s="11" t="s">
        <v>3</v>
      </c>
      <c r="D145" s="23">
        <f t="shared" ref="D145:I145" si="163">D125+D130+D135+D140</f>
        <v>2</v>
      </c>
      <c r="E145" s="23">
        <f t="shared" si="163"/>
        <v>2</v>
      </c>
      <c r="F145" s="23">
        <f t="shared" si="163"/>
        <v>2</v>
      </c>
      <c r="G145" s="23">
        <f t="shared" si="163"/>
        <v>2</v>
      </c>
      <c r="H145" s="23">
        <f t="shared" si="163"/>
        <v>1</v>
      </c>
      <c r="I145" s="23">
        <f t="shared" si="163"/>
        <v>5</v>
      </c>
      <c r="J145" s="23">
        <f t="shared" ref="J145:K145" si="164">J125+J130+J135+J140</f>
        <v>5</v>
      </c>
      <c r="K145" s="23">
        <f t="shared" si="164"/>
        <v>5</v>
      </c>
      <c r="L145" s="23">
        <f t="shared" ref="L145:M145" si="165">L125+L130+L135+L140</f>
        <v>5</v>
      </c>
      <c r="M145" s="23">
        <f t="shared" si="165"/>
        <v>3</v>
      </c>
      <c r="N145" s="23">
        <f t="shared" ref="N145" si="166">N125+N130+N135+N140</f>
        <v>1</v>
      </c>
      <c r="O145" s="23">
        <v>2</v>
      </c>
      <c r="P145" s="110">
        <f t="shared" ref="P145:P149" si="167">P125+P130+P135+P140</f>
        <v>2</v>
      </c>
    </row>
    <row r="146" spans="1:16" ht="15.6" x14ac:dyDescent="0.3">
      <c r="A146" s="655"/>
      <c r="B146" s="24" t="s">
        <v>84</v>
      </c>
      <c r="C146" s="11" t="s">
        <v>3</v>
      </c>
      <c r="D146" s="23">
        <f t="shared" ref="D146:E148" si="168">D126+D131+D136+D141</f>
        <v>0</v>
      </c>
      <c r="E146" s="23">
        <f t="shared" si="168"/>
        <v>0</v>
      </c>
      <c r="F146" s="23">
        <f t="shared" ref="F146:G146" si="169">F126+F131+F136+F141</f>
        <v>0</v>
      </c>
      <c r="G146" s="23">
        <f t="shared" si="169"/>
        <v>0</v>
      </c>
      <c r="H146" s="23">
        <f t="shared" ref="H146:I146" si="170">H126+H131+H136+H141</f>
        <v>4</v>
      </c>
      <c r="I146" s="23">
        <f t="shared" si="170"/>
        <v>0</v>
      </c>
      <c r="J146" s="23">
        <f t="shared" ref="J146:K146" si="171">J126+J131+J136+J141</f>
        <v>0</v>
      </c>
      <c r="K146" s="23">
        <f t="shared" si="171"/>
        <v>0</v>
      </c>
      <c r="L146" s="23">
        <f t="shared" ref="L146:M146" si="172">L126+L131+L136+L141</f>
        <v>0</v>
      </c>
      <c r="M146" s="23">
        <f t="shared" si="172"/>
        <v>0</v>
      </c>
      <c r="N146" s="23">
        <f t="shared" ref="N146" si="173">N126+N131+N136+N141</f>
        <v>1</v>
      </c>
      <c r="O146" s="23">
        <v>5</v>
      </c>
      <c r="P146" s="110">
        <f t="shared" si="167"/>
        <v>10</v>
      </c>
    </row>
    <row r="147" spans="1:16" ht="15.6" x14ac:dyDescent="0.3">
      <c r="A147" s="655"/>
      <c r="B147" s="24" t="s">
        <v>83</v>
      </c>
      <c r="C147" s="11" t="s">
        <v>3</v>
      </c>
      <c r="D147" s="23">
        <f t="shared" si="168"/>
        <v>0</v>
      </c>
      <c r="E147" s="23">
        <f t="shared" si="168"/>
        <v>0</v>
      </c>
      <c r="F147" s="23">
        <f t="shared" ref="F147:G147" si="174">F127+F132+F137+F142</f>
        <v>0</v>
      </c>
      <c r="G147" s="23">
        <f t="shared" si="174"/>
        <v>0</v>
      </c>
      <c r="H147" s="23">
        <f t="shared" ref="H147:I147" si="175">H127+H132+H137+H142</f>
        <v>0</v>
      </c>
      <c r="I147" s="23">
        <f t="shared" si="175"/>
        <v>0</v>
      </c>
      <c r="J147" s="23">
        <f t="shared" ref="J147:K147" si="176">J127+J132+J137+J142</f>
        <v>0</v>
      </c>
      <c r="K147" s="23">
        <f t="shared" si="176"/>
        <v>0</v>
      </c>
      <c r="L147" s="23">
        <f t="shared" ref="L147:M147" si="177">L127+L132+L137+L142</f>
        <v>0</v>
      </c>
      <c r="M147" s="23">
        <f t="shared" si="177"/>
        <v>0</v>
      </c>
      <c r="N147" s="23">
        <f t="shared" ref="N147" si="178">N127+N132+N137+N142</f>
        <v>0</v>
      </c>
      <c r="O147" s="23">
        <v>0</v>
      </c>
      <c r="P147" s="110">
        <f t="shared" si="167"/>
        <v>0</v>
      </c>
    </row>
    <row r="148" spans="1:16" ht="15.6" x14ac:dyDescent="0.3">
      <c r="A148" s="655"/>
      <c r="B148" s="24" t="s">
        <v>82</v>
      </c>
      <c r="C148" s="11" t="s">
        <v>3</v>
      </c>
      <c r="D148" s="23">
        <f t="shared" si="168"/>
        <v>0</v>
      </c>
      <c r="E148" s="23">
        <f t="shared" si="168"/>
        <v>0</v>
      </c>
      <c r="F148" s="23">
        <f t="shared" ref="F148:G148" si="179">F128+F133+F138+F143</f>
        <v>0</v>
      </c>
      <c r="G148" s="23">
        <f t="shared" si="179"/>
        <v>1</v>
      </c>
      <c r="H148" s="23">
        <f t="shared" ref="H148:I148" si="180">H128+H133+H138+H143</f>
        <v>0</v>
      </c>
      <c r="I148" s="23">
        <f t="shared" si="180"/>
        <v>0</v>
      </c>
      <c r="J148" s="23">
        <f t="shared" ref="J148:K148" si="181">J128+J133+J138+J143</f>
        <v>0</v>
      </c>
      <c r="K148" s="23">
        <f t="shared" si="181"/>
        <v>0</v>
      </c>
      <c r="L148" s="23">
        <f t="shared" ref="L148:M148" si="182">L128+L133+L138+L143</f>
        <v>2</v>
      </c>
      <c r="M148" s="23">
        <f t="shared" si="182"/>
        <v>2</v>
      </c>
      <c r="N148" s="23">
        <f t="shared" ref="N148" si="183">N128+N133+N138+N143</f>
        <v>0</v>
      </c>
      <c r="O148" s="23">
        <v>0</v>
      </c>
      <c r="P148" s="110">
        <f t="shared" si="167"/>
        <v>5</v>
      </c>
    </row>
    <row r="149" spans="1:16" ht="15.6" x14ac:dyDescent="0.3">
      <c r="A149" s="606"/>
      <c r="B149" s="24" t="s">
        <v>81</v>
      </c>
      <c r="C149" s="11" t="s">
        <v>3</v>
      </c>
      <c r="D149" s="155">
        <f t="shared" ref="D149:I149" si="184">D145+D146-D147-D148</f>
        <v>2</v>
      </c>
      <c r="E149" s="155">
        <f t="shared" si="184"/>
        <v>2</v>
      </c>
      <c r="F149" s="155">
        <f t="shared" si="184"/>
        <v>2</v>
      </c>
      <c r="G149" s="155">
        <f t="shared" si="184"/>
        <v>1</v>
      </c>
      <c r="H149" s="155">
        <f t="shared" si="184"/>
        <v>5</v>
      </c>
      <c r="I149" s="155">
        <f t="shared" si="184"/>
        <v>5</v>
      </c>
      <c r="J149" s="155">
        <f t="shared" ref="J149:K149" si="185">J145+J146-J147-J148</f>
        <v>5</v>
      </c>
      <c r="K149" s="155">
        <f t="shared" si="185"/>
        <v>5</v>
      </c>
      <c r="L149" s="155">
        <f t="shared" ref="L149:M149" si="186">L145+L146-L147-L148</f>
        <v>3</v>
      </c>
      <c r="M149" s="155">
        <f t="shared" si="186"/>
        <v>1</v>
      </c>
      <c r="N149" s="155">
        <f t="shared" ref="N149" si="187">N145+N146-N147-N148</f>
        <v>2</v>
      </c>
      <c r="O149" s="155">
        <v>7</v>
      </c>
      <c r="P149" s="110">
        <f t="shared" si="167"/>
        <v>7</v>
      </c>
    </row>
    <row r="150" spans="1:16" x14ac:dyDescent="0.3">
      <c r="A150" s="595" t="s">
        <v>80</v>
      </c>
      <c r="B150" s="596"/>
      <c r="C150" s="596"/>
      <c r="D150" s="596"/>
      <c r="E150" s="596"/>
      <c r="F150" s="596"/>
      <c r="G150" s="596"/>
      <c r="H150" s="596"/>
      <c r="I150" s="596"/>
      <c r="J150" s="596"/>
      <c r="K150" s="596"/>
      <c r="L150" s="596"/>
      <c r="M150" s="596"/>
      <c r="N150" s="596"/>
      <c r="O150" s="596"/>
      <c r="P150" s="597"/>
    </row>
    <row r="151" spans="1:16" ht="15.6" x14ac:dyDescent="0.3">
      <c r="A151" s="591" t="s">
        <v>79</v>
      </c>
      <c r="B151" s="592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9"/>
    </row>
    <row r="152" spans="1:16" ht="15.6" x14ac:dyDescent="0.3">
      <c r="A152" s="652" t="s">
        <v>78</v>
      </c>
      <c r="B152" s="92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9"/>
    </row>
    <row r="153" spans="1:16" ht="15.6" x14ac:dyDescent="0.3">
      <c r="A153" s="653"/>
      <c r="B153" s="19" t="s">
        <v>73</v>
      </c>
      <c r="C153" s="11" t="s">
        <v>57</v>
      </c>
      <c r="D153" s="551">
        <v>4</v>
      </c>
      <c r="E153" s="4">
        <v>2</v>
      </c>
      <c r="F153" s="4">
        <v>11</v>
      </c>
      <c r="G153" s="4">
        <v>4</v>
      </c>
      <c r="H153" s="4">
        <v>5</v>
      </c>
      <c r="I153" s="4">
        <v>4</v>
      </c>
      <c r="J153" s="4">
        <v>7</v>
      </c>
      <c r="K153" s="4">
        <v>7</v>
      </c>
      <c r="L153" s="153">
        <v>5</v>
      </c>
      <c r="M153" s="153">
        <v>7</v>
      </c>
      <c r="N153" s="153">
        <v>6</v>
      </c>
      <c r="O153" s="153">
        <v>4</v>
      </c>
      <c r="P153" s="18">
        <f t="shared" ref="P153:P165" si="188">SUM(D153:O153)</f>
        <v>66</v>
      </c>
    </row>
    <row r="154" spans="1:16" ht="15.6" x14ac:dyDescent="0.3">
      <c r="A154" s="653"/>
      <c r="B154" s="19" t="s">
        <v>72</v>
      </c>
      <c r="C154" s="11" t="s">
        <v>57</v>
      </c>
      <c r="D154" s="551">
        <v>1</v>
      </c>
      <c r="E154" s="4">
        <v>2</v>
      </c>
      <c r="F154" s="4">
        <v>4</v>
      </c>
      <c r="G154" s="4">
        <v>2</v>
      </c>
      <c r="H154" s="4">
        <v>3</v>
      </c>
      <c r="I154" s="4">
        <v>2</v>
      </c>
      <c r="J154" s="4">
        <v>3</v>
      </c>
      <c r="K154" s="4">
        <v>3</v>
      </c>
      <c r="L154" s="153">
        <v>2</v>
      </c>
      <c r="M154" s="153">
        <v>8</v>
      </c>
      <c r="N154" s="153">
        <v>4</v>
      </c>
      <c r="O154" s="153">
        <v>2</v>
      </c>
      <c r="P154" s="18">
        <f t="shared" si="188"/>
        <v>36</v>
      </c>
    </row>
    <row r="155" spans="1:16" ht="15.6" x14ac:dyDescent="0.3">
      <c r="A155" s="653"/>
      <c r="B155" s="19" t="s">
        <v>53</v>
      </c>
      <c r="C155" s="11" t="s">
        <v>57</v>
      </c>
      <c r="D155" s="551">
        <v>3</v>
      </c>
      <c r="E155" s="4"/>
      <c r="F155" s="4">
        <v>3</v>
      </c>
      <c r="G155" s="4">
        <v>3</v>
      </c>
      <c r="H155" s="4">
        <v>5</v>
      </c>
      <c r="I155" s="4">
        <v>1</v>
      </c>
      <c r="J155" s="4">
        <v>4</v>
      </c>
      <c r="K155" s="4">
        <v>4</v>
      </c>
      <c r="L155" s="153">
        <v>1</v>
      </c>
      <c r="M155" s="153">
        <v>4</v>
      </c>
      <c r="N155" s="153">
        <v>3</v>
      </c>
      <c r="O155" s="153">
        <v>1</v>
      </c>
      <c r="P155" s="18">
        <f t="shared" si="188"/>
        <v>32</v>
      </c>
    </row>
    <row r="156" spans="1:16" ht="15.6" x14ac:dyDescent="0.3">
      <c r="A156" s="653"/>
      <c r="B156" s="19" t="s">
        <v>71</v>
      </c>
      <c r="C156" s="11" t="s">
        <v>57</v>
      </c>
      <c r="D156" s="551"/>
      <c r="E156" s="4"/>
      <c r="F156" s="4">
        <v>1</v>
      </c>
      <c r="G156" s="4">
        <v>1</v>
      </c>
      <c r="H156" s="4">
        <v>1</v>
      </c>
      <c r="I156" s="4">
        <v>1</v>
      </c>
      <c r="J156" s="4">
        <v>1</v>
      </c>
      <c r="K156" s="4">
        <v>1</v>
      </c>
      <c r="L156" s="153"/>
      <c r="M156" s="153">
        <v>1</v>
      </c>
      <c r="N156" s="153">
        <v>2</v>
      </c>
      <c r="O156" s="153">
        <v>5</v>
      </c>
      <c r="P156" s="18">
        <f t="shared" si="188"/>
        <v>14</v>
      </c>
    </row>
    <row r="157" spans="1:16" ht="15.6" x14ac:dyDescent="0.3">
      <c r="A157" s="653"/>
      <c r="B157" s="19" t="s">
        <v>52</v>
      </c>
      <c r="C157" s="11" t="s">
        <v>57</v>
      </c>
      <c r="D157" s="551"/>
      <c r="E157" s="4">
        <v>1</v>
      </c>
      <c r="F157" s="4">
        <v>2</v>
      </c>
      <c r="G157" s="4">
        <v>3</v>
      </c>
      <c r="H157" s="4">
        <v>3</v>
      </c>
      <c r="I157" s="4">
        <v>1</v>
      </c>
      <c r="J157" s="4">
        <v>2</v>
      </c>
      <c r="K157" s="4">
        <v>2</v>
      </c>
      <c r="L157" s="153">
        <v>2</v>
      </c>
      <c r="M157" s="153">
        <v>2</v>
      </c>
      <c r="N157" s="153">
        <v>4</v>
      </c>
      <c r="O157" s="153">
        <v>3</v>
      </c>
      <c r="P157" s="18">
        <f t="shared" si="188"/>
        <v>25</v>
      </c>
    </row>
    <row r="158" spans="1:16" ht="15.6" x14ac:dyDescent="0.3">
      <c r="A158" s="653"/>
      <c r="B158" s="19" t="s">
        <v>51</v>
      </c>
      <c r="C158" s="11" t="s">
        <v>57</v>
      </c>
      <c r="D158" s="551"/>
      <c r="E158" s="4"/>
      <c r="F158" s="4"/>
      <c r="G158" s="4">
        <v>1</v>
      </c>
      <c r="H158" s="4"/>
      <c r="I158" s="4">
        <v>4</v>
      </c>
      <c r="J158" s="4">
        <v>3</v>
      </c>
      <c r="K158" s="4">
        <v>3</v>
      </c>
      <c r="L158" s="153">
        <v>1</v>
      </c>
      <c r="M158" s="153">
        <v>2</v>
      </c>
      <c r="N158" s="153">
        <v>3</v>
      </c>
      <c r="O158" s="153">
        <v>1</v>
      </c>
      <c r="P158" s="18">
        <f t="shared" si="188"/>
        <v>18</v>
      </c>
    </row>
    <row r="159" spans="1:16" ht="15.6" x14ac:dyDescent="0.3">
      <c r="A159" s="653"/>
      <c r="B159" s="19" t="s">
        <v>62</v>
      </c>
      <c r="C159" s="11" t="s">
        <v>57</v>
      </c>
      <c r="D159" s="551"/>
      <c r="E159" s="4"/>
      <c r="F159" s="4"/>
      <c r="G159" s="4">
        <v>1</v>
      </c>
      <c r="H159" s="4"/>
      <c r="I159" s="4"/>
      <c r="J159" s="153"/>
      <c r="K159" s="153"/>
      <c r="L159" s="153"/>
      <c r="M159" s="153"/>
      <c r="N159" s="153"/>
      <c r="O159" s="153"/>
      <c r="P159" s="18">
        <f t="shared" si="188"/>
        <v>1</v>
      </c>
    </row>
    <row r="160" spans="1:16" ht="15.6" x14ac:dyDescent="0.3">
      <c r="A160" s="653"/>
      <c r="B160" s="19" t="s">
        <v>50</v>
      </c>
      <c r="C160" s="11" t="s">
        <v>57</v>
      </c>
      <c r="D160" s="551"/>
      <c r="E160" s="4"/>
      <c r="F160" s="4"/>
      <c r="G160" s="4"/>
      <c r="H160" s="4">
        <v>1</v>
      </c>
      <c r="I160" s="4">
        <v>1</v>
      </c>
      <c r="J160" s="4">
        <v>1</v>
      </c>
      <c r="K160" s="153"/>
      <c r="L160" s="153">
        <v>1</v>
      </c>
      <c r="M160" s="153">
        <v>1</v>
      </c>
      <c r="N160" s="153">
        <v>1</v>
      </c>
      <c r="O160" s="153">
        <v>1</v>
      </c>
      <c r="P160" s="18">
        <f t="shared" si="188"/>
        <v>7</v>
      </c>
    </row>
    <row r="161" spans="1:16" ht="15.6" x14ac:dyDescent="0.3">
      <c r="A161" s="653"/>
      <c r="B161" s="19" t="s">
        <v>49</v>
      </c>
      <c r="C161" s="11" t="s">
        <v>57</v>
      </c>
      <c r="D161" s="551"/>
      <c r="E161" s="4"/>
      <c r="F161" s="4"/>
      <c r="G161" s="4">
        <v>1</v>
      </c>
      <c r="H161" s="4">
        <v>2</v>
      </c>
      <c r="I161" s="4">
        <v>3</v>
      </c>
      <c r="J161" s="153"/>
      <c r="K161" s="4">
        <v>1</v>
      </c>
      <c r="L161" s="153">
        <v>2</v>
      </c>
      <c r="M161" s="153">
        <v>2</v>
      </c>
      <c r="N161" s="153">
        <v>3</v>
      </c>
      <c r="O161" s="153">
        <v>1</v>
      </c>
      <c r="P161" s="18">
        <f t="shared" si="188"/>
        <v>15</v>
      </c>
    </row>
    <row r="162" spans="1:16" ht="15.6" x14ac:dyDescent="0.3">
      <c r="A162" s="653"/>
      <c r="B162" s="19" t="s">
        <v>77</v>
      </c>
      <c r="C162" s="11" t="s">
        <v>57</v>
      </c>
      <c r="D162" s="551"/>
      <c r="E162" s="4"/>
      <c r="F162" s="4"/>
      <c r="G162" s="4"/>
      <c r="H162" s="4"/>
      <c r="I162" s="153"/>
      <c r="J162" s="153"/>
      <c r="K162" s="153"/>
      <c r="L162" s="153"/>
      <c r="M162" s="153"/>
      <c r="N162" s="153"/>
      <c r="O162" s="153"/>
      <c r="P162" s="18">
        <f t="shared" si="188"/>
        <v>0</v>
      </c>
    </row>
    <row r="163" spans="1:16" ht="15.6" x14ac:dyDescent="0.3">
      <c r="A163" s="653"/>
      <c r="B163" s="19" t="s">
        <v>69</v>
      </c>
      <c r="C163" s="11" t="s">
        <v>57</v>
      </c>
      <c r="D163" s="551"/>
      <c r="E163" s="4"/>
      <c r="F163" s="4"/>
      <c r="G163" s="4"/>
      <c r="H163" s="4"/>
      <c r="I163" s="153"/>
      <c r="J163" s="153"/>
      <c r="K163" s="153"/>
      <c r="L163" s="153"/>
      <c r="M163" s="153"/>
      <c r="N163" s="153"/>
      <c r="O163" s="153"/>
      <c r="P163" s="18">
        <f t="shared" si="188"/>
        <v>0</v>
      </c>
    </row>
    <row r="164" spans="1:16" ht="15.6" x14ac:dyDescent="0.3">
      <c r="A164" s="653"/>
      <c r="B164" s="19" t="s">
        <v>68</v>
      </c>
      <c r="C164" s="11" t="s">
        <v>57</v>
      </c>
      <c r="D164" s="4"/>
      <c r="E164" s="4"/>
      <c r="F164" s="4"/>
      <c r="G164" s="4"/>
      <c r="H164" s="4"/>
      <c r="I164" s="153"/>
      <c r="J164" s="153"/>
      <c r="K164" s="153"/>
      <c r="L164" s="153"/>
      <c r="M164" s="153"/>
      <c r="N164" s="153"/>
      <c r="O164" s="153"/>
      <c r="P164" s="18">
        <f t="shared" si="188"/>
        <v>0</v>
      </c>
    </row>
    <row r="165" spans="1:16" ht="15.6" x14ac:dyDescent="0.3">
      <c r="A165" s="654"/>
      <c r="B165" s="19" t="s">
        <v>76</v>
      </c>
      <c r="C165" s="11" t="s">
        <v>57</v>
      </c>
      <c r="D165" s="4"/>
      <c r="E165" s="4"/>
      <c r="F165" s="4"/>
      <c r="G165" s="4"/>
      <c r="H165" s="4"/>
      <c r="I165" s="153"/>
      <c r="J165" s="153"/>
      <c r="K165" s="153"/>
      <c r="L165" s="153"/>
      <c r="M165" s="153"/>
      <c r="N165" s="153"/>
      <c r="O165" s="153"/>
      <c r="P165" s="18">
        <f t="shared" si="188"/>
        <v>0</v>
      </c>
    </row>
    <row r="166" spans="1:16" ht="15.6" x14ac:dyDescent="0.3">
      <c r="A166" s="652" t="s">
        <v>75</v>
      </c>
      <c r="B166" s="21" t="s">
        <v>63</v>
      </c>
      <c r="C166" s="11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8"/>
    </row>
    <row r="167" spans="1:16" ht="15.6" x14ac:dyDescent="0.3">
      <c r="A167" s="653"/>
      <c r="B167" s="19" t="s">
        <v>74</v>
      </c>
      <c r="C167" s="11" t="s">
        <v>57</v>
      </c>
      <c r="D167" s="4"/>
      <c r="E167" s="4"/>
      <c r="F167" s="4">
        <v>1</v>
      </c>
      <c r="G167" s="4">
        <v>5</v>
      </c>
      <c r="H167" s="4">
        <v>2</v>
      </c>
      <c r="I167" s="153">
        <v>1</v>
      </c>
      <c r="J167" s="4">
        <v>1</v>
      </c>
      <c r="K167" s="4">
        <v>1</v>
      </c>
      <c r="L167" s="153">
        <v>4</v>
      </c>
      <c r="M167" s="153">
        <v>3</v>
      </c>
      <c r="N167" s="153">
        <v>2</v>
      </c>
      <c r="O167" s="153">
        <v>4</v>
      </c>
      <c r="P167" s="18">
        <f t="shared" ref="P167:P175" si="189">SUM(D167:O167)</f>
        <v>24</v>
      </c>
    </row>
    <row r="168" spans="1:16" ht="15.6" x14ac:dyDescent="0.3">
      <c r="A168" s="653"/>
      <c r="B168" s="19" t="s">
        <v>73</v>
      </c>
      <c r="C168" s="11" t="s">
        <v>57</v>
      </c>
      <c r="D168" s="4"/>
      <c r="E168" s="4"/>
      <c r="F168" s="4"/>
      <c r="G168" s="4">
        <v>2</v>
      </c>
      <c r="H168" s="4">
        <v>3</v>
      </c>
      <c r="I168" s="153">
        <v>4</v>
      </c>
      <c r="J168" s="153"/>
      <c r="K168" s="153"/>
      <c r="L168" s="153">
        <v>2</v>
      </c>
      <c r="M168" s="153">
        <v>1</v>
      </c>
      <c r="N168" s="153"/>
      <c r="O168" s="153">
        <v>2</v>
      </c>
      <c r="P168" s="18">
        <f t="shared" si="189"/>
        <v>14</v>
      </c>
    </row>
    <row r="169" spans="1:16" ht="15.6" x14ac:dyDescent="0.3">
      <c r="A169" s="653"/>
      <c r="B169" s="19" t="s">
        <v>72</v>
      </c>
      <c r="C169" s="11" t="s">
        <v>57</v>
      </c>
      <c r="D169" s="4"/>
      <c r="E169" s="4"/>
      <c r="F169" s="4"/>
      <c r="G169" s="4"/>
      <c r="H169" s="4"/>
      <c r="I169" s="153"/>
      <c r="J169" s="153"/>
      <c r="K169" s="153"/>
      <c r="L169" s="153"/>
      <c r="M169" s="153"/>
      <c r="N169" s="153"/>
      <c r="O169" s="153"/>
      <c r="P169" s="18">
        <f t="shared" si="189"/>
        <v>0</v>
      </c>
    </row>
    <row r="170" spans="1:16" ht="15.6" x14ac:dyDescent="0.3">
      <c r="A170" s="653"/>
      <c r="B170" s="19" t="s">
        <v>71</v>
      </c>
      <c r="C170" s="11" t="s">
        <v>57</v>
      </c>
      <c r="D170" s="4"/>
      <c r="E170" s="4"/>
      <c r="F170" s="4"/>
      <c r="G170" s="4"/>
      <c r="H170" s="4"/>
      <c r="I170" s="153"/>
      <c r="J170" s="153"/>
      <c r="K170" s="153"/>
      <c r="L170" s="153"/>
      <c r="M170" s="153"/>
      <c r="N170" s="153"/>
      <c r="O170" s="153"/>
      <c r="P170" s="18">
        <f t="shared" si="189"/>
        <v>0</v>
      </c>
    </row>
    <row r="171" spans="1:16" ht="15.6" x14ac:dyDescent="0.3">
      <c r="A171" s="653"/>
      <c r="B171" s="19" t="s">
        <v>52</v>
      </c>
      <c r="C171" s="11" t="s">
        <v>57</v>
      </c>
      <c r="D171" s="4"/>
      <c r="E171" s="4"/>
      <c r="F171" s="4"/>
      <c r="G171" s="4"/>
      <c r="H171" s="4"/>
      <c r="I171" s="153"/>
      <c r="J171" s="153"/>
      <c r="K171" s="153"/>
      <c r="L171" s="153"/>
      <c r="M171" s="153"/>
      <c r="N171" s="153"/>
      <c r="O171" s="153"/>
      <c r="P171" s="18">
        <f t="shared" si="189"/>
        <v>0</v>
      </c>
    </row>
    <row r="172" spans="1:16" ht="15.6" x14ac:dyDescent="0.3">
      <c r="A172" s="653"/>
      <c r="B172" s="19" t="s">
        <v>62</v>
      </c>
      <c r="C172" s="11" t="s">
        <v>57</v>
      </c>
      <c r="D172" s="4"/>
      <c r="E172" s="4"/>
      <c r="F172" s="4"/>
      <c r="G172" s="4"/>
      <c r="H172" s="4"/>
      <c r="I172" s="153"/>
      <c r="J172" s="153"/>
      <c r="K172" s="153"/>
      <c r="L172" s="153"/>
      <c r="M172" s="153"/>
      <c r="N172" s="153"/>
      <c r="O172" s="153"/>
      <c r="P172" s="18">
        <f t="shared" si="189"/>
        <v>0</v>
      </c>
    </row>
    <row r="173" spans="1:16" ht="15.6" x14ac:dyDescent="0.3">
      <c r="A173" s="653"/>
      <c r="B173" s="19" t="s">
        <v>61</v>
      </c>
      <c r="C173" s="11" t="s">
        <v>57</v>
      </c>
      <c r="D173" s="4"/>
      <c r="E173" s="4"/>
      <c r="F173" s="4"/>
      <c r="G173" s="4"/>
      <c r="H173" s="4"/>
      <c r="I173" s="153"/>
      <c r="J173" s="153"/>
      <c r="K173" s="153"/>
      <c r="L173" s="153"/>
      <c r="M173" s="153"/>
      <c r="N173" s="153"/>
      <c r="O173" s="153"/>
      <c r="P173" s="18">
        <f t="shared" si="189"/>
        <v>0</v>
      </c>
    </row>
    <row r="174" spans="1:16" ht="15.6" x14ac:dyDescent="0.3">
      <c r="A174" s="653"/>
      <c r="B174" s="19" t="s">
        <v>60</v>
      </c>
      <c r="C174" s="11" t="s">
        <v>57</v>
      </c>
      <c r="D174" s="4"/>
      <c r="E174" s="4"/>
      <c r="F174" s="4"/>
      <c r="G174" s="4"/>
      <c r="H174" s="4"/>
      <c r="I174" s="153"/>
      <c r="J174" s="153"/>
      <c r="K174" s="153"/>
      <c r="L174" s="153"/>
      <c r="M174" s="153"/>
      <c r="N174" s="153"/>
      <c r="O174" s="153"/>
      <c r="P174" s="18">
        <f t="shared" si="189"/>
        <v>0</v>
      </c>
    </row>
    <row r="175" spans="1:16" ht="15.6" x14ac:dyDescent="0.3">
      <c r="A175" s="654"/>
      <c r="B175" s="19" t="s">
        <v>69</v>
      </c>
      <c r="C175" s="11" t="s">
        <v>57</v>
      </c>
      <c r="D175" s="4"/>
      <c r="E175" s="4"/>
      <c r="F175" s="4"/>
      <c r="G175" s="4"/>
      <c r="H175" s="4"/>
      <c r="I175" s="153"/>
      <c r="J175" s="153"/>
      <c r="K175" s="153"/>
      <c r="L175" s="153"/>
      <c r="M175" s="153"/>
      <c r="N175" s="153"/>
      <c r="O175" s="153"/>
      <c r="P175" s="18">
        <f t="shared" si="189"/>
        <v>0</v>
      </c>
    </row>
    <row r="176" spans="1:16" ht="15.6" x14ac:dyDescent="0.3">
      <c r="A176" s="652" t="s">
        <v>70</v>
      </c>
      <c r="B176" s="21" t="s">
        <v>63</v>
      </c>
      <c r="C176" s="11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8"/>
    </row>
    <row r="177" spans="1:16" ht="15.6" x14ac:dyDescent="0.3">
      <c r="A177" s="653"/>
      <c r="B177" s="19" t="s">
        <v>60</v>
      </c>
      <c r="C177" s="11" t="s">
        <v>57</v>
      </c>
      <c r="D177" s="4"/>
      <c r="E177" s="4"/>
      <c r="F177" s="4"/>
      <c r="G177" s="4"/>
      <c r="H177" s="153"/>
      <c r="I177" s="153"/>
      <c r="J177" s="153"/>
      <c r="K177" s="153"/>
      <c r="L177" s="153"/>
      <c r="M177" s="153"/>
      <c r="N177" s="153"/>
      <c r="O177" s="153"/>
      <c r="P177" s="18">
        <f t="shared" ref="P177:P182" si="190">SUM(D177:O177)</f>
        <v>0</v>
      </c>
    </row>
    <row r="178" spans="1:16" ht="15.6" x14ac:dyDescent="0.3">
      <c r="A178" s="653"/>
      <c r="B178" s="19" t="s">
        <v>69</v>
      </c>
      <c r="C178" s="11" t="s">
        <v>57</v>
      </c>
      <c r="D178" s="4"/>
      <c r="E178" s="4"/>
      <c r="F178" s="4"/>
      <c r="G178" s="4"/>
      <c r="H178" s="153"/>
      <c r="I178" s="153"/>
      <c r="J178" s="153"/>
      <c r="K178" s="153"/>
      <c r="L178" s="153"/>
      <c r="M178" s="153"/>
      <c r="N178" s="153"/>
      <c r="O178" s="153"/>
      <c r="P178" s="18">
        <f t="shared" si="190"/>
        <v>0</v>
      </c>
    </row>
    <row r="179" spans="1:16" ht="15.6" x14ac:dyDescent="0.3">
      <c r="A179" s="653"/>
      <c r="B179" s="19" t="s">
        <v>68</v>
      </c>
      <c r="C179" s="11" t="s">
        <v>57</v>
      </c>
      <c r="D179" s="4"/>
      <c r="E179" s="4"/>
      <c r="F179" s="4"/>
      <c r="G179" s="4"/>
      <c r="H179" s="153"/>
      <c r="I179" s="153"/>
      <c r="J179" s="153"/>
      <c r="K179" s="153"/>
      <c r="L179" s="153"/>
      <c r="M179" s="153"/>
      <c r="N179" s="153"/>
      <c r="O179" s="153"/>
      <c r="P179" s="18">
        <f t="shared" si="190"/>
        <v>0</v>
      </c>
    </row>
    <row r="180" spans="1:16" ht="15.6" x14ac:dyDescent="0.3">
      <c r="A180" s="653"/>
      <c r="B180" s="19" t="s">
        <v>67</v>
      </c>
      <c r="C180" s="11" t="s">
        <v>57</v>
      </c>
      <c r="D180" s="4"/>
      <c r="E180" s="4"/>
      <c r="F180" s="4"/>
      <c r="G180" s="4"/>
      <c r="H180" s="153"/>
      <c r="I180" s="153"/>
      <c r="J180" s="153"/>
      <c r="K180" s="153"/>
      <c r="L180" s="153"/>
      <c r="M180" s="153"/>
      <c r="N180" s="153"/>
      <c r="O180" s="153"/>
      <c r="P180" s="18">
        <f t="shared" si="190"/>
        <v>0</v>
      </c>
    </row>
    <row r="181" spans="1:16" ht="15.6" x14ac:dyDescent="0.3">
      <c r="A181" s="653"/>
      <c r="B181" s="19" t="s">
        <v>66</v>
      </c>
      <c r="C181" s="11" t="s">
        <v>57</v>
      </c>
      <c r="D181" s="4"/>
      <c r="E181" s="4"/>
      <c r="F181" s="4"/>
      <c r="G181" s="4"/>
      <c r="H181" s="153"/>
      <c r="I181" s="153"/>
      <c r="J181" s="153"/>
      <c r="K181" s="153"/>
      <c r="L181" s="153"/>
      <c r="M181" s="153"/>
      <c r="N181" s="153"/>
      <c r="O181" s="153"/>
      <c r="P181" s="18">
        <f t="shared" si="190"/>
        <v>0</v>
      </c>
    </row>
    <row r="182" spans="1:16" ht="15.6" x14ac:dyDescent="0.3">
      <c r="A182" s="654"/>
      <c r="B182" s="19" t="s">
        <v>65</v>
      </c>
      <c r="C182" s="11" t="s">
        <v>57</v>
      </c>
      <c r="D182" s="4"/>
      <c r="E182" s="4"/>
      <c r="F182" s="4"/>
      <c r="G182" s="4"/>
      <c r="H182" s="153"/>
      <c r="I182" s="153"/>
      <c r="J182" s="153"/>
      <c r="K182" s="153"/>
      <c r="L182" s="153"/>
      <c r="M182" s="153"/>
      <c r="N182" s="153"/>
      <c r="O182" s="153"/>
      <c r="P182" s="18">
        <f t="shared" si="190"/>
        <v>0</v>
      </c>
    </row>
    <row r="183" spans="1:16" ht="15.6" x14ac:dyDescent="0.3">
      <c r="A183" s="652" t="s">
        <v>209</v>
      </c>
      <c r="B183" s="21" t="s">
        <v>63</v>
      </c>
      <c r="C183" s="11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8"/>
    </row>
    <row r="184" spans="1:16" ht="15.6" x14ac:dyDescent="0.3">
      <c r="A184" s="653"/>
      <c r="B184" s="19" t="s">
        <v>73</v>
      </c>
      <c r="C184" s="11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8">
        <f>SUM(D184:O184)</f>
        <v>0</v>
      </c>
    </row>
    <row r="185" spans="1:16" ht="15.6" x14ac:dyDescent="0.3">
      <c r="A185" s="653"/>
      <c r="B185" s="19" t="s">
        <v>72</v>
      </c>
      <c r="C185" s="11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8">
        <f>SUM(D185:O185)</f>
        <v>0</v>
      </c>
    </row>
    <row r="186" spans="1:16" ht="15.6" x14ac:dyDescent="0.3">
      <c r="A186" s="653"/>
      <c r="B186" s="19" t="s">
        <v>53</v>
      </c>
      <c r="C186" s="11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8">
        <f>SUM(D186:O186)</f>
        <v>0</v>
      </c>
    </row>
    <row r="187" spans="1:16" ht="15.6" x14ac:dyDescent="0.3">
      <c r="A187" s="654"/>
      <c r="B187" s="19" t="s">
        <v>52</v>
      </c>
      <c r="C187" s="11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8">
        <f>SUM(D187:O187)</f>
        <v>0</v>
      </c>
    </row>
    <row r="188" spans="1:16" ht="15.6" x14ac:dyDescent="0.3">
      <c r="A188" s="652" t="s">
        <v>64</v>
      </c>
      <c r="B188" s="21" t="s">
        <v>63</v>
      </c>
      <c r="C188" s="11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8"/>
    </row>
    <row r="189" spans="1:16" ht="15.6" x14ac:dyDescent="0.3">
      <c r="A189" s="653"/>
      <c r="B189" s="20" t="s">
        <v>52</v>
      </c>
      <c r="C189" s="11" t="s">
        <v>57</v>
      </c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8">
        <f>SUM(D189:O189)</f>
        <v>0</v>
      </c>
    </row>
    <row r="190" spans="1:16" ht="15.6" x14ac:dyDescent="0.3">
      <c r="A190" s="653"/>
      <c r="B190" s="19" t="s">
        <v>62</v>
      </c>
      <c r="C190" s="11" t="s">
        <v>57</v>
      </c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8">
        <f>SUM(D190:O190)</f>
        <v>0</v>
      </c>
    </row>
    <row r="191" spans="1:16" ht="15.6" x14ac:dyDescent="0.3">
      <c r="A191" s="653"/>
      <c r="B191" s="19" t="s">
        <v>61</v>
      </c>
      <c r="C191" s="11" t="s">
        <v>57</v>
      </c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8">
        <f>SUM(D191:O191)</f>
        <v>0</v>
      </c>
    </row>
    <row r="192" spans="1:16" ht="15.6" x14ac:dyDescent="0.3">
      <c r="A192" s="654"/>
      <c r="B192" s="19" t="s">
        <v>60</v>
      </c>
      <c r="C192" s="11" t="s">
        <v>57</v>
      </c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8">
        <f>SUM(D192:O192)</f>
        <v>0</v>
      </c>
    </row>
    <row r="193" spans="1:16" ht="15.6" x14ac:dyDescent="0.3">
      <c r="A193" s="84" t="s">
        <v>59</v>
      </c>
      <c r="B193" s="17"/>
      <c r="C193" s="11"/>
      <c r="D193" s="156">
        <f>SUM(D153:D192)</f>
        <v>8</v>
      </c>
      <c r="E193" s="156">
        <f t="shared" ref="E193:P193" si="191">SUM(E153:E192)</f>
        <v>5</v>
      </c>
      <c r="F193" s="156">
        <f t="shared" si="191"/>
        <v>22</v>
      </c>
      <c r="G193" s="156">
        <f t="shared" si="191"/>
        <v>23</v>
      </c>
      <c r="H193" s="156">
        <f t="shared" si="191"/>
        <v>25</v>
      </c>
      <c r="I193" s="156">
        <f t="shared" si="191"/>
        <v>22</v>
      </c>
      <c r="J193" s="156">
        <f t="shared" si="191"/>
        <v>22</v>
      </c>
      <c r="K193" s="156">
        <f t="shared" si="191"/>
        <v>22</v>
      </c>
      <c r="L193" s="156">
        <f t="shared" si="191"/>
        <v>20</v>
      </c>
      <c r="M193" s="156">
        <f t="shared" si="191"/>
        <v>31</v>
      </c>
      <c r="N193" s="156">
        <f t="shared" si="191"/>
        <v>28</v>
      </c>
      <c r="O193" s="156">
        <v>24</v>
      </c>
      <c r="P193" s="158">
        <f t="shared" si="191"/>
        <v>252</v>
      </c>
    </row>
    <row r="194" spans="1:16" ht="15.6" x14ac:dyDescent="0.3">
      <c r="A194" s="658" t="s">
        <v>58</v>
      </c>
      <c r="B194" s="659"/>
      <c r="C194" s="11" t="s">
        <v>57</v>
      </c>
      <c r="D194" s="4"/>
      <c r="E194" s="4"/>
      <c r="F194" s="4"/>
      <c r="G194" s="4"/>
      <c r="H194" s="153"/>
      <c r="I194" s="153"/>
      <c r="J194" s="153"/>
      <c r="K194" s="153"/>
      <c r="L194" s="153"/>
      <c r="M194" s="153"/>
      <c r="N194" s="153"/>
      <c r="O194" s="153"/>
      <c r="P194" s="18">
        <f>SUM(D194:O194)</f>
        <v>0</v>
      </c>
    </row>
    <row r="195" spans="1:16" ht="15.6" x14ac:dyDescent="0.3">
      <c r="A195" s="660"/>
      <c r="B195" s="661"/>
      <c r="C195" s="16" t="s">
        <v>55</v>
      </c>
      <c r="D195" s="4"/>
      <c r="E195" s="4"/>
      <c r="F195" s="4"/>
      <c r="G195" s="4"/>
      <c r="H195" s="153"/>
      <c r="I195" s="153"/>
      <c r="J195" s="153"/>
      <c r="K195" s="153"/>
      <c r="L195" s="153"/>
      <c r="M195" s="153"/>
      <c r="N195" s="153"/>
      <c r="O195" s="153"/>
      <c r="P195" s="18">
        <f>SUM(D195:O195)</f>
        <v>0</v>
      </c>
    </row>
    <row r="196" spans="1:16" ht="15.6" x14ac:dyDescent="0.3">
      <c r="A196" s="85" t="s">
        <v>202</v>
      </c>
      <c r="B196" s="86"/>
      <c r="C196" s="16" t="s">
        <v>55</v>
      </c>
      <c r="D196" s="4">
        <v>23</v>
      </c>
      <c r="E196" s="4">
        <v>24</v>
      </c>
      <c r="F196" s="4">
        <v>24</v>
      </c>
      <c r="G196" s="4">
        <v>24</v>
      </c>
      <c r="H196" s="153"/>
      <c r="I196" s="4">
        <v>24</v>
      </c>
      <c r="J196" s="153"/>
      <c r="K196" s="153"/>
      <c r="L196" s="153"/>
      <c r="M196" s="153"/>
      <c r="N196" s="153">
        <v>21</v>
      </c>
      <c r="O196" s="153"/>
      <c r="P196" s="18">
        <f>SUM(D196:O196)/12</f>
        <v>11.666666666666666</v>
      </c>
    </row>
    <row r="197" spans="1:16" ht="15.6" x14ac:dyDescent="0.3">
      <c r="A197" s="591" t="s">
        <v>56</v>
      </c>
      <c r="B197" s="592"/>
      <c r="C197" s="16" t="s">
        <v>55</v>
      </c>
      <c r="D197" s="4"/>
      <c r="E197" s="4"/>
      <c r="F197" s="4"/>
      <c r="G197" s="4"/>
      <c r="H197" s="153"/>
      <c r="I197" s="153"/>
      <c r="J197" s="153"/>
      <c r="K197" s="153"/>
      <c r="L197" s="153"/>
      <c r="M197" s="153"/>
      <c r="N197" s="153">
        <v>72</v>
      </c>
      <c r="O197" s="153"/>
      <c r="P197" s="18">
        <f>SUM(D197:O197)</f>
        <v>72</v>
      </c>
    </row>
    <row r="198" spans="1:16" x14ac:dyDescent="0.3">
      <c r="A198" s="595" t="s">
        <v>203</v>
      </c>
      <c r="B198" s="596"/>
      <c r="C198" s="596"/>
      <c r="D198" s="596"/>
      <c r="E198" s="596"/>
      <c r="F198" s="596"/>
      <c r="G198" s="596"/>
      <c r="H198" s="596"/>
      <c r="I198" s="596"/>
      <c r="J198" s="596"/>
      <c r="K198" s="596"/>
      <c r="L198" s="596"/>
      <c r="M198" s="596"/>
      <c r="N198" s="596"/>
      <c r="O198" s="596"/>
      <c r="P198" s="597"/>
    </row>
    <row r="199" spans="1:16" ht="15.6" x14ac:dyDescent="0.3">
      <c r="A199" s="658" t="s">
        <v>54</v>
      </c>
      <c r="B199" s="79" t="s">
        <v>53</v>
      </c>
      <c r="C199" s="11" t="s">
        <v>47</v>
      </c>
      <c r="D199" s="4"/>
      <c r="E199" s="4"/>
      <c r="F199" s="4"/>
      <c r="G199" s="4"/>
      <c r="H199" s="4"/>
      <c r="I199" s="4">
        <v>72</v>
      </c>
      <c r="J199" s="4"/>
      <c r="K199" s="4"/>
      <c r="L199" s="4"/>
      <c r="M199" s="4"/>
      <c r="N199" s="4"/>
      <c r="O199" s="4"/>
      <c r="P199" s="9">
        <f t="shared" ref="P199:P204" si="192">SUM(D199:O199)</f>
        <v>72</v>
      </c>
    </row>
    <row r="200" spans="1:16" ht="15.6" x14ac:dyDescent="0.3">
      <c r="A200" s="662"/>
      <c r="B200" s="79" t="s">
        <v>52</v>
      </c>
      <c r="C200" s="11" t="s">
        <v>47</v>
      </c>
      <c r="D200" s="4"/>
      <c r="E200" s="4"/>
      <c r="F200" s="4"/>
      <c r="G200" s="4"/>
      <c r="H200" s="4"/>
      <c r="I200" s="4"/>
      <c r="J200" s="4"/>
      <c r="K200" s="4"/>
      <c r="L200" s="4">
        <v>210</v>
      </c>
      <c r="M200" s="4">
        <v>222</v>
      </c>
      <c r="N200" s="4"/>
      <c r="O200" s="4"/>
      <c r="P200" s="9">
        <f t="shared" si="192"/>
        <v>432</v>
      </c>
    </row>
    <row r="201" spans="1:16" ht="15.6" x14ac:dyDescent="0.3">
      <c r="A201" s="662"/>
      <c r="B201" s="79" t="s">
        <v>51</v>
      </c>
      <c r="C201" s="11" t="s">
        <v>47</v>
      </c>
      <c r="D201" s="4"/>
      <c r="E201" s="4"/>
      <c r="F201" s="4"/>
      <c r="G201" s="4">
        <f>27*6</f>
        <v>162</v>
      </c>
      <c r="H201" s="4"/>
      <c r="I201" s="4"/>
      <c r="J201" s="4"/>
      <c r="K201" s="4">
        <v>180</v>
      </c>
      <c r="L201" s="4"/>
      <c r="M201" s="4"/>
      <c r="N201" s="4"/>
      <c r="O201" s="4">
        <v>300</v>
      </c>
      <c r="P201" s="9">
        <f t="shared" si="192"/>
        <v>642</v>
      </c>
    </row>
    <row r="202" spans="1:16" ht="15.6" x14ac:dyDescent="0.3">
      <c r="A202" s="662"/>
      <c r="B202" s="79" t="s">
        <v>50</v>
      </c>
      <c r="C202" s="11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192"/>
        <v>0</v>
      </c>
    </row>
    <row r="203" spans="1:16" ht="15.6" x14ac:dyDescent="0.3">
      <c r="A203" s="660"/>
      <c r="B203" s="79" t="s">
        <v>49</v>
      </c>
      <c r="C203" s="11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192"/>
        <v>0</v>
      </c>
    </row>
    <row r="204" spans="1:16" ht="15.6" x14ac:dyDescent="0.3">
      <c r="A204" s="83" t="s">
        <v>48</v>
      </c>
      <c r="B204" s="79"/>
      <c r="C204" s="11" t="s">
        <v>47</v>
      </c>
      <c r="D204" s="15">
        <f t="shared" ref="D204:N204" si="193">SUM(D199:D203)</f>
        <v>0</v>
      </c>
      <c r="E204" s="15">
        <f t="shared" si="193"/>
        <v>0</v>
      </c>
      <c r="F204" s="15">
        <f t="shared" si="193"/>
        <v>0</v>
      </c>
      <c r="G204" s="15">
        <f t="shared" si="193"/>
        <v>162</v>
      </c>
      <c r="H204" s="15">
        <f t="shared" si="193"/>
        <v>0</v>
      </c>
      <c r="I204" s="15">
        <f t="shared" si="193"/>
        <v>72</v>
      </c>
      <c r="J204" s="15">
        <f t="shared" si="193"/>
        <v>0</v>
      </c>
      <c r="K204" s="15">
        <f t="shared" si="193"/>
        <v>180</v>
      </c>
      <c r="L204" s="15">
        <f t="shared" si="193"/>
        <v>210</v>
      </c>
      <c r="M204" s="15">
        <f t="shared" si="193"/>
        <v>222</v>
      </c>
      <c r="N204" s="15">
        <f t="shared" si="193"/>
        <v>0</v>
      </c>
      <c r="O204" s="15">
        <v>300</v>
      </c>
      <c r="P204" s="111">
        <f t="shared" si="192"/>
        <v>1146</v>
      </c>
    </row>
    <row r="205" spans="1:16" s="2" customFormat="1" x14ac:dyDescent="0.3">
      <c r="A205" s="595" t="s">
        <v>46</v>
      </c>
      <c r="B205" s="596"/>
      <c r="C205" s="596"/>
      <c r="D205" s="596"/>
      <c r="E205" s="596"/>
      <c r="F205" s="596"/>
      <c r="G205" s="596"/>
      <c r="H205" s="596"/>
      <c r="I205" s="596"/>
      <c r="J205" s="596"/>
      <c r="K205" s="596"/>
      <c r="L205" s="596"/>
      <c r="M205" s="596"/>
      <c r="N205" s="596"/>
      <c r="O205" s="596"/>
      <c r="P205" s="597"/>
    </row>
    <row r="206" spans="1:16" ht="15.6" x14ac:dyDescent="0.3">
      <c r="A206" s="591" t="s">
        <v>43</v>
      </c>
      <c r="B206" s="592"/>
      <c r="C206" s="11" t="s">
        <v>31</v>
      </c>
      <c r="D206" s="551">
        <v>109110</v>
      </c>
      <c r="E206" s="13">
        <v>311800</v>
      </c>
      <c r="F206" s="13">
        <v>318910</v>
      </c>
      <c r="G206" s="13">
        <v>347050</v>
      </c>
      <c r="H206" s="13">
        <v>392900</v>
      </c>
      <c r="I206" s="13">
        <v>480500</v>
      </c>
      <c r="J206" s="13">
        <v>221950</v>
      </c>
      <c r="K206" s="13">
        <v>1494883</v>
      </c>
      <c r="L206" s="13">
        <v>531160</v>
      </c>
      <c r="M206" s="13">
        <v>743250</v>
      </c>
      <c r="N206" s="13">
        <v>727050</v>
      </c>
      <c r="O206" s="13">
        <v>1219770</v>
      </c>
      <c r="P206" s="9">
        <f>SUM(D206:O206)</f>
        <v>6898333</v>
      </c>
    </row>
    <row r="207" spans="1:16" ht="15.6" x14ac:dyDescent="0.3">
      <c r="A207" s="591" t="s">
        <v>42</v>
      </c>
      <c r="B207" s="592"/>
      <c r="C207" s="11" t="s">
        <v>31</v>
      </c>
      <c r="D207" s="551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9">
        <f>SUM(D207:O207)</f>
        <v>0</v>
      </c>
    </row>
    <row r="208" spans="1:16" ht="15.6" x14ac:dyDescent="0.3">
      <c r="A208" s="598" t="s">
        <v>41</v>
      </c>
      <c r="B208" s="599"/>
      <c r="C208" s="11" t="s">
        <v>31</v>
      </c>
      <c r="D208" s="551"/>
      <c r="E208" s="13"/>
      <c r="F208" s="13">
        <v>40000</v>
      </c>
      <c r="G208" s="13">
        <v>70000</v>
      </c>
      <c r="H208" s="13">
        <v>10000</v>
      </c>
      <c r="I208" s="13"/>
      <c r="J208" s="13"/>
      <c r="K208" s="13"/>
      <c r="L208" s="13"/>
      <c r="M208" s="13"/>
      <c r="N208" s="13"/>
      <c r="O208" s="13">
        <v>73424</v>
      </c>
      <c r="P208" s="9">
        <f>SUM(D208:O208)</f>
        <v>193424</v>
      </c>
    </row>
    <row r="209" spans="1:16" ht="15.6" x14ac:dyDescent="0.3">
      <c r="A209" s="591" t="s">
        <v>40</v>
      </c>
      <c r="B209" s="592"/>
      <c r="C209" s="11" t="s">
        <v>31</v>
      </c>
      <c r="D209" s="551"/>
      <c r="E209" s="13"/>
      <c r="F209" s="13">
        <v>16143</v>
      </c>
      <c r="G209" s="13"/>
      <c r="H209" s="165"/>
      <c r="I209" s="13"/>
      <c r="J209" s="13"/>
      <c r="K209" s="13">
        <v>47000</v>
      </c>
      <c r="L209" s="13"/>
      <c r="M209" s="13">
        <v>48695</v>
      </c>
      <c r="N209" s="13"/>
      <c r="O209" s="13">
        <v>46800</v>
      </c>
      <c r="P209" s="9">
        <f>SUM(D209:O209)</f>
        <v>158638</v>
      </c>
    </row>
    <row r="210" spans="1:16" ht="15.6" x14ac:dyDescent="0.3">
      <c r="A210" s="656" t="s">
        <v>45</v>
      </c>
      <c r="B210" s="657"/>
      <c r="C210" s="11" t="s">
        <v>31</v>
      </c>
      <c r="D210" s="10">
        <f t="shared" ref="D210:N210" si="194">SUM(D206:D209)</f>
        <v>109110</v>
      </c>
      <c r="E210" s="10">
        <f t="shared" si="194"/>
        <v>311800</v>
      </c>
      <c r="F210" s="10">
        <f t="shared" si="194"/>
        <v>375053</v>
      </c>
      <c r="G210" s="10">
        <f t="shared" si="194"/>
        <v>417050</v>
      </c>
      <c r="H210" s="10">
        <f t="shared" si="194"/>
        <v>402900</v>
      </c>
      <c r="I210" s="10">
        <f t="shared" si="194"/>
        <v>480500</v>
      </c>
      <c r="J210" s="10">
        <f t="shared" si="194"/>
        <v>221950</v>
      </c>
      <c r="K210" s="10">
        <f t="shared" si="194"/>
        <v>1541883</v>
      </c>
      <c r="L210" s="10">
        <f t="shared" si="194"/>
        <v>531160</v>
      </c>
      <c r="M210" s="10">
        <f t="shared" si="194"/>
        <v>791945</v>
      </c>
      <c r="N210" s="10">
        <f t="shared" si="194"/>
        <v>727050</v>
      </c>
      <c r="O210" s="10">
        <v>1339994</v>
      </c>
      <c r="P210" s="9">
        <f>SUM(D210:O210)</f>
        <v>7250395</v>
      </c>
    </row>
    <row r="211" spans="1:16" s="2" customFormat="1" x14ac:dyDescent="0.3">
      <c r="A211" s="595" t="s">
        <v>44</v>
      </c>
      <c r="B211" s="596"/>
      <c r="C211" s="596"/>
      <c r="D211" s="596"/>
      <c r="E211" s="596"/>
      <c r="F211" s="596"/>
      <c r="G211" s="596"/>
      <c r="H211" s="596"/>
      <c r="I211" s="596"/>
      <c r="J211" s="596"/>
      <c r="K211" s="596"/>
      <c r="L211" s="596"/>
      <c r="M211" s="596"/>
      <c r="N211" s="596"/>
      <c r="O211" s="596"/>
      <c r="P211" s="597"/>
    </row>
    <row r="212" spans="1:16" ht="15.6" x14ac:dyDescent="0.3">
      <c r="A212" s="591" t="s">
        <v>43</v>
      </c>
      <c r="B212" s="592"/>
      <c r="C212" s="11" t="s">
        <v>31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9">
        <f>SUM(D212:O212)</f>
        <v>0</v>
      </c>
    </row>
    <row r="213" spans="1:16" ht="15.6" x14ac:dyDescent="0.3">
      <c r="A213" s="591" t="s">
        <v>42</v>
      </c>
      <c r="B213" s="592"/>
      <c r="C213" s="11" t="s">
        <v>31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9">
        <f>SUM(D213:O213)</f>
        <v>0</v>
      </c>
    </row>
    <row r="214" spans="1:16" ht="15.6" x14ac:dyDescent="0.3">
      <c r="A214" s="598" t="s">
        <v>41</v>
      </c>
      <c r="B214" s="599"/>
      <c r="C214" s="11" t="s">
        <v>31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9">
        <f>SUM(D214:O214)</f>
        <v>0</v>
      </c>
    </row>
    <row r="215" spans="1:16" ht="15.6" x14ac:dyDescent="0.3">
      <c r="A215" s="591" t="s">
        <v>40</v>
      </c>
      <c r="B215" s="592"/>
      <c r="C215" s="11" t="s">
        <v>31</v>
      </c>
      <c r="D215" s="551">
        <v>1399700</v>
      </c>
      <c r="E215" s="13">
        <v>1593950</v>
      </c>
      <c r="F215" s="13">
        <v>1932195</v>
      </c>
      <c r="G215" s="13">
        <v>2104089</v>
      </c>
      <c r="H215" s="13">
        <v>1926600</v>
      </c>
      <c r="I215" s="13">
        <v>2157150</v>
      </c>
      <c r="J215" s="13">
        <v>1941236</v>
      </c>
      <c r="K215" s="13">
        <v>2229921</v>
      </c>
      <c r="L215" s="13">
        <v>2052577</v>
      </c>
      <c r="M215" s="13">
        <v>1782755</v>
      </c>
      <c r="N215" s="13">
        <v>1532975</v>
      </c>
      <c r="O215" s="13">
        <v>1615499</v>
      </c>
      <c r="P215" s="9">
        <f>SUM(D215:O215)</f>
        <v>22268647</v>
      </c>
    </row>
    <row r="216" spans="1:16" ht="15.6" x14ac:dyDescent="0.3">
      <c r="A216" s="656" t="s">
        <v>39</v>
      </c>
      <c r="B216" s="657"/>
      <c r="C216" s="11" t="s">
        <v>31</v>
      </c>
      <c r="D216" s="10">
        <f t="shared" ref="D216:N216" si="195">SUM(D212:D215)</f>
        <v>1399700</v>
      </c>
      <c r="E216" s="10">
        <f t="shared" si="195"/>
        <v>1593950</v>
      </c>
      <c r="F216" s="10">
        <f t="shared" si="195"/>
        <v>1932195</v>
      </c>
      <c r="G216" s="10">
        <f t="shared" si="195"/>
        <v>2104089</v>
      </c>
      <c r="H216" s="10">
        <f t="shared" si="195"/>
        <v>1926600</v>
      </c>
      <c r="I216" s="10">
        <f t="shared" si="195"/>
        <v>2157150</v>
      </c>
      <c r="J216" s="10">
        <f t="shared" si="195"/>
        <v>1941236</v>
      </c>
      <c r="K216" s="10">
        <f t="shared" si="195"/>
        <v>2229921</v>
      </c>
      <c r="L216" s="10">
        <f t="shared" si="195"/>
        <v>2052577</v>
      </c>
      <c r="M216" s="10">
        <f t="shared" si="195"/>
        <v>1782755</v>
      </c>
      <c r="N216" s="10">
        <f t="shared" si="195"/>
        <v>1532975</v>
      </c>
      <c r="O216" s="10">
        <v>1615499</v>
      </c>
      <c r="P216" s="9">
        <f>SUM(D216:O216)</f>
        <v>22268647</v>
      </c>
    </row>
    <row r="217" spans="1:16" s="2" customFormat="1" ht="15.6" x14ac:dyDescent="0.3">
      <c r="A217" s="76" t="s">
        <v>38</v>
      </c>
      <c r="B217" s="77"/>
      <c r="C217" s="11" t="s">
        <v>31</v>
      </c>
      <c r="D217" s="10">
        <f>D210+D216</f>
        <v>1508810</v>
      </c>
      <c r="E217" s="10">
        <f t="shared" ref="E217:P217" si="196">E210+E216</f>
        <v>1905750</v>
      </c>
      <c r="F217" s="10">
        <f t="shared" si="196"/>
        <v>2307248</v>
      </c>
      <c r="G217" s="10">
        <f t="shared" si="196"/>
        <v>2521139</v>
      </c>
      <c r="H217" s="10">
        <f t="shared" si="196"/>
        <v>2329500</v>
      </c>
      <c r="I217" s="10">
        <f t="shared" si="196"/>
        <v>2637650</v>
      </c>
      <c r="J217" s="10">
        <f t="shared" si="196"/>
        <v>2163186</v>
      </c>
      <c r="K217" s="10">
        <f t="shared" si="196"/>
        <v>3771804</v>
      </c>
      <c r="L217" s="10">
        <f t="shared" si="196"/>
        <v>2583737</v>
      </c>
      <c r="M217" s="10">
        <f t="shared" si="196"/>
        <v>2574700</v>
      </c>
      <c r="N217" s="10">
        <f t="shared" si="196"/>
        <v>2260025</v>
      </c>
      <c r="O217" s="10">
        <v>2955493</v>
      </c>
      <c r="P217" s="40">
        <f t="shared" si="196"/>
        <v>29519042</v>
      </c>
    </row>
    <row r="218" spans="1:16" s="2" customFormat="1" x14ac:dyDescent="0.3">
      <c r="A218" s="595" t="s">
        <v>37</v>
      </c>
      <c r="B218" s="596"/>
      <c r="C218" s="596"/>
      <c r="D218" s="596"/>
      <c r="E218" s="596"/>
      <c r="F218" s="596"/>
      <c r="G218" s="596"/>
      <c r="H218" s="596"/>
      <c r="I218" s="596"/>
      <c r="J218" s="596"/>
      <c r="K218" s="596"/>
      <c r="L218" s="596"/>
      <c r="M218" s="596"/>
      <c r="N218" s="596"/>
      <c r="O218" s="596"/>
      <c r="P218" s="597"/>
    </row>
    <row r="219" spans="1:16" ht="15.6" x14ac:dyDescent="0.3">
      <c r="A219" s="591" t="s">
        <v>35</v>
      </c>
      <c r="B219" s="592"/>
      <c r="C219" s="11" t="s">
        <v>31</v>
      </c>
      <c r="D219" s="551">
        <v>199023.32</v>
      </c>
      <c r="E219" s="13">
        <v>330340.67</v>
      </c>
      <c r="F219" s="13">
        <v>467335</v>
      </c>
      <c r="G219" s="13">
        <v>509750</v>
      </c>
      <c r="H219" s="13">
        <v>675609</v>
      </c>
      <c r="I219" s="13">
        <v>1250173</v>
      </c>
      <c r="J219" s="13">
        <v>927588.66</v>
      </c>
      <c r="K219" s="13">
        <v>952979</v>
      </c>
      <c r="L219" s="13">
        <v>1179829</v>
      </c>
      <c r="M219" s="13">
        <v>1028382.94</v>
      </c>
      <c r="N219" s="13">
        <v>1087973</v>
      </c>
      <c r="O219" s="13">
        <v>1038300</v>
      </c>
      <c r="P219" s="9">
        <f>SUM(D219:O219)</f>
        <v>9647283.5899999999</v>
      </c>
    </row>
    <row r="220" spans="1:16" ht="15.6" x14ac:dyDescent="0.3">
      <c r="A220" s="591" t="s">
        <v>34</v>
      </c>
      <c r="B220" s="592"/>
      <c r="C220" s="11" t="s">
        <v>31</v>
      </c>
      <c r="D220" s="551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9">
        <f>SUM(D220:O220)</f>
        <v>0</v>
      </c>
    </row>
    <row r="221" spans="1:16" ht="15.6" x14ac:dyDescent="0.3">
      <c r="A221" s="591" t="s">
        <v>33</v>
      </c>
      <c r="B221" s="592"/>
      <c r="C221" s="11" t="s">
        <v>31</v>
      </c>
      <c r="D221" s="551"/>
      <c r="E221" s="13"/>
      <c r="F221" s="13">
        <v>10067</v>
      </c>
      <c r="G221" s="13">
        <v>15293</v>
      </c>
      <c r="H221" s="13">
        <v>30585</v>
      </c>
      <c r="I221" s="13">
        <v>38232</v>
      </c>
      <c r="J221" s="13">
        <v>38231.800000000003</v>
      </c>
      <c r="K221" s="13">
        <v>38232</v>
      </c>
      <c r="L221" s="13">
        <v>22939</v>
      </c>
      <c r="M221" s="13">
        <v>25359.23</v>
      </c>
      <c r="N221" s="13">
        <v>42686</v>
      </c>
      <c r="O221" s="13">
        <v>42686</v>
      </c>
      <c r="P221" s="9">
        <f>SUM(D221:O221)</f>
        <v>304311.03000000003</v>
      </c>
    </row>
    <row r="222" spans="1:16" ht="15.6" x14ac:dyDescent="0.3">
      <c r="A222" s="591" t="s">
        <v>32</v>
      </c>
      <c r="B222" s="592"/>
      <c r="C222" s="11" t="s">
        <v>31</v>
      </c>
      <c r="D222" s="551">
        <v>16350.84</v>
      </c>
      <c r="E222" s="13">
        <v>33759.82</v>
      </c>
      <c r="F222" s="13">
        <v>70404</v>
      </c>
      <c r="G222" s="13">
        <v>50627</v>
      </c>
      <c r="H222" s="13">
        <v>36838</v>
      </c>
      <c r="I222" s="13">
        <v>55283</v>
      </c>
      <c r="J222" s="13">
        <v>27604.12</v>
      </c>
      <c r="K222" s="13">
        <v>33760</v>
      </c>
      <c r="L222" s="13"/>
      <c r="M222" s="13"/>
      <c r="N222" s="13"/>
      <c r="O222" s="13">
        <v>35334</v>
      </c>
      <c r="P222" s="9">
        <f>SUM(D222:O222)</f>
        <v>359960.78</v>
      </c>
    </row>
    <row r="223" spans="1:16" ht="15.6" x14ac:dyDescent="0.3">
      <c r="A223" s="656" t="s">
        <v>36</v>
      </c>
      <c r="B223" s="657"/>
      <c r="C223" s="11" t="s">
        <v>31</v>
      </c>
      <c r="D223" s="12">
        <f t="shared" ref="D223:N223" si="197">SUM(D219:D222)</f>
        <v>215374.16</v>
      </c>
      <c r="E223" s="10">
        <f t="shared" si="197"/>
        <v>364100.49</v>
      </c>
      <c r="F223" s="10">
        <f t="shared" si="197"/>
        <v>547806</v>
      </c>
      <c r="G223" s="10">
        <f t="shared" si="197"/>
        <v>575670</v>
      </c>
      <c r="H223" s="10">
        <f t="shared" si="197"/>
        <v>743032</v>
      </c>
      <c r="I223" s="10">
        <f t="shared" si="197"/>
        <v>1343688</v>
      </c>
      <c r="J223" s="14">
        <f t="shared" si="197"/>
        <v>993424.58000000007</v>
      </c>
      <c r="K223" s="14">
        <f t="shared" si="197"/>
        <v>1024971</v>
      </c>
      <c r="L223" s="14">
        <f t="shared" si="197"/>
        <v>1202768</v>
      </c>
      <c r="M223" s="14">
        <f t="shared" si="197"/>
        <v>1053742.17</v>
      </c>
      <c r="N223" s="14">
        <f t="shared" si="197"/>
        <v>1130659</v>
      </c>
      <c r="O223" s="14">
        <v>1116320</v>
      </c>
      <c r="P223" s="9">
        <f>SUM(D223:O223)</f>
        <v>10311555.4</v>
      </c>
    </row>
    <row r="224" spans="1:16" x14ac:dyDescent="0.3">
      <c r="A224" s="595" t="s">
        <v>211</v>
      </c>
      <c r="B224" s="596"/>
      <c r="C224" s="596"/>
      <c r="D224" s="596"/>
      <c r="E224" s="596"/>
      <c r="F224" s="596"/>
      <c r="G224" s="596"/>
      <c r="H224" s="596"/>
      <c r="I224" s="596"/>
      <c r="J224" s="596"/>
      <c r="K224" s="596"/>
      <c r="L224" s="596"/>
      <c r="M224" s="596"/>
      <c r="N224" s="596"/>
      <c r="O224" s="596"/>
      <c r="P224" s="597"/>
    </row>
    <row r="225" spans="1:16" ht="15.6" x14ac:dyDescent="0.3">
      <c r="A225" s="591" t="s">
        <v>35</v>
      </c>
      <c r="B225" s="592"/>
      <c r="C225" s="11" t="s">
        <v>31</v>
      </c>
      <c r="D225" s="55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9">
        <f t="shared" ref="P225:P230" si="198">SUM(D225:O225)</f>
        <v>0</v>
      </c>
    </row>
    <row r="226" spans="1:16" ht="15.6" x14ac:dyDescent="0.3">
      <c r="A226" s="591" t="s">
        <v>34</v>
      </c>
      <c r="B226" s="592"/>
      <c r="C226" s="11" t="s">
        <v>31</v>
      </c>
      <c r="D226" s="55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9">
        <f t="shared" si="198"/>
        <v>0</v>
      </c>
    </row>
    <row r="227" spans="1:16" ht="15.6" x14ac:dyDescent="0.3">
      <c r="A227" s="591" t="s">
        <v>33</v>
      </c>
      <c r="B227" s="592"/>
      <c r="C227" s="11" t="s">
        <v>31</v>
      </c>
      <c r="D227" s="553">
        <v>1399700</v>
      </c>
      <c r="E227" s="13">
        <v>1593950</v>
      </c>
      <c r="F227" s="13">
        <v>1932195</v>
      </c>
      <c r="G227" s="13">
        <v>2104089</v>
      </c>
      <c r="H227" s="13">
        <v>1926600</v>
      </c>
      <c r="I227" s="13">
        <v>2157150</v>
      </c>
      <c r="J227" s="13">
        <v>1941236</v>
      </c>
      <c r="K227" s="13">
        <v>2229921</v>
      </c>
      <c r="L227" s="13">
        <v>2052577</v>
      </c>
      <c r="M227" s="13">
        <v>1782755</v>
      </c>
      <c r="N227" s="13">
        <v>1532975</v>
      </c>
      <c r="O227" s="13">
        <v>1615499</v>
      </c>
      <c r="P227" s="9">
        <f t="shared" si="198"/>
        <v>22268647</v>
      </c>
    </row>
    <row r="228" spans="1:16" ht="15.6" x14ac:dyDescent="0.3">
      <c r="A228" s="591" t="s">
        <v>32</v>
      </c>
      <c r="B228" s="592"/>
      <c r="C228" s="11" t="s">
        <v>31</v>
      </c>
      <c r="D228" s="551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9">
        <f t="shared" si="198"/>
        <v>0</v>
      </c>
    </row>
    <row r="229" spans="1:16" ht="15.6" x14ac:dyDescent="0.3">
      <c r="A229" s="656" t="s">
        <v>212</v>
      </c>
      <c r="B229" s="657"/>
      <c r="C229" s="11" t="s">
        <v>31</v>
      </c>
      <c r="D229" s="12">
        <f t="shared" ref="D229:N229" si="199">SUM(D225:D228)</f>
        <v>1399700</v>
      </c>
      <c r="E229" s="10">
        <f t="shared" si="199"/>
        <v>1593950</v>
      </c>
      <c r="F229" s="10">
        <f t="shared" si="199"/>
        <v>1932195</v>
      </c>
      <c r="G229" s="10">
        <f t="shared" si="199"/>
        <v>2104089</v>
      </c>
      <c r="H229" s="10">
        <f t="shared" si="199"/>
        <v>1926600</v>
      </c>
      <c r="I229" s="10">
        <f t="shared" si="199"/>
        <v>2157150</v>
      </c>
      <c r="J229" s="14">
        <f t="shared" si="199"/>
        <v>1941236</v>
      </c>
      <c r="K229" s="14">
        <f t="shared" si="199"/>
        <v>2229921</v>
      </c>
      <c r="L229" s="14">
        <f t="shared" si="199"/>
        <v>2052577</v>
      </c>
      <c r="M229" s="14">
        <f t="shared" si="199"/>
        <v>1782755</v>
      </c>
      <c r="N229" s="14">
        <f t="shared" si="199"/>
        <v>1532975</v>
      </c>
      <c r="O229" s="14">
        <v>1615499</v>
      </c>
      <c r="P229" s="9">
        <f t="shared" si="198"/>
        <v>22268647</v>
      </c>
    </row>
    <row r="230" spans="1:16" ht="15.6" x14ac:dyDescent="0.3">
      <c r="A230" s="76" t="s">
        <v>213</v>
      </c>
      <c r="B230" s="120"/>
      <c r="C230" s="11" t="s">
        <v>31</v>
      </c>
      <c r="D230" s="12">
        <f>D223+D229</f>
        <v>1615074.16</v>
      </c>
      <c r="E230" s="12">
        <f t="shared" ref="E230:N230" si="200">E223+E229</f>
        <v>1958050.49</v>
      </c>
      <c r="F230" s="12">
        <f t="shared" si="200"/>
        <v>2480001</v>
      </c>
      <c r="G230" s="12">
        <f t="shared" si="200"/>
        <v>2679759</v>
      </c>
      <c r="H230" s="12">
        <f t="shared" si="200"/>
        <v>2669632</v>
      </c>
      <c r="I230" s="12">
        <f t="shared" si="200"/>
        <v>3500838</v>
      </c>
      <c r="J230" s="12">
        <f t="shared" si="200"/>
        <v>2934660.58</v>
      </c>
      <c r="K230" s="12">
        <f t="shared" si="200"/>
        <v>3254892</v>
      </c>
      <c r="L230" s="12">
        <f t="shared" si="200"/>
        <v>3255345</v>
      </c>
      <c r="M230" s="12">
        <f t="shared" si="200"/>
        <v>2836497.17</v>
      </c>
      <c r="N230" s="12">
        <f t="shared" si="200"/>
        <v>2663634</v>
      </c>
      <c r="O230" s="12">
        <v>2731819</v>
      </c>
      <c r="P230" s="9">
        <f t="shared" si="198"/>
        <v>32580202.399999999</v>
      </c>
    </row>
    <row r="231" spans="1:16" x14ac:dyDescent="0.3">
      <c r="A231" s="595" t="s">
        <v>30</v>
      </c>
      <c r="B231" s="596"/>
      <c r="C231" s="596"/>
      <c r="D231" s="596"/>
      <c r="E231" s="596"/>
      <c r="F231" s="596"/>
      <c r="G231" s="596"/>
      <c r="H231" s="596"/>
      <c r="I231" s="596"/>
      <c r="J231" s="596"/>
      <c r="K231" s="596"/>
      <c r="L231" s="596"/>
      <c r="M231" s="596"/>
      <c r="N231" s="596"/>
      <c r="O231" s="596"/>
      <c r="P231" s="597"/>
    </row>
    <row r="232" spans="1:16" ht="15.6" x14ac:dyDescent="0.3">
      <c r="A232" s="591" t="s">
        <v>29</v>
      </c>
      <c r="B232" s="592"/>
      <c r="C232" s="11" t="s">
        <v>18</v>
      </c>
      <c r="D232" s="551">
        <v>21797.16</v>
      </c>
      <c r="E232" s="13">
        <v>33686.519999999997</v>
      </c>
      <c r="F232" s="13">
        <v>38640</v>
      </c>
      <c r="G232" s="13">
        <v>52016</v>
      </c>
      <c r="H232" s="13">
        <v>64896</v>
      </c>
      <c r="I232" s="13">
        <v>76290</v>
      </c>
      <c r="J232" s="13">
        <v>83225.52</v>
      </c>
      <c r="K232" s="13">
        <v>87189</v>
      </c>
      <c r="L232" s="13">
        <v>93629</v>
      </c>
      <c r="M232" s="13">
        <v>98087.22</v>
      </c>
      <c r="N232" s="13">
        <v>100564</v>
      </c>
      <c r="O232" s="13">
        <v>102546</v>
      </c>
      <c r="P232" s="9">
        <f>SUM(D232:O232)</f>
        <v>852566.41999999993</v>
      </c>
    </row>
    <row r="233" spans="1:16" ht="15.6" x14ac:dyDescent="0.3">
      <c r="A233" s="591" t="s">
        <v>28</v>
      </c>
      <c r="B233" s="592"/>
      <c r="C233" s="11" t="s">
        <v>18</v>
      </c>
      <c r="D233" s="551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9">
        <f>SUM(D233:O233)</f>
        <v>0</v>
      </c>
    </row>
    <row r="234" spans="1:16" ht="15.6" x14ac:dyDescent="0.3">
      <c r="A234" s="591" t="s">
        <v>27</v>
      </c>
      <c r="B234" s="592"/>
      <c r="C234" s="11" t="s">
        <v>18</v>
      </c>
      <c r="D234" s="551"/>
      <c r="E234" s="13"/>
      <c r="F234" s="13">
        <v>3085</v>
      </c>
      <c r="G234" s="13">
        <v>6170</v>
      </c>
      <c r="H234" s="13">
        <v>12341</v>
      </c>
      <c r="I234" s="13">
        <v>15426</v>
      </c>
      <c r="J234" s="13">
        <v>15425.65</v>
      </c>
      <c r="K234" s="13">
        <v>15426</v>
      </c>
      <c r="L234" s="13">
        <v>9255</v>
      </c>
      <c r="M234" s="13">
        <v>9255.39</v>
      </c>
      <c r="N234" s="13">
        <v>12341</v>
      </c>
      <c r="O234" s="13">
        <v>12341</v>
      </c>
      <c r="P234" s="9">
        <f>SUM(D234:O234)</f>
        <v>111066.04</v>
      </c>
    </row>
    <row r="235" spans="1:16" ht="15.6" x14ac:dyDescent="0.3">
      <c r="A235" s="591" t="s">
        <v>26</v>
      </c>
      <c r="B235" s="592"/>
      <c r="C235" s="11" t="s">
        <v>18</v>
      </c>
      <c r="D235" s="551">
        <v>5621.02</v>
      </c>
      <c r="E235" s="13">
        <v>8431.5400000000009</v>
      </c>
      <c r="F235" s="13">
        <v>12647</v>
      </c>
      <c r="G235" s="13">
        <v>12647</v>
      </c>
      <c r="H235" s="13">
        <v>8432</v>
      </c>
      <c r="I235" s="13">
        <v>8432</v>
      </c>
      <c r="J235" s="13">
        <v>8431.5400000000009</v>
      </c>
      <c r="K235" s="13">
        <v>8432</v>
      </c>
      <c r="L235" s="13"/>
      <c r="M235" s="13"/>
      <c r="N235" s="13"/>
      <c r="O235" s="13">
        <v>4216</v>
      </c>
      <c r="P235" s="9">
        <f>SUM(D235:O235)</f>
        <v>77290.100000000006</v>
      </c>
    </row>
    <row r="236" spans="1:16" ht="15.6" x14ac:dyDescent="0.3">
      <c r="A236" s="656" t="s">
        <v>25</v>
      </c>
      <c r="B236" s="657"/>
      <c r="C236" s="11" t="s">
        <v>18</v>
      </c>
      <c r="D236" s="12">
        <f t="shared" ref="D236:N236" si="201">SUM(D232:D235)</f>
        <v>27418.18</v>
      </c>
      <c r="E236" s="12">
        <f t="shared" si="201"/>
        <v>42118.06</v>
      </c>
      <c r="F236" s="12">
        <f t="shared" si="201"/>
        <v>54372</v>
      </c>
      <c r="G236" s="12">
        <f t="shared" si="201"/>
        <v>70833</v>
      </c>
      <c r="H236" s="12">
        <f t="shared" si="201"/>
        <v>85669</v>
      </c>
      <c r="I236" s="12">
        <f t="shared" si="201"/>
        <v>100148</v>
      </c>
      <c r="J236" s="12">
        <f t="shared" si="201"/>
        <v>107082.70999999999</v>
      </c>
      <c r="K236" s="12">
        <f t="shared" si="201"/>
        <v>111047</v>
      </c>
      <c r="L236" s="12">
        <f t="shared" si="201"/>
        <v>102884</v>
      </c>
      <c r="M236" s="12">
        <f t="shared" si="201"/>
        <v>107342.61</v>
      </c>
      <c r="N236" s="12">
        <f t="shared" si="201"/>
        <v>112905</v>
      </c>
      <c r="O236" s="12">
        <v>119103</v>
      </c>
      <c r="P236" s="40">
        <f t="shared" ref="P236" si="202">SUM(P232:P235)</f>
        <v>1040922.5599999999</v>
      </c>
    </row>
    <row r="237" spans="1:16" x14ac:dyDescent="0.3">
      <c r="A237" s="595" t="s">
        <v>24</v>
      </c>
      <c r="B237" s="596"/>
      <c r="C237" s="596"/>
      <c r="D237" s="596"/>
      <c r="E237" s="596"/>
      <c r="F237" s="596"/>
      <c r="G237" s="596"/>
      <c r="H237" s="596"/>
      <c r="I237" s="596"/>
      <c r="J237" s="596"/>
      <c r="K237" s="596"/>
      <c r="L237" s="596"/>
      <c r="M237" s="596"/>
      <c r="N237" s="596"/>
      <c r="O237" s="596"/>
      <c r="P237" s="597"/>
    </row>
    <row r="238" spans="1:16" ht="15.6" x14ac:dyDescent="0.3">
      <c r="A238" s="591" t="s">
        <v>23</v>
      </c>
      <c r="B238" s="592"/>
      <c r="C238" s="11" t="s">
        <v>18</v>
      </c>
      <c r="D238" s="551">
        <v>58938</v>
      </c>
      <c r="E238" s="13">
        <v>60724</v>
      </c>
      <c r="F238" s="13">
        <v>69654</v>
      </c>
      <c r="G238" s="13">
        <v>93765</v>
      </c>
      <c r="H238" s="13">
        <v>116983</v>
      </c>
      <c r="I238" s="13">
        <v>137522</v>
      </c>
      <c r="J238" s="13">
        <v>150024</v>
      </c>
      <c r="K238" s="13">
        <v>157168</v>
      </c>
      <c r="L238" s="13">
        <v>168777</v>
      </c>
      <c r="M238" s="13">
        <v>176814</v>
      </c>
      <c r="N238" s="13">
        <v>181279</v>
      </c>
      <c r="O238" s="13">
        <v>184851</v>
      </c>
      <c r="P238" s="9">
        <f>SUM(D238:O238)</f>
        <v>1556499</v>
      </c>
    </row>
    <row r="239" spans="1:16" ht="15.6" x14ac:dyDescent="0.3">
      <c r="A239" s="591" t="s">
        <v>22</v>
      </c>
      <c r="B239" s="592"/>
      <c r="C239" s="11" t="s">
        <v>18</v>
      </c>
      <c r="D239" s="551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9">
        <f>SUM(D239:O239)</f>
        <v>0</v>
      </c>
    </row>
    <row r="240" spans="1:16" ht="15.6" x14ac:dyDescent="0.3">
      <c r="A240" s="591" t="s">
        <v>21</v>
      </c>
      <c r="B240" s="592"/>
      <c r="C240" s="11" t="s">
        <v>18</v>
      </c>
      <c r="D240" s="551"/>
      <c r="E240" s="15"/>
      <c r="F240" s="15">
        <v>893</v>
      </c>
      <c r="G240" s="15">
        <v>1786</v>
      </c>
      <c r="H240" s="15">
        <v>3572</v>
      </c>
      <c r="I240" s="15">
        <v>4465</v>
      </c>
      <c r="J240" s="15">
        <v>4465</v>
      </c>
      <c r="K240" s="15">
        <v>4465</v>
      </c>
      <c r="L240" s="15">
        <v>2679</v>
      </c>
      <c r="M240" s="15">
        <v>2679</v>
      </c>
      <c r="N240" s="15">
        <v>3572</v>
      </c>
      <c r="O240" s="15">
        <v>3572</v>
      </c>
      <c r="P240" s="9">
        <f>SUM(D240:O240)</f>
        <v>32148</v>
      </c>
    </row>
    <row r="241" spans="1:16" ht="15.6" x14ac:dyDescent="0.3">
      <c r="A241" s="591" t="s">
        <v>20</v>
      </c>
      <c r="B241" s="592"/>
      <c r="C241" s="11" t="s">
        <v>18</v>
      </c>
      <c r="D241" s="551">
        <v>1786</v>
      </c>
      <c r="E241" s="15">
        <v>1786</v>
      </c>
      <c r="F241" s="15">
        <v>2679</v>
      </c>
      <c r="G241" s="15">
        <v>2679</v>
      </c>
      <c r="H241" s="15">
        <v>1786</v>
      </c>
      <c r="I241" s="15">
        <v>1786</v>
      </c>
      <c r="J241" s="15">
        <v>1786</v>
      </c>
      <c r="K241" s="15">
        <v>1786</v>
      </c>
      <c r="L241" s="15"/>
      <c r="M241" s="15"/>
      <c r="N241" s="15"/>
      <c r="O241" s="15">
        <v>893</v>
      </c>
      <c r="P241" s="9">
        <f>SUM(D241:O241)</f>
        <v>16967</v>
      </c>
    </row>
    <row r="242" spans="1:16" ht="15.6" x14ac:dyDescent="0.3">
      <c r="A242" s="656" t="s">
        <v>19</v>
      </c>
      <c r="B242" s="657"/>
      <c r="C242" s="11" t="s">
        <v>18</v>
      </c>
      <c r="D242" s="12">
        <f t="shared" ref="D242:P242" si="203">SUM(D238:D241)</f>
        <v>60724</v>
      </c>
      <c r="E242" s="12">
        <f t="shared" si="203"/>
        <v>62510</v>
      </c>
      <c r="F242" s="12">
        <f t="shared" si="203"/>
        <v>73226</v>
      </c>
      <c r="G242" s="12">
        <f t="shared" si="203"/>
        <v>98230</v>
      </c>
      <c r="H242" s="12">
        <f t="shared" si="203"/>
        <v>122341</v>
      </c>
      <c r="I242" s="12">
        <f t="shared" si="203"/>
        <v>143773</v>
      </c>
      <c r="J242" s="12">
        <f t="shared" si="203"/>
        <v>156275</v>
      </c>
      <c r="K242" s="12">
        <f t="shared" si="203"/>
        <v>163419</v>
      </c>
      <c r="L242" s="12">
        <f t="shared" si="203"/>
        <v>171456</v>
      </c>
      <c r="M242" s="12">
        <f t="shared" si="203"/>
        <v>179493</v>
      </c>
      <c r="N242" s="12">
        <f t="shared" si="203"/>
        <v>184851</v>
      </c>
      <c r="O242" s="12">
        <v>189316</v>
      </c>
      <c r="P242" s="40">
        <f t="shared" si="203"/>
        <v>1605614</v>
      </c>
    </row>
    <row r="243" spans="1:16" ht="15.6" x14ac:dyDescent="0.3">
      <c r="A243" s="656" t="s">
        <v>214</v>
      </c>
      <c r="B243" s="657"/>
      <c r="C243" s="11" t="s">
        <v>18</v>
      </c>
      <c r="D243" s="10">
        <f>D230+D236+D242</f>
        <v>1703216.3399999999</v>
      </c>
      <c r="E243" s="10">
        <f t="shared" ref="E243:N243" si="204">E230+E236+E242</f>
        <v>2062678.55</v>
      </c>
      <c r="F243" s="10">
        <f t="shared" si="204"/>
        <v>2607599</v>
      </c>
      <c r="G243" s="10">
        <f t="shared" si="204"/>
        <v>2848822</v>
      </c>
      <c r="H243" s="10">
        <f t="shared" si="204"/>
        <v>2877642</v>
      </c>
      <c r="I243" s="10">
        <f t="shared" si="204"/>
        <v>3744759</v>
      </c>
      <c r="J243" s="10">
        <f t="shared" si="204"/>
        <v>3198018.29</v>
      </c>
      <c r="K243" s="10">
        <f t="shared" si="204"/>
        <v>3529358</v>
      </c>
      <c r="L243" s="10">
        <f t="shared" si="204"/>
        <v>3529685</v>
      </c>
      <c r="M243" s="10">
        <f t="shared" si="204"/>
        <v>3123332.78</v>
      </c>
      <c r="N243" s="10">
        <f t="shared" si="204"/>
        <v>2961390</v>
      </c>
      <c r="O243" s="10">
        <v>3040238</v>
      </c>
      <c r="P243" s="40">
        <f t="shared" ref="P243" si="205">P216+P223+P236+P242</f>
        <v>35226738.960000001</v>
      </c>
    </row>
    <row r="244" spans="1:16" x14ac:dyDescent="0.3">
      <c r="A244" s="595" t="s">
        <v>204</v>
      </c>
      <c r="B244" s="596"/>
      <c r="C244" s="596"/>
      <c r="D244" s="596"/>
      <c r="E244" s="596"/>
      <c r="F244" s="596"/>
      <c r="G244" s="596"/>
      <c r="H244" s="596"/>
      <c r="I244" s="596"/>
      <c r="J244" s="596"/>
      <c r="K244" s="596"/>
      <c r="L244" s="596"/>
      <c r="M244" s="596"/>
      <c r="N244" s="596"/>
      <c r="O244" s="596"/>
      <c r="P244" s="597"/>
    </row>
    <row r="245" spans="1:16" ht="15.6" x14ac:dyDescent="0.3">
      <c r="A245" s="663" t="s">
        <v>205</v>
      </c>
      <c r="B245" s="664"/>
      <c r="C245" s="11" t="s">
        <v>18</v>
      </c>
      <c r="D245" s="152">
        <v>1622773.49</v>
      </c>
      <c r="E245" s="152">
        <v>1788697.36</v>
      </c>
      <c r="F245" s="152">
        <v>2073105.51</v>
      </c>
      <c r="G245" s="152">
        <v>2347955.52</v>
      </c>
      <c r="H245" s="152">
        <v>2839773.7</v>
      </c>
      <c r="I245" s="152">
        <v>3896318.88</v>
      </c>
      <c r="J245" s="152">
        <v>4787890.1900000004</v>
      </c>
      <c r="K245" s="152">
        <v>4739533.25</v>
      </c>
      <c r="L245" s="152">
        <v>4555412.76</v>
      </c>
      <c r="M245" s="152">
        <v>8087155.0800000001</v>
      </c>
      <c r="N245" s="152">
        <v>5718158.6600000001</v>
      </c>
      <c r="O245" s="152">
        <v>8954614.7400000002</v>
      </c>
      <c r="P245" s="161">
        <f>O245</f>
        <v>8954614.7400000002</v>
      </c>
    </row>
    <row r="246" spans="1:16" ht="15.6" x14ac:dyDescent="0.3">
      <c r="A246" s="663" t="s">
        <v>206</v>
      </c>
      <c r="B246" s="664"/>
      <c r="C246" s="11" t="s">
        <v>18</v>
      </c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61">
        <f>O246</f>
        <v>0</v>
      </c>
    </row>
    <row r="247" spans="1:16" ht="15.6" x14ac:dyDescent="0.3">
      <c r="A247" s="665" t="s">
        <v>207</v>
      </c>
      <c r="B247" s="666"/>
      <c r="C247" s="11" t="s">
        <v>18</v>
      </c>
      <c r="D247" s="143">
        <f>D245+D246</f>
        <v>1622773.49</v>
      </c>
      <c r="E247" s="143">
        <f>E245+E246</f>
        <v>1788697.36</v>
      </c>
      <c r="F247" s="143">
        <f t="shared" ref="F247:P247" si="206">F245+F246</f>
        <v>2073105.51</v>
      </c>
      <c r="G247" s="143">
        <f t="shared" si="206"/>
        <v>2347955.52</v>
      </c>
      <c r="H247" s="143">
        <f t="shared" si="206"/>
        <v>2839773.7</v>
      </c>
      <c r="I247" s="143">
        <f t="shared" si="206"/>
        <v>3896318.88</v>
      </c>
      <c r="J247" s="143">
        <f t="shared" si="206"/>
        <v>4787890.1900000004</v>
      </c>
      <c r="K247" s="143">
        <f t="shared" si="206"/>
        <v>4739533.25</v>
      </c>
      <c r="L247" s="143">
        <f t="shared" si="206"/>
        <v>4555412.76</v>
      </c>
      <c r="M247" s="143">
        <f t="shared" si="206"/>
        <v>8087155.0800000001</v>
      </c>
      <c r="N247" s="154">
        <f t="shared" si="206"/>
        <v>5718158.6600000001</v>
      </c>
      <c r="O247" s="154">
        <v>8954614.7400000002</v>
      </c>
      <c r="P247" s="161">
        <f t="shared" si="206"/>
        <v>8954614.7400000002</v>
      </c>
    </row>
    <row r="248" spans="1:16" x14ac:dyDescent="0.3">
      <c r="A248" s="595" t="s">
        <v>17</v>
      </c>
      <c r="B248" s="596"/>
      <c r="C248" s="596"/>
      <c r="D248" s="596"/>
      <c r="E248" s="596"/>
      <c r="F248" s="596"/>
      <c r="G248" s="596"/>
      <c r="H248" s="596"/>
      <c r="I248" s="596"/>
      <c r="J248" s="596"/>
      <c r="K248" s="596"/>
      <c r="L248" s="596"/>
      <c r="M248" s="596"/>
      <c r="N248" s="596"/>
      <c r="O248" s="596"/>
      <c r="P248" s="597"/>
    </row>
    <row r="249" spans="1:16" ht="15.6" x14ac:dyDescent="0.3">
      <c r="A249" s="620" t="s">
        <v>16</v>
      </c>
      <c r="B249" s="621"/>
      <c r="C249" s="5" t="s">
        <v>6</v>
      </c>
      <c r="D249" s="8">
        <f>D58/D243%</f>
        <v>96.433958824044637</v>
      </c>
      <c r="E249" s="8">
        <f t="shared" ref="E249:H249" si="207">E58/E243%</f>
        <v>77.409770611130838</v>
      </c>
      <c r="F249" s="8">
        <f t="shared" si="207"/>
        <v>62.146352986022769</v>
      </c>
      <c r="G249" s="8">
        <f t="shared" si="207"/>
        <v>57.064458678007959</v>
      </c>
      <c r="H249" s="8">
        <f t="shared" si="207"/>
        <v>56.575214151030607</v>
      </c>
      <c r="I249" s="8">
        <f t="shared" ref="I249:P249" si="208">I58/I243%</f>
        <v>4.8499646572716699</v>
      </c>
      <c r="J249" s="8">
        <f t="shared" si="208"/>
        <v>52.303513404859231</v>
      </c>
      <c r="K249" s="8">
        <f t="shared" si="208"/>
        <v>46.787458044777544</v>
      </c>
      <c r="L249" s="8">
        <f t="shared" si="208"/>
        <v>6.2409008594251327</v>
      </c>
      <c r="M249" s="8">
        <f t="shared" si="208"/>
        <v>6.5340472621684587</v>
      </c>
      <c r="N249" s="8">
        <f t="shared" si="208"/>
        <v>6.3310257176528593</v>
      </c>
      <c r="O249" s="8">
        <v>6.3977289442471283</v>
      </c>
      <c r="P249" s="112">
        <f t="shared" si="208"/>
        <v>35.27254505479209</v>
      </c>
    </row>
    <row r="250" spans="1:16" ht="15.6" x14ac:dyDescent="0.3">
      <c r="A250" s="620" t="s">
        <v>208</v>
      </c>
      <c r="B250" s="621"/>
      <c r="C250" s="5" t="s">
        <v>6</v>
      </c>
      <c r="D250" s="559">
        <f>D210/(D223+D245)</f>
        <v>5.935867012641776E-2</v>
      </c>
      <c r="E250" s="559">
        <f t="shared" ref="E250:G250" si="209">E210/(E223+E245)</f>
        <v>0.14483477861147065</v>
      </c>
      <c r="F250" s="559">
        <f t="shared" si="209"/>
        <v>0.14310021477985727</v>
      </c>
      <c r="G250" s="559">
        <f t="shared" si="209"/>
        <v>0.14264822808086583</v>
      </c>
      <c r="H250" s="29">
        <f t="shared" ref="H250:P250" si="210">H210/(H223+H245)%</f>
        <v>11.245376772734284</v>
      </c>
      <c r="I250" s="29">
        <f t="shared" si="210"/>
        <v>9.1698352884605363</v>
      </c>
      <c r="J250" s="29">
        <f t="shared" si="210"/>
        <v>3.8390921240221623</v>
      </c>
      <c r="K250" s="29">
        <f t="shared" si="210"/>
        <v>26.747885561885045</v>
      </c>
      <c r="L250" s="29">
        <f t="shared" si="210"/>
        <v>9.224441227857529</v>
      </c>
      <c r="M250" s="29">
        <f t="shared" si="210"/>
        <v>8.6637556285844912</v>
      </c>
      <c r="N250" s="29">
        <f t="shared" si="210"/>
        <v>10.615700929611258</v>
      </c>
      <c r="O250" s="29">
        <v>13.305557374707007</v>
      </c>
      <c r="P250" s="109">
        <f t="shared" si="210"/>
        <v>37.632777803341867</v>
      </c>
    </row>
    <row r="251" spans="1:16" ht="16.2" thickBot="1" x14ac:dyDescent="0.35">
      <c r="A251" s="669" t="s">
        <v>15</v>
      </c>
      <c r="B251" s="670"/>
      <c r="C251" s="5" t="s">
        <v>6</v>
      </c>
      <c r="D251" s="29">
        <f>D210/D223</f>
        <v>0.50660673499550735</v>
      </c>
      <c r="E251" s="29">
        <f t="shared" ref="E251:G251" si="211">E210/E223</f>
        <v>0.85635699089556294</v>
      </c>
      <c r="F251" s="29">
        <f t="shared" si="211"/>
        <v>0.68464565922972731</v>
      </c>
      <c r="G251" s="29">
        <f t="shared" si="211"/>
        <v>0.72446019420848751</v>
      </c>
      <c r="H251" s="7">
        <f t="shared" ref="H251:P251" si="212">H210/H223%</f>
        <v>54.223775019110889</v>
      </c>
      <c r="I251" s="7">
        <f t="shared" si="212"/>
        <v>35.759789474937634</v>
      </c>
      <c r="J251" s="7">
        <f t="shared" si="212"/>
        <v>22.341907424919967</v>
      </c>
      <c r="K251" s="7">
        <f t="shared" si="212"/>
        <v>150.43186587718094</v>
      </c>
      <c r="L251" s="7">
        <f t="shared" si="212"/>
        <v>44.161467548188845</v>
      </c>
      <c r="M251" s="7">
        <f t="shared" si="212"/>
        <v>75.155481345118801</v>
      </c>
      <c r="N251" s="7">
        <f t="shared" si="212"/>
        <v>64.303207244624588</v>
      </c>
      <c r="O251" s="7">
        <v>120.03672781997993</v>
      </c>
      <c r="P251" s="113">
        <f t="shared" si="212"/>
        <v>70.313301133987991</v>
      </c>
    </row>
    <row r="252" spans="1:16" x14ac:dyDescent="0.3">
      <c r="A252" s="649" t="s">
        <v>14</v>
      </c>
      <c r="B252" s="650"/>
      <c r="C252" s="650"/>
      <c r="D252" s="650"/>
      <c r="E252" s="650"/>
      <c r="F252" s="650"/>
      <c r="G252" s="650"/>
      <c r="H252" s="650"/>
      <c r="I252" s="650"/>
      <c r="J252" s="650"/>
      <c r="K252" s="650"/>
      <c r="L252" s="650"/>
      <c r="M252" s="650"/>
      <c r="N252" s="650"/>
      <c r="O252" s="650"/>
      <c r="P252" s="651"/>
    </row>
    <row r="253" spans="1:16" s="2" customFormat="1" ht="15" customHeight="1" x14ac:dyDescent="0.3">
      <c r="A253" s="620" t="s">
        <v>13</v>
      </c>
      <c r="B253" s="621"/>
      <c r="C253" s="5" t="s">
        <v>3</v>
      </c>
      <c r="D253" s="3">
        <v>6</v>
      </c>
      <c r="E253" s="4">
        <v>4</v>
      </c>
      <c r="F253" s="4">
        <v>59</v>
      </c>
      <c r="G253" s="4">
        <v>189</v>
      </c>
      <c r="H253" s="4">
        <v>48</v>
      </c>
      <c r="I253" s="4">
        <v>15</v>
      </c>
      <c r="J253" s="4">
        <v>9</v>
      </c>
      <c r="K253" s="4">
        <v>9</v>
      </c>
      <c r="L253" s="4">
        <v>30</v>
      </c>
      <c r="M253" s="4">
        <v>6</v>
      </c>
      <c r="N253" s="153">
        <v>10</v>
      </c>
      <c r="O253" s="153">
        <v>3</v>
      </c>
      <c r="P253" s="114">
        <f>SUM(D253:O253)</f>
        <v>388</v>
      </c>
    </row>
    <row r="254" spans="1:16" s="2" customFormat="1" ht="15.6" x14ac:dyDescent="0.3">
      <c r="A254" s="620" t="s">
        <v>12</v>
      </c>
      <c r="B254" s="621"/>
      <c r="C254" s="5" t="s">
        <v>3</v>
      </c>
      <c r="D254" s="3">
        <v>3</v>
      </c>
      <c r="E254" s="4">
        <v>3</v>
      </c>
      <c r="F254" s="4">
        <v>3</v>
      </c>
      <c r="G254" s="4">
        <v>3</v>
      </c>
      <c r="H254" s="4">
        <v>5</v>
      </c>
      <c r="I254" s="4">
        <v>3</v>
      </c>
      <c r="J254" s="4">
        <v>3</v>
      </c>
      <c r="K254" s="4">
        <v>3</v>
      </c>
      <c r="L254" s="4">
        <v>3</v>
      </c>
      <c r="M254" s="4">
        <v>3</v>
      </c>
      <c r="N254" s="153">
        <v>3</v>
      </c>
      <c r="O254" s="153">
        <v>5</v>
      </c>
      <c r="P254" s="114">
        <f>SUM(D254:O254)</f>
        <v>40</v>
      </c>
    </row>
    <row r="255" spans="1:16" ht="15.75" customHeight="1" x14ac:dyDescent="0.3">
      <c r="A255" s="620" t="s">
        <v>11</v>
      </c>
      <c r="B255" s="621"/>
      <c r="C255" s="5" t="s">
        <v>3</v>
      </c>
      <c r="D255" s="3">
        <v>5</v>
      </c>
      <c r="E255" s="4">
        <v>4</v>
      </c>
      <c r="F255" s="4">
        <v>12</v>
      </c>
      <c r="G255" s="4">
        <v>18</v>
      </c>
      <c r="H255" s="4">
        <v>40</v>
      </c>
      <c r="I255" s="4">
        <v>20</v>
      </c>
      <c r="J255" s="4">
        <v>8</v>
      </c>
      <c r="K255" s="133">
        <v>0</v>
      </c>
      <c r="L255" s="133">
        <v>0</v>
      </c>
      <c r="M255" s="133">
        <f t="shared" ref="M255" si="213">M95</f>
        <v>230</v>
      </c>
      <c r="N255" s="153">
        <f t="shared" ref="N255" si="214">N95</f>
        <v>234</v>
      </c>
      <c r="O255" s="153">
        <v>233</v>
      </c>
      <c r="P255" s="114">
        <f>SUM(D255:O255)</f>
        <v>804</v>
      </c>
    </row>
    <row r="256" spans="1:16" ht="15.6" x14ac:dyDescent="0.3">
      <c r="A256" s="620" t="s">
        <v>10</v>
      </c>
      <c r="B256" s="621"/>
      <c r="C256" s="5" t="s">
        <v>3</v>
      </c>
      <c r="D256" s="3">
        <v>8</v>
      </c>
      <c r="E256" s="4">
        <v>6</v>
      </c>
      <c r="F256" s="4">
        <v>17</v>
      </c>
      <c r="G256" s="4">
        <v>201</v>
      </c>
      <c r="H256" s="4">
        <f t="shared" ref="H256" si="215">H100</f>
        <v>0</v>
      </c>
      <c r="I256" s="4">
        <v>10</v>
      </c>
      <c r="J256" s="4">
        <v>16</v>
      </c>
      <c r="K256" s="4">
        <v>225</v>
      </c>
      <c r="L256" s="133">
        <v>231</v>
      </c>
      <c r="M256" s="133">
        <f t="shared" ref="M256" si="216">M91</f>
        <v>6</v>
      </c>
      <c r="N256" s="153">
        <f t="shared" ref="N256" si="217">N91</f>
        <v>10</v>
      </c>
      <c r="O256" s="153">
        <v>2</v>
      </c>
      <c r="P256" s="114">
        <f>SUM(D256:O256)</f>
        <v>732</v>
      </c>
    </row>
    <row r="257" spans="1:16" ht="15.6" customHeight="1" x14ac:dyDescent="0.3">
      <c r="A257" s="620" t="s">
        <v>9</v>
      </c>
      <c r="B257" s="621"/>
      <c r="C257" s="5" t="s">
        <v>3</v>
      </c>
      <c r="D257" s="4">
        <v>14</v>
      </c>
      <c r="E257" s="4">
        <v>3</v>
      </c>
      <c r="F257" s="4">
        <v>13</v>
      </c>
      <c r="G257" s="4">
        <v>5</v>
      </c>
      <c r="H257" s="4">
        <v>27</v>
      </c>
      <c r="I257" s="4">
        <v>5</v>
      </c>
      <c r="J257" s="4">
        <v>20</v>
      </c>
      <c r="K257" s="4">
        <v>120</v>
      </c>
      <c r="L257" s="4">
        <v>3.5294117647058822</v>
      </c>
      <c r="M257" s="4">
        <v>5</v>
      </c>
      <c r="N257" s="153">
        <v>5</v>
      </c>
      <c r="O257" s="153">
        <v>3</v>
      </c>
      <c r="P257" s="114">
        <f>SUM(D257:O257)</f>
        <v>223.52941176470588</v>
      </c>
    </row>
    <row r="258" spans="1:16" ht="15.6" x14ac:dyDescent="0.3">
      <c r="A258" s="656" t="s">
        <v>8</v>
      </c>
      <c r="B258" s="657"/>
      <c r="C258" s="5" t="s">
        <v>3</v>
      </c>
      <c r="D258" s="560">
        <f>D257/D256</f>
        <v>1.75</v>
      </c>
      <c r="E258" s="560">
        <f t="shared" ref="E258:H258" si="218">E257/E256</f>
        <v>0.5</v>
      </c>
      <c r="F258" s="560">
        <f t="shared" si="218"/>
        <v>0.76470588235294112</v>
      </c>
      <c r="G258" s="3">
        <f t="shared" si="218"/>
        <v>2.4875621890547265E-2</v>
      </c>
      <c r="H258" s="3" t="e">
        <f t="shared" si="218"/>
        <v>#DIV/0!</v>
      </c>
      <c r="I258" s="3">
        <f t="shared" ref="I258:P258" si="219">I257/I256</f>
        <v>0.5</v>
      </c>
      <c r="J258" s="3">
        <f t="shared" si="219"/>
        <v>1.25</v>
      </c>
      <c r="K258" s="3">
        <f t="shared" si="219"/>
        <v>0.53333333333333333</v>
      </c>
      <c r="L258" s="3">
        <f t="shared" si="219"/>
        <v>1.5278838808250572E-2</v>
      </c>
      <c r="M258" s="3">
        <f t="shared" si="219"/>
        <v>0.83333333333333337</v>
      </c>
      <c r="N258" s="3">
        <f t="shared" si="219"/>
        <v>0.5</v>
      </c>
      <c r="O258" s="3">
        <v>1.5</v>
      </c>
      <c r="P258" s="114">
        <f t="shared" si="219"/>
        <v>0.3053680488588878</v>
      </c>
    </row>
    <row r="259" spans="1:16" ht="15.6" x14ac:dyDescent="0.3">
      <c r="A259" s="656" t="s">
        <v>7</v>
      </c>
      <c r="B259" s="657"/>
      <c r="C259" s="5" t="s">
        <v>6</v>
      </c>
      <c r="D259" s="1">
        <f>D256/D255*100</f>
        <v>160</v>
      </c>
      <c r="E259" s="1">
        <f t="shared" ref="E259:H259" si="220">E256/E255*100</f>
        <v>150</v>
      </c>
      <c r="F259" s="1">
        <f t="shared" si="220"/>
        <v>141.66666666666669</v>
      </c>
      <c r="G259" s="1">
        <f t="shared" si="220"/>
        <v>1116.6666666666665</v>
      </c>
      <c r="H259" s="1">
        <f t="shared" si="220"/>
        <v>0</v>
      </c>
      <c r="I259" s="175">
        <f t="shared" ref="I259:P259" si="221">I92/I255*100</f>
        <v>100</v>
      </c>
      <c r="J259" s="175">
        <f t="shared" si="221"/>
        <v>162.5</v>
      </c>
      <c r="K259" s="175" t="e">
        <f t="shared" si="221"/>
        <v>#DIV/0!</v>
      </c>
      <c r="L259" s="175" t="e">
        <f t="shared" si="221"/>
        <v>#DIV/0!</v>
      </c>
      <c r="M259" s="175">
        <f t="shared" si="221"/>
        <v>4.3478260869565215</v>
      </c>
      <c r="N259" s="175">
        <f t="shared" si="221"/>
        <v>2.5641025641025639</v>
      </c>
      <c r="O259" s="175">
        <v>1.2875536480686696</v>
      </c>
      <c r="P259" s="183">
        <f t="shared" si="221"/>
        <v>19.900497512437813</v>
      </c>
    </row>
    <row r="260" spans="1:16" x14ac:dyDescent="0.3">
      <c r="A260" s="595" t="s">
        <v>5</v>
      </c>
      <c r="B260" s="596"/>
      <c r="C260" s="596"/>
      <c r="D260" s="596"/>
      <c r="E260" s="596"/>
      <c r="F260" s="596"/>
      <c r="G260" s="596"/>
      <c r="H260" s="596"/>
      <c r="I260" s="596"/>
      <c r="J260" s="596"/>
      <c r="K260" s="596"/>
      <c r="L260" s="596"/>
      <c r="M260" s="596"/>
      <c r="N260" s="596"/>
      <c r="O260" s="596"/>
      <c r="P260" s="597"/>
    </row>
    <row r="261" spans="1:16" s="2" customFormat="1" ht="15" customHeight="1" x14ac:dyDescent="0.3">
      <c r="A261" s="620" t="s">
        <v>4</v>
      </c>
      <c r="B261" s="621"/>
      <c r="C261" s="5" t="s">
        <v>3</v>
      </c>
      <c r="D261" s="4">
        <v>3</v>
      </c>
      <c r="E261" s="4">
        <v>4</v>
      </c>
      <c r="F261" s="4">
        <v>6</v>
      </c>
      <c r="G261" s="4">
        <v>6</v>
      </c>
      <c r="H261" s="4">
        <v>7</v>
      </c>
      <c r="I261" s="4">
        <v>5</v>
      </c>
      <c r="J261" s="4">
        <v>5</v>
      </c>
      <c r="K261" s="4">
        <v>5</v>
      </c>
      <c r="L261" s="4">
        <v>3</v>
      </c>
      <c r="M261" s="4">
        <v>10</v>
      </c>
      <c r="N261" s="4">
        <v>4</v>
      </c>
      <c r="O261" s="4">
        <v>3</v>
      </c>
      <c r="P261" s="40">
        <f>SUM(D261:O261)</f>
        <v>61</v>
      </c>
    </row>
    <row r="262" spans="1:16" s="2" customFormat="1" ht="15.75" customHeight="1" x14ac:dyDescent="0.3">
      <c r="A262" s="620" t="s">
        <v>2</v>
      </c>
      <c r="B262" s="621"/>
      <c r="C262" s="5" t="s">
        <v>0</v>
      </c>
      <c r="D262" s="4">
        <v>4</v>
      </c>
      <c r="E262" s="4">
        <v>2</v>
      </c>
      <c r="F262" s="4">
        <v>4</v>
      </c>
      <c r="G262" s="4">
        <v>7</v>
      </c>
      <c r="H262" s="4">
        <v>3</v>
      </c>
      <c r="I262" s="4">
        <v>3</v>
      </c>
      <c r="J262" s="4">
        <v>7</v>
      </c>
      <c r="K262" s="4">
        <v>7</v>
      </c>
      <c r="L262" s="4">
        <v>7</v>
      </c>
      <c r="M262" s="4">
        <v>5</v>
      </c>
      <c r="N262" s="4">
        <v>5</v>
      </c>
      <c r="O262" s="4">
        <v>5</v>
      </c>
      <c r="P262" s="40">
        <f>SUM(D262:O262)</f>
        <v>59</v>
      </c>
    </row>
    <row r="263" spans="1:16" ht="16.2" thickBot="1" x14ac:dyDescent="0.35">
      <c r="A263" s="667" t="s">
        <v>1</v>
      </c>
      <c r="B263" s="668"/>
      <c r="C263" s="116" t="s">
        <v>0</v>
      </c>
      <c r="D263" s="560">
        <f>D261/D262</f>
        <v>0.75</v>
      </c>
      <c r="E263" s="560">
        <f t="shared" ref="E263:G263" si="222">E261/E262</f>
        <v>2</v>
      </c>
      <c r="F263" s="560">
        <f t="shared" si="222"/>
        <v>1.5</v>
      </c>
      <c r="G263" s="560">
        <f t="shared" si="222"/>
        <v>0.8571428571428571</v>
      </c>
      <c r="H263" s="117">
        <f t="shared" ref="H263:N263" si="223">H261/H262</f>
        <v>2.3333333333333335</v>
      </c>
      <c r="I263" s="117">
        <f t="shared" si="223"/>
        <v>1.6666666666666667</v>
      </c>
      <c r="J263" s="117">
        <f t="shared" si="223"/>
        <v>0.7142857142857143</v>
      </c>
      <c r="K263" s="117">
        <f t="shared" si="223"/>
        <v>0.7142857142857143</v>
      </c>
      <c r="L263" s="117">
        <f t="shared" si="223"/>
        <v>0.42857142857142855</v>
      </c>
      <c r="M263" s="117">
        <f t="shared" si="223"/>
        <v>2</v>
      </c>
      <c r="N263" s="117">
        <f t="shared" si="223"/>
        <v>0.8</v>
      </c>
      <c r="O263" s="117">
        <v>0.6</v>
      </c>
      <c r="P263" s="198">
        <f t="shared" ref="P263" si="224">P261/P262</f>
        <v>1.0338983050847457</v>
      </c>
    </row>
  </sheetData>
  <mergeCells count="15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A37:A38"/>
    <mergeCell ref="A39:A40"/>
    <mergeCell ref="A29:A30"/>
    <mergeCell ref="B29:B30"/>
    <mergeCell ref="A31:A32"/>
    <mergeCell ref="A33:A34"/>
    <mergeCell ref="A20:B20"/>
    <mergeCell ref="A21:B21"/>
    <mergeCell ref="A23:P23"/>
    <mergeCell ref="A24:A25"/>
    <mergeCell ref="A26:P26"/>
    <mergeCell ref="A27:P27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Q263"/>
  <sheetViews>
    <sheetView workbookViewId="0">
      <pane xSplit="2" ySplit="8" topLeftCell="N222" activePane="bottomRight" state="frozen"/>
      <selection pane="topRight" activeCell="C1" sqref="C1"/>
      <selection pane="bottomLeft" activeCell="A9" sqref="A9"/>
      <selection pane="bottomRight" activeCell="O1" sqref="O1:O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</cols>
  <sheetData>
    <row r="1" spans="1:16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16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16" ht="18" thickBot="1" x14ac:dyDescent="0.35">
      <c r="A3" s="315" t="s">
        <v>217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16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16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3"/>
    </row>
    <row r="6" spans="1:16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16" ht="16.2" thickBot="1" x14ac:dyDescent="0.35">
      <c r="A7" s="589" t="s">
        <v>174</v>
      </c>
      <c r="B7" s="590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6" ht="15" thickBot="1" x14ac:dyDescent="0.35">
      <c r="A8" s="600" t="s">
        <v>159</v>
      </c>
      <c r="B8" s="601"/>
      <c r="C8" s="601"/>
      <c r="D8" s="601"/>
      <c r="E8" s="601"/>
      <c r="F8" s="601"/>
      <c r="G8" s="601"/>
      <c r="H8" s="601"/>
      <c r="I8" s="601"/>
      <c r="J8" s="601"/>
      <c r="K8" s="601"/>
      <c r="L8" s="601"/>
      <c r="M8" s="601"/>
      <c r="N8" s="601"/>
      <c r="O8" s="601"/>
      <c r="P8" s="602"/>
    </row>
    <row r="9" spans="1:16" ht="15.6" x14ac:dyDescent="0.3">
      <c r="A9" s="603" t="s">
        <v>176</v>
      </c>
      <c r="B9" s="604"/>
      <c r="C9" s="58" t="s">
        <v>152</v>
      </c>
      <c r="D9" s="550">
        <v>18570</v>
      </c>
      <c r="E9" s="176">
        <v>20529</v>
      </c>
      <c r="F9" s="176">
        <v>20853</v>
      </c>
      <c r="G9" s="176">
        <v>18219</v>
      </c>
      <c r="H9" s="176">
        <v>20280</v>
      </c>
      <c r="I9" s="176">
        <v>22536</v>
      </c>
      <c r="J9" s="176">
        <v>25036</v>
      </c>
      <c r="K9" s="176">
        <v>23371</v>
      </c>
      <c r="L9" s="57">
        <v>23363</v>
      </c>
      <c r="M9" s="57">
        <v>24108</v>
      </c>
      <c r="N9" s="57">
        <v>24662</v>
      </c>
      <c r="O9" s="57">
        <v>22838</v>
      </c>
      <c r="P9" s="56">
        <f>SUM(D9:O9)</f>
        <v>264365</v>
      </c>
    </row>
    <row r="10" spans="1:16" x14ac:dyDescent="0.3">
      <c r="A10" s="595" t="s">
        <v>177</v>
      </c>
      <c r="B10" s="596"/>
      <c r="C10" s="596"/>
      <c r="D10" s="596"/>
      <c r="E10" s="596"/>
      <c r="F10" s="596"/>
      <c r="G10" s="596"/>
      <c r="H10" s="596"/>
      <c r="I10" s="596"/>
      <c r="J10" s="596"/>
      <c r="K10" s="596"/>
      <c r="L10" s="596"/>
      <c r="M10" s="596"/>
      <c r="N10" s="596"/>
      <c r="O10" s="596"/>
      <c r="P10" s="597"/>
    </row>
    <row r="11" spans="1:16" ht="15.6" x14ac:dyDescent="0.3">
      <c r="A11" s="598" t="s">
        <v>157</v>
      </c>
      <c r="B11" s="599"/>
      <c r="C11" s="11" t="s">
        <v>152</v>
      </c>
      <c r="D11" s="555">
        <f>237+797+6208</f>
        <v>7242</v>
      </c>
      <c r="E11" s="26">
        <f>305+903+7326</f>
        <v>8534</v>
      </c>
      <c r="F11" s="26">
        <f>340+931+7700</f>
        <v>8971</v>
      </c>
      <c r="G11" s="26">
        <f>294+873+6753</f>
        <v>7920</v>
      </c>
      <c r="H11" s="26">
        <f>348+885+6990</f>
        <v>8223</v>
      </c>
      <c r="I11" s="26">
        <f>389+1057+8181</f>
        <v>9627</v>
      </c>
      <c r="J11" s="26">
        <f>449+1142+9131</f>
        <v>10722</v>
      </c>
      <c r="K11" s="26">
        <f>434+1101+8488</f>
        <v>10023</v>
      </c>
      <c r="L11" s="26">
        <v>10011</v>
      </c>
      <c r="M11" s="26">
        <v>10047</v>
      </c>
      <c r="N11" s="26">
        <v>10619</v>
      </c>
      <c r="O11" s="26">
        <v>9398</v>
      </c>
      <c r="P11" s="55">
        <f>SUM(D11:O11)</f>
        <v>111337</v>
      </c>
    </row>
    <row r="12" spans="1:16" ht="15.6" x14ac:dyDescent="0.3">
      <c r="A12" s="598" t="s">
        <v>156</v>
      </c>
      <c r="B12" s="599"/>
      <c r="C12" s="11" t="s">
        <v>152</v>
      </c>
      <c r="D12" s="555">
        <v>773</v>
      </c>
      <c r="E12" s="26">
        <v>806</v>
      </c>
      <c r="F12" s="26">
        <v>680</v>
      </c>
      <c r="G12" s="26">
        <v>518</v>
      </c>
      <c r="H12" s="26">
        <v>824</v>
      </c>
      <c r="I12" s="26">
        <v>733</v>
      </c>
      <c r="J12" s="26">
        <v>858</v>
      </c>
      <c r="K12" s="26">
        <v>794</v>
      </c>
      <c r="L12" s="26">
        <v>814</v>
      </c>
      <c r="M12" s="26">
        <v>757</v>
      </c>
      <c r="N12" s="26">
        <v>756</v>
      </c>
      <c r="O12" s="26">
        <v>672</v>
      </c>
      <c r="P12" s="55">
        <f>SUM(D12:O12)</f>
        <v>8985</v>
      </c>
    </row>
    <row r="13" spans="1:16" ht="15.6" x14ac:dyDescent="0.3">
      <c r="A13" s="598" t="s">
        <v>155</v>
      </c>
      <c r="B13" s="599"/>
      <c r="C13" s="11" t="s">
        <v>152</v>
      </c>
      <c r="D13" s="555">
        <v>94</v>
      </c>
      <c r="E13" s="26">
        <v>102</v>
      </c>
      <c r="F13" s="26">
        <v>133</v>
      </c>
      <c r="G13" s="26">
        <v>126</v>
      </c>
      <c r="H13" s="26">
        <v>161</v>
      </c>
      <c r="I13" s="26">
        <v>210</v>
      </c>
      <c r="J13" s="26">
        <v>68</v>
      </c>
      <c r="K13" s="26">
        <v>91</v>
      </c>
      <c r="L13" s="26">
        <v>91</v>
      </c>
      <c r="M13" s="26">
        <v>133</v>
      </c>
      <c r="N13" s="26">
        <v>133</v>
      </c>
      <c r="O13" s="26">
        <v>114</v>
      </c>
      <c r="P13" s="55">
        <f>SUM(D13:O13)</f>
        <v>1456</v>
      </c>
    </row>
    <row r="14" spans="1:16" ht="15.6" x14ac:dyDescent="0.3">
      <c r="A14" s="591" t="s">
        <v>154</v>
      </c>
      <c r="B14" s="592"/>
      <c r="C14" s="11" t="s">
        <v>152</v>
      </c>
      <c r="D14" s="555">
        <v>6</v>
      </c>
      <c r="E14" s="26">
        <v>7</v>
      </c>
      <c r="F14" s="26">
        <v>8</v>
      </c>
      <c r="G14" s="26">
        <v>49</v>
      </c>
      <c r="H14" s="26">
        <v>162</v>
      </c>
      <c r="I14" s="26">
        <v>196</v>
      </c>
      <c r="J14" s="26">
        <v>211</v>
      </c>
      <c r="K14" s="26">
        <v>146</v>
      </c>
      <c r="L14" s="26">
        <v>5</v>
      </c>
      <c r="M14" s="26">
        <v>6</v>
      </c>
      <c r="N14" s="26">
        <v>123</v>
      </c>
      <c r="O14" s="26">
        <v>90</v>
      </c>
      <c r="P14" s="55">
        <f>SUM(D14:O14)</f>
        <v>1009</v>
      </c>
    </row>
    <row r="15" spans="1:16" s="63" customFormat="1" ht="15.6" x14ac:dyDescent="0.3">
      <c r="A15" s="593" t="s">
        <v>158</v>
      </c>
      <c r="B15" s="594"/>
      <c r="C15" s="62" t="s">
        <v>152</v>
      </c>
      <c r="D15" s="34">
        <f t="shared" ref="D15:P15" si="0">SUM(D11:D14)</f>
        <v>8115</v>
      </c>
      <c r="E15" s="34">
        <f t="shared" si="0"/>
        <v>9449</v>
      </c>
      <c r="F15" s="34">
        <f t="shared" si="0"/>
        <v>9792</v>
      </c>
      <c r="G15" s="34">
        <f t="shared" si="0"/>
        <v>8613</v>
      </c>
      <c r="H15" s="34">
        <f t="shared" si="0"/>
        <v>9370</v>
      </c>
      <c r="I15" s="34">
        <f t="shared" si="0"/>
        <v>10766</v>
      </c>
      <c r="J15" s="34">
        <f t="shared" si="0"/>
        <v>11859</v>
      </c>
      <c r="K15" s="34">
        <f t="shared" si="0"/>
        <v>11054</v>
      </c>
      <c r="L15" s="34">
        <f t="shared" si="0"/>
        <v>10921</v>
      </c>
      <c r="M15" s="34">
        <f t="shared" si="0"/>
        <v>10943</v>
      </c>
      <c r="N15" s="34">
        <f t="shared" si="0"/>
        <v>11631</v>
      </c>
      <c r="O15" s="34">
        <v>10274</v>
      </c>
      <c r="P15" s="55">
        <f t="shared" si="0"/>
        <v>122787</v>
      </c>
    </row>
    <row r="16" spans="1:16" s="2" customFormat="1" x14ac:dyDescent="0.3">
      <c r="A16" s="595" t="s">
        <v>178</v>
      </c>
      <c r="B16" s="596"/>
      <c r="C16" s="596"/>
      <c r="D16" s="596"/>
      <c r="E16" s="596"/>
      <c r="F16" s="596"/>
      <c r="G16" s="596"/>
      <c r="H16" s="596"/>
      <c r="I16" s="596"/>
      <c r="J16" s="596"/>
      <c r="K16" s="596"/>
      <c r="L16" s="596"/>
      <c r="M16" s="596"/>
      <c r="N16" s="596"/>
      <c r="O16" s="596"/>
      <c r="P16" s="597"/>
    </row>
    <row r="17" spans="1:17" s="2" customFormat="1" ht="15.6" x14ac:dyDescent="0.3">
      <c r="A17" s="598" t="s">
        <v>180</v>
      </c>
      <c r="B17" s="599"/>
      <c r="C17" s="11" t="s">
        <v>152</v>
      </c>
      <c r="D17" s="26"/>
      <c r="E17" s="26"/>
      <c r="F17" s="26">
        <v>4491</v>
      </c>
      <c r="G17" s="26">
        <v>3872</v>
      </c>
      <c r="H17" s="26"/>
      <c r="I17" s="26">
        <v>4589</v>
      </c>
      <c r="J17" s="26">
        <v>5441</v>
      </c>
      <c r="K17" s="26">
        <v>4990</v>
      </c>
      <c r="L17" s="26">
        <v>4826</v>
      </c>
      <c r="M17" s="26">
        <v>5046</v>
      </c>
      <c r="N17" s="26">
        <v>4913</v>
      </c>
      <c r="O17" s="26">
        <v>4595</v>
      </c>
      <c r="P17" s="55">
        <f>SUM(D17:O17)</f>
        <v>42763</v>
      </c>
      <c r="Q17" s="169"/>
    </row>
    <row r="18" spans="1:17" s="2" customFormat="1" ht="15.6" x14ac:dyDescent="0.3">
      <c r="A18" s="598" t="s">
        <v>181</v>
      </c>
      <c r="B18" s="599"/>
      <c r="C18" s="11" t="s">
        <v>152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55">
        <f>SUM(D18:O18)</f>
        <v>0</v>
      </c>
      <c r="Q18" s="169"/>
    </row>
    <row r="19" spans="1:17" s="2" customFormat="1" ht="15.6" x14ac:dyDescent="0.3">
      <c r="A19" s="598" t="s">
        <v>182</v>
      </c>
      <c r="B19" s="599"/>
      <c r="C19" s="11" t="s">
        <v>152</v>
      </c>
      <c r="D19" s="26">
        <v>6199</v>
      </c>
      <c r="E19" s="26">
        <v>5929</v>
      </c>
      <c r="F19" s="26">
        <v>834</v>
      </c>
      <c r="G19" s="26">
        <v>723</v>
      </c>
      <c r="H19" s="26">
        <v>5688.3</v>
      </c>
      <c r="I19" s="26">
        <v>883</v>
      </c>
      <c r="J19" s="26">
        <v>889</v>
      </c>
      <c r="K19" s="26">
        <v>880</v>
      </c>
      <c r="L19" s="26">
        <v>1093</v>
      </c>
      <c r="M19" s="26">
        <v>1476</v>
      </c>
      <c r="N19" s="26">
        <v>1902</v>
      </c>
      <c r="O19" s="26">
        <v>1918</v>
      </c>
      <c r="P19" s="55">
        <f>SUM(D19:O19)</f>
        <v>28414.3</v>
      </c>
      <c r="Q19" s="169"/>
    </row>
    <row r="20" spans="1:17" s="2" customFormat="1" ht="15.6" x14ac:dyDescent="0.3">
      <c r="A20" s="591" t="s">
        <v>183</v>
      </c>
      <c r="B20" s="592"/>
      <c r="C20" s="11" t="s">
        <v>152</v>
      </c>
      <c r="D20" s="555"/>
      <c r="E20" s="26"/>
      <c r="F20" s="26">
        <v>529</v>
      </c>
      <c r="G20" s="26">
        <v>339</v>
      </c>
      <c r="H20" s="26"/>
      <c r="I20" s="26">
        <v>554</v>
      </c>
      <c r="J20" s="26">
        <v>442</v>
      </c>
      <c r="K20" s="26">
        <v>331</v>
      </c>
      <c r="L20" s="26">
        <v>556</v>
      </c>
      <c r="M20" s="26">
        <v>415</v>
      </c>
      <c r="N20" s="26">
        <v>515</v>
      </c>
      <c r="O20" s="26">
        <v>270</v>
      </c>
      <c r="P20" s="55">
        <f>SUM(D20:O20)</f>
        <v>3951</v>
      </c>
      <c r="Q20" s="169"/>
    </row>
    <row r="21" spans="1:17" s="73" customFormat="1" ht="15.6" x14ac:dyDescent="0.3">
      <c r="A21" s="593" t="s">
        <v>184</v>
      </c>
      <c r="B21" s="594"/>
      <c r="C21" s="62" t="s">
        <v>152</v>
      </c>
      <c r="D21" s="34">
        <f>SUM(D17:D20)</f>
        <v>6199</v>
      </c>
      <c r="E21" s="34">
        <f t="shared" ref="E21:P21" si="1">SUM(E17:E20)</f>
        <v>5929</v>
      </c>
      <c r="F21" s="34">
        <f t="shared" si="1"/>
        <v>5854</v>
      </c>
      <c r="G21" s="34">
        <f t="shared" si="1"/>
        <v>4934</v>
      </c>
      <c r="H21" s="34">
        <f t="shared" si="1"/>
        <v>5688.3</v>
      </c>
      <c r="I21" s="34">
        <f t="shared" si="1"/>
        <v>6026</v>
      </c>
      <c r="J21" s="34">
        <f t="shared" si="1"/>
        <v>6772</v>
      </c>
      <c r="K21" s="34">
        <f t="shared" si="1"/>
        <v>6201</v>
      </c>
      <c r="L21" s="34">
        <f t="shared" si="1"/>
        <v>6475</v>
      </c>
      <c r="M21" s="34">
        <f t="shared" si="1"/>
        <v>6937</v>
      </c>
      <c r="N21" s="34">
        <f t="shared" si="1"/>
        <v>7330</v>
      </c>
      <c r="O21" s="34">
        <v>6783</v>
      </c>
      <c r="P21" s="55">
        <f t="shared" si="1"/>
        <v>75128.3</v>
      </c>
      <c r="Q21" s="169"/>
    </row>
    <row r="22" spans="1:17" s="2" customFormat="1" ht="15.6" x14ac:dyDescent="0.3">
      <c r="A22" s="75" t="s">
        <v>185</v>
      </c>
      <c r="B22" s="79"/>
      <c r="C22" s="11" t="s">
        <v>152</v>
      </c>
      <c r="D22" s="34">
        <f>D21+D15</f>
        <v>14314</v>
      </c>
      <c r="E22" s="34">
        <f t="shared" ref="E22:P22" si="2">E21+E15</f>
        <v>15378</v>
      </c>
      <c r="F22" s="34">
        <f t="shared" si="2"/>
        <v>15646</v>
      </c>
      <c r="G22" s="34">
        <f t="shared" si="2"/>
        <v>13547</v>
      </c>
      <c r="H22" s="34">
        <f t="shared" si="2"/>
        <v>15058.3</v>
      </c>
      <c r="I22" s="34">
        <f t="shared" si="2"/>
        <v>16792</v>
      </c>
      <c r="J22" s="34">
        <f t="shared" si="2"/>
        <v>18631</v>
      </c>
      <c r="K22" s="34">
        <f t="shared" si="2"/>
        <v>17255</v>
      </c>
      <c r="L22" s="34">
        <f t="shared" si="2"/>
        <v>17396</v>
      </c>
      <c r="M22" s="34">
        <f t="shared" si="2"/>
        <v>17880</v>
      </c>
      <c r="N22" s="34">
        <f t="shared" si="2"/>
        <v>18961</v>
      </c>
      <c r="O22" s="34">
        <v>17057</v>
      </c>
      <c r="P22" s="55">
        <f t="shared" si="2"/>
        <v>197915.3</v>
      </c>
    </row>
    <row r="23" spans="1:17" x14ac:dyDescent="0.3">
      <c r="A23" s="607"/>
      <c r="B23" s="608"/>
      <c r="C23" s="608"/>
      <c r="D23" s="608"/>
      <c r="E23" s="608"/>
      <c r="F23" s="608"/>
      <c r="G23" s="608"/>
      <c r="H23" s="608"/>
      <c r="I23" s="608"/>
      <c r="J23" s="608"/>
      <c r="K23" s="608"/>
      <c r="L23" s="608"/>
      <c r="M23" s="608"/>
      <c r="N23" s="608"/>
      <c r="O23" s="608"/>
      <c r="P23" s="609"/>
    </row>
    <row r="24" spans="1:17" ht="15.6" x14ac:dyDescent="0.3">
      <c r="A24" s="610" t="s">
        <v>179</v>
      </c>
      <c r="B24" s="37" t="s">
        <v>153</v>
      </c>
      <c r="C24" s="5" t="s">
        <v>152</v>
      </c>
      <c r="D24" s="54">
        <f>D9-D22</f>
        <v>4256</v>
      </c>
      <c r="E24" s="54">
        <f t="shared" ref="E24:P24" si="3">E9-E22</f>
        <v>5151</v>
      </c>
      <c r="F24" s="54">
        <f t="shared" si="3"/>
        <v>5207</v>
      </c>
      <c r="G24" s="54">
        <f t="shared" si="3"/>
        <v>4672</v>
      </c>
      <c r="H24" s="54">
        <f t="shared" si="3"/>
        <v>5221.7000000000007</v>
      </c>
      <c r="I24" s="54">
        <f t="shared" si="3"/>
        <v>5744</v>
      </c>
      <c r="J24" s="54">
        <f t="shared" si="3"/>
        <v>6405</v>
      </c>
      <c r="K24" s="54">
        <f t="shared" si="3"/>
        <v>6116</v>
      </c>
      <c r="L24" s="54">
        <f t="shared" si="3"/>
        <v>5967</v>
      </c>
      <c r="M24" s="54">
        <f t="shared" si="3"/>
        <v>6228</v>
      </c>
      <c r="N24" s="54">
        <f t="shared" si="3"/>
        <v>5701</v>
      </c>
      <c r="O24" s="54">
        <v>5781</v>
      </c>
      <c r="P24" s="100">
        <f t="shared" si="3"/>
        <v>66449.700000000012</v>
      </c>
    </row>
    <row r="25" spans="1:17" ht="15.6" x14ac:dyDescent="0.3">
      <c r="A25" s="611"/>
      <c r="B25" s="53" t="s">
        <v>151</v>
      </c>
      <c r="C25" s="52" t="s">
        <v>6</v>
      </c>
      <c r="D25" s="51">
        <f t="shared" ref="D25:P25" si="4">D24/D9</f>
        <v>0.22918686052773291</v>
      </c>
      <c r="E25" s="51">
        <f t="shared" si="4"/>
        <v>0.25091334210141752</v>
      </c>
      <c r="F25" s="51">
        <f t="shared" si="4"/>
        <v>0.24970028293291133</v>
      </c>
      <c r="G25" s="51">
        <f t="shared" si="4"/>
        <v>0.256435589220045</v>
      </c>
      <c r="H25" s="51">
        <f t="shared" si="4"/>
        <v>0.25748027613412233</v>
      </c>
      <c r="I25" s="51">
        <f t="shared" si="4"/>
        <v>0.2548810791622293</v>
      </c>
      <c r="J25" s="51">
        <f t="shared" si="4"/>
        <v>0.25583160249241094</v>
      </c>
      <c r="K25" s="51">
        <f t="shared" si="4"/>
        <v>0.26169184031492021</v>
      </c>
      <c r="L25" s="51">
        <f t="shared" si="4"/>
        <v>0.25540384368445834</v>
      </c>
      <c r="M25" s="51">
        <f t="shared" si="4"/>
        <v>0.25833748133399703</v>
      </c>
      <c r="N25" s="51">
        <f t="shared" si="4"/>
        <v>0.2311653556078177</v>
      </c>
      <c r="O25" s="51">
        <v>0.253130747000613</v>
      </c>
      <c r="P25" s="101">
        <f t="shared" si="4"/>
        <v>0.25135589053013829</v>
      </c>
    </row>
    <row r="26" spans="1:17" x14ac:dyDescent="0.3">
      <c r="A26" s="595" t="s">
        <v>150</v>
      </c>
      <c r="B26" s="596"/>
      <c r="C26" s="596"/>
      <c r="D26" s="596"/>
      <c r="E26" s="596"/>
      <c r="F26" s="596"/>
      <c r="G26" s="596"/>
      <c r="H26" s="596"/>
      <c r="I26" s="596"/>
      <c r="J26" s="596"/>
      <c r="K26" s="596"/>
      <c r="L26" s="596"/>
      <c r="M26" s="596"/>
      <c r="N26" s="596"/>
      <c r="O26" s="596"/>
      <c r="P26" s="597"/>
    </row>
    <row r="27" spans="1:17" x14ac:dyDescent="0.3">
      <c r="A27" s="612" t="s">
        <v>149</v>
      </c>
      <c r="B27" s="613"/>
      <c r="C27" s="613"/>
      <c r="D27" s="613"/>
      <c r="E27" s="613"/>
      <c r="F27" s="613"/>
      <c r="G27" s="613"/>
      <c r="H27" s="613"/>
      <c r="I27" s="613"/>
      <c r="J27" s="613"/>
      <c r="K27" s="613"/>
      <c r="L27" s="613"/>
      <c r="M27" s="613"/>
      <c r="N27" s="613"/>
      <c r="O27" s="613"/>
      <c r="P27" s="614"/>
    </row>
    <row r="28" spans="1:17" ht="15.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7" ht="15.6" x14ac:dyDescent="0.3">
      <c r="A29" s="587" t="s">
        <v>146</v>
      </c>
      <c r="B29" s="585">
        <v>3525.29</v>
      </c>
      <c r="C29" s="5" t="s">
        <v>140</v>
      </c>
      <c r="D29" s="4">
        <v>8.5</v>
      </c>
      <c r="E29" s="4">
        <v>11</v>
      </c>
      <c r="F29" s="4">
        <v>10.5</v>
      </c>
      <c r="G29" s="4">
        <v>12.25</v>
      </c>
      <c r="H29" s="4">
        <v>11.5</v>
      </c>
      <c r="I29" s="4">
        <v>13.75</v>
      </c>
      <c r="J29" s="4">
        <v>11.5</v>
      </c>
      <c r="K29" s="4">
        <v>11.25</v>
      </c>
      <c r="L29" s="43">
        <v>10</v>
      </c>
      <c r="M29" s="43">
        <v>15</v>
      </c>
      <c r="N29" s="43">
        <v>16</v>
      </c>
      <c r="O29" s="43">
        <v>18</v>
      </c>
      <c r="P29" s="45">
        <f>SUM(D29:O29)</f>
        <v>149.25</v>
      </c>
    </row>
    <row r="30" spans="1:17" ht="15.6" x14ac:dyDescent="0.3">
      <c r="A30" s="588"/>
      <c r="B30" s="586"/>
      <c r="C30" s="42" t="s">
        <v>139</v>
      </c>
      <c r="D30" s="15">
        <f t="shared" ref="D30:K32" si="5">D29/(D9/1000)</f>
        <v>0.45772751750134627</v>
      </c>
      <c r="E30" s="15">
        <f t="shared" si="5"/>
        <v>0.53582736616493742</v>
      </c>
      <c r="F30" s="15">
        <f t="shared" si="5"/>
        <v>0.50352467270896273</v>
      </c>
      <c r="G30" s="15">
        <f t="shared" si="5"/>
        <v>0.6723749931390306</v>
      </c>
      <c r="H30" s="15">
        <f t="shared" si="5"/>
        <v>0.56706114398422092</v>
      </c>
      <c r="I30" s="15">
        <f t="shared" si="5"/>
        <v>0.61013489527866516</v>
      </c>
      <c r="J30" s="15">
        <f t="shared" si="5"/>
        <v>0.4593385524844224</v>
      </c>
      <c r="K30" s="15">
        <f t="shared" si="5"/>
        <v>0.48136579521629375</v>
      </c>
      <c r="L30" s="15">
        <f t="shared" ref="L30:P30" si="6">L29/(L9/1000)</f>
        <v>0.428027222531353</v>
      </c>
      <c r="M30" s="15">
        <f t="shared" si="6"/>
        <v>0.62220009955201594</v>
      </c>
      <c r="N30" s="15">
        <f t="shared" si="6"/>
        <v>0.64877138918173716</v>
      </c>
      <c r="O30" s="15">
        <v>0.78816008407040894</v>
      </c>
      <c r="P30" s="103">
        <f t="shared" si="6"/>
        <v>0.56456036162124335</v>
      </c>
    </row>
    <row r="31" spans="1:17" ht="15.6" x14ac:dyDescent="0.3">
      <c r="A31" s="605" t="s">
        <v>145</v>
      </c>
      <c r="B31" s="243"/>
      <c r="C31" s="5" t="s">
        <v>140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5">
        <f>SUM(D31:O31)</f>
        <v>0</v>
      </c>
    </row>
    <row r="32" spans="1:17" ht="15.6" x14ac:dyDescent="0.3">
      <c r="A32" s="606"/>
      <c r="B32" s="244">
        <v>1060.01</v>
      </c>
      <c r="C32" s="42" t="s">
        <v>139</v>
      </c>
      <c r="D32" s="15">
        <f t="shared" si="5"/>
        <v>0</v>
      </c>
      <c r="E32" s="15">
        <f t="shared" si="5"/>
        <v>0</v>
      </c>
      <c r="F32" s="15">
        <f t="shared" si="5"/>
        <v>0</v>
      </c>
      <c r="G32" s="15">
        <f t="shared" si="5"/>
        <v>0</v>
      </c>
      <c r="H32" s="15">
        <f t="shared" ref="H32:P32" si="7">H31/(H9/1000)</f>
        <v>0</v>
      </c>
      <c r="I32" s="15">
        <f t="shared" si="7"/>
        <v>0</v>
      </c>
      <c r="J32" s="15">
        <f t="shared" si="7"/>
        <v>0</v>
      </c>
      <c r="K32" s="15">
        <f t="shared" si="7"/>
        <v>0</v>
      </c>
      <c r="L32" s="15">
        <f t="shared" si="7"/>
        <v>0</v>
      </c>
      <c r="M32" s="15">
        <f t="shared" si="7"/>
        <v>0</v>
      </c>
      <c r="N32" s="15">
        <f t="shared" si="7"/>
        <v>0</v>
      </c>
      <c r="O32" s="15">
        <v>0</v>
      </c>
      <c r="P32" s="103">
        <f t="shared" si="7"/>
        <v>0</v>
      </c>
    </row>
    <row r="33" spans="1:16" ht="15.6" x14ac:dyDescent="0.3">
      <c r="A33" s="605" t="s">
        <v>144</v>
      </c>
      <c r="B33" s="243"/>
      <c r="C33" s="5" t="s">
        <v>140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5">
        <f>SUM(D33:O33)</f>
        <v>0</v>
      </c>
    </row>
    <row r="34" spans="1:16" ht="15.6" x14ac:dyDescent="0.3">
      <c r="A34" s="606"/>
      <c r="B34" s="244">
        <v>1228.29</v>
      </c>
      <c r="C34" s="42" t="s">
        <v>139</v>
      </c>
      <c r="D34" s="15">
        <f t="shared" ref="D34:G34" si="8">D33/(D9/1000)</f>
        <v>0</v>
      </c>
      <c r="E34" s="15">
        <f t="shared" si="8"/>
        <v>0</v>
      </c>
      <c r="F34" s="15">
        <f t="shared" si="8"/>
        <v>0</v>
      </c>
      <c r="G34" s="15">
        <f t="shared" si="8"/>
        <v>0</v>
      </c>
      <c r="H34" s="15">
        <f t="shared" ref="H34:P34" si="9">H33/(H9/1000)</f>
        <v>0</v>
      </c>
      <c r="I34" s="15">
        <f t="shared" si="9"/>
        <v>0</v>
      </c>
      <c r="J34" s="15">
        <f t="shared" si="9"/>
        <v>0</v>
      </c>
      <c r="K34" s="15">
        <f t="shared" si="9"/>
        <v>0</v>
      </c>
      <c r="L34" s="15">
        <f t="shared" si="9"/>
        <v>0</v>
      </c>
      <c r="M34" s="15">
        <f t="shared" si="9"/>
        <v>0</v>
      </c>
      <c r="N34" s="15">
        <f t="shared" si="9"/>
        <v>0</v>
      </c>
      <c r="O34" s="15">
        <v>0</v>
      </c>
      <c r="P34" s="103">
        <f t="shared" si="9"/>
        <v>0</v>
      </c>
    </row>
    <row r="35" spans="1:16" ht="15.6" x14ac:dyDescent="0.3">
      <c r="A35" s="605" t="s">
        <v>143</v>
      </c>
      <c r="B35" s="243"/>
      <c r="C35" s="5" t="s">
        <v>126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03"/>
    </row>
    <row r="36" spans="1:16" ht="15.6" x14ac:dyDescent="0.3">
      <c r="A36" s="606"/>
      <c r="B36" s="244">
        <v>3726.73</v>
      </c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03"/>
    </row>
    <row r="37" spans="1:16" ht="15.6" x14ac:dyDescent="0.3">
      <c r="A37" s="605" t="s">
        <v>186</v>
      </c>
      <c r="B37" s="243"/>
      <c r="C37" s="5" t="s">
        <v>126</v>
      </c>
      <c r="D37" s="43"/>
      <c r="E37" s="43"/>
      <c r="F37" s="43"/>
      <c r="G37" s="43"/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5">
        <f>SUM(D37:O37)</f>
        <v>0</v>
      </c>
    </row>
    <row r="38" spans="1:16" ht="15.6" x14ac:dyDescent="0.3">
      <c r="A38" s="606"/>
      <c r="B38" s="244">
        <v>3951.59</v>
      </c>
      <c r="C38" s="5" t="s">
        <v>142</v>
      </c>
      <c r="D38" s="15">
        <f t="shared" ref="D38:G38" si="10">D37/(D9/1000)</f>
        <v>0</v>
      </c>
      <c r="E38" s="15">
        <f t="shared" si="10"/>
        <v>0</v>
      </c>
      <c r="F38" s="15">
        <f t="shared" si="10"/>
        <v>0</v>
      </c>
      <c r="G38" s="15">
        <f t="shared" si="10"/>
        <v>0</v>
      </c>
      <c r="H38" s="15">
        <f t="shared" ref="H38:P38" si="11">H37/(H9/1000)</f>
        <v>0</v>
      </c>
      <c r="I38" s="15">
        <f t="shared" si="11"/>
        <v>0</v>
      </c>
      <c r="J38" s="15">
        <f t="shared" si="11"/>
        <v>0</v>
      </c>
      <c r="K38" s="15">
        <f t="shared" si="11"/>
        <v>0</v>
      </c>
      <c r="L38" s="15">
        <f t="shared" si="11"/>
        <v>0</v>
      </c>
      <c r="M38" s="15">
        <f t="shared" si="11"/>
        <v>0</v>
      </c>
      <c r="N38" s="15">
        <f t="shared" si="11"/>
        <v>0</v>
      </c>
      <c r="O38" s="15">
        <v>0</v>
      </c>
      <c r="P38" s="103">
        <f t="shared" si="11"/>
        <v>0</v>
      </c>
    </row>
    <row r="39" spans="1:16" ht="15.6" x14ac:dyDescent="0.3">
      <c r="A39" s="605" t="s">
        <v>141</v>
      </c>
      <c r="B39" s="243"/>
      <c r="C39" s="5" t="s">
        <v>140</v>
      </c>
      <c r="D39" s="43"/>
      <c r="E39" s="43"/>
      <c r="F39" s="43"/>
      <c r="G39" s="43"/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5">
        <f>SUM(D39:O39)</f>
        <v>0</v>
      </c>
    </row>
    <row r="40" spans="1:16" ht="15.6" x14ac:dyDescent="0.3">
      <c r="A40" s="606"/>
      <c r="B40" s="244">
        <v>1950</v>
      </c>
      <c r="C40" s="42" t="s">
        <v>139</v>
      </c>
      <c r="D40" s="15">
        <f t="shared" ref="D40:G40" si="12">D39/(D9/1000)</f>
        <v>0</v>
      </c>
      <c r="E40" s="15">
        <f t="shared" si="12"/>
        <v>0</v>
      </c>
      <c r="F40" s="15">
        <f t="shared" si="12"/>
        <v>0</v>
      </c>
      <c r="G40" s="15">
        <f t="shared" si="12"/>
        <v>0</v>
      </c>
      <c r="H40" s="15">
        <f t="shared" ref="H40:P40" si="13">H39/(H9/1000)</f>
        <v>0</v>
      </c>
      <c r="I40" s="15">
        <f t="shared" si="13"/>
        <v>0</v>
      </c>
      <c r="J40" s="15">
        <f t="shared" si="13"/>
        <v>0</v>
      </c>
      <c r="K40" s="15">
        <f t="shared" si="13"/>
        <v>0</v>
      </c>
      <c r="L40" s="15">
        <f t="shared" si="13"/>
        <v>0</v>
      </c>
      <c r="M40" s="15">
        <f t="shared" si="13"/>
        <v>0</v>
      </c>
      <c r="N40" s="15">
        <f t="shared" si="13"/>
        <v>0</v>
      </c>
      <c r="O40" s="15">
        <v>0</v>
      </c>
      <c r="P40" s="103">
        <f t="shared" si="13"/>
        <v>0</v>
      </c>
    </row>
    <row r="41" spans="1:16" ht="15.6" x14ac:dyDescent="0.3">
      <c r="A41" s="591" t="s">
        <v>138</v>
      </c>
      <c r="B41" s="592"/>
      <c r="C41" s="11" t="s">
        <v>31</v>
      </c>
      <c r="D41" s="41">
        <f>(D29*$B29)+(D31*$B31)+(D33*$B33)+(D35*$B35)+(D37*$B37)+(D39*$B39)</f>
        <v>29964.965</v>
      </c>
      <c r="E41" s="41">
        <f t="shared" ref="E41:N41" si="14">(E29*$B29)+(E31*$B31)+(E33*$B33)+(E35*$B35)+(E37*$B37)+(E39*$B39)</f>
        <v>38778.19</v>
      </c>
      <c r="F41" s="41">
        <f t="shared" si="14"/>
        <v>37015.544999999998</v>
      </c>
      <c r="G41" s="41">
        <f t="shared" si="14"/>
        <v>43184.802499999998</v>
      </c>
      <c r="H41" s="41">
        <f t="shared" si="14"/>
        <v>40540.834999999999</v>
      </c>
      <c r="I41" s="41">
        <f t="shared" si="14"/>
        <v>48472.737500000003</v>
      </c>
      <c r="J41" s="41">
        <f t="shared" si="14"/>
        <v>40540.834999999999</v>
      </c>
      <c r="K41" s="41">
        <f t="shared" si="14"/>
        <v>39659.512499999997</v>
      </c>
      <c r="L41" s="41">
        <f t="shared" si="14"/>
        <v>35252.9</v>
      </c>
      <c r="M41" s="41">
        <f t="shared" si="14"/>
        <v>52879.35</v>
      </c>
      <c r="N41" s="41">
        <f t="shared" si="14"/>
        <v>56404.639999999999</v>
      </c>
      <c r="O41" s="41">
        <v>63455.22</v>
      </c>
      <c r="P41" s="39">
        <f>SUM(D41:O41)</f>
        <v>526149.53250000009</v>
      </c>
    </row>
    <row r="42" spans="1:16" ht="15.6" x14ac:dyDescent="0.3">
      <c r="A42" s="615" t="s">
        <v>137</v>
      </c>
      <c r="B42" s="616"/>
      <c r="C42" s="42" t="s">
        <v>115</v>
      </c>
      <c r="D42" s="15">
        <f t="shared" ref="D42:P42" si="15">D41/D9</f>
        <v>1.613622240172321</v>
      </c>
      <c r="E42" s="15">
        <f t="shared" si="15"/>
        <v>1.8889468556675924</v>
      </c>
      <c r="F42" s="15">
        <f t="shared" si="15"/>
        <v>1.7750704934541792</v>
      </c>
      <c r="G42" s="15">
        <f t="shared" si="15"/>
        <v>2.3703168395630936</v>
      </c>
      <c r="H42" s="15">
        <f t="shared" si="15"/>
        <v>1.9990549802761342</v>
      </c>
      <c r="I42" s="15">
        <f t="shared" si="15"/>
        <v>2.1509024449769258</v>
      </c>
      <c r="J42" s="15">
        <f t="shared" si="15"/>
        <v>1.6193016056878096</v>
      </c>
      <c r="K42" s="15">
        <f t="shared" si="15"/>
        <v>1.6969540242180479</v>
      </c>
      <c r="L42" s="15">
        <f t="shared" si="15"/>
        <v>1.5089200873175534</v>
      </c>
      <c r="M42" s="15">
        <f t="shared" si="15"/>
        <v>2.193435788949726</v>
      </c>
      <c r="N42" s="15">
        <f t="shared" si="15"/>
        <v>2.2871072905684859</v>
      </c>
      <c r="O42" s="15">
        <v>2.778492862772572</v>
      </c>
      <c r="P42" s="44">
        <f t="shared" si="15"/>
        <v>1.9902389972197534</v>
      </c>
    </row>
    <row r="43" spans="1:16" x14ac:dyDescent="0.3">
      <c r="A43" s="617" t="s">
        <v>136</v>
      </c>
      <c r="B43" s="618"/>
      <c r="C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  <c r="P43" s="619"/>
    </row>
    <row r="44" spans="1:16" ht="15.6" x14ac:dyDescent="0.3">
      <c r="A44" s="591" t="s">
        <v>135</v>
      </c>
      <c r="B44" s="592"/>
      <c r="C44" s="11" t="s">
        <v>134</v>
      </c>
      <c r="D44" s="4">
        <v>15231</v>
      </c>
      <c r="E44" s="4">
        <v>17195</v>
      </c>
      <c r="F44" s="4">
        <v>17583</v>
      </c>
      <c r="G44" s="4">
        <v>16730</v>
      </c>
      <c r="H44" s="4">
        <v>15557</v>
      </c>
      <c r="I44" s="4">
        <v>16222</v>
      </c>
      <c r="J44" s="4">
        <v>15565</v>
      </c>
      <c r="K44" s="4">
        <v>15286</v>
      </c>
      <c r="L44" s="43">
        <v>10491</v>
      </c>
      <c r="M44" s="43">
        <v>17320</v>
      </c>
      <c r="N44" s="4">
        <v>12113</v>
      </c>
      <c r="O44" s="43">
        <v>16615</v>
      </c>
      <c r="P44" s="39">
        <f>SUM(D44:O44)</f>
        <v>185908</v>
      </c>
    </row>
    <row r="45" spans="1:16" ht="15.6" x14ac:dyDescent="0.3">
      <c r="A45" s="615" t="s">
        <v>133</v>
      </c>
      <c r="B45" s="616"/>
      <c r="C45" s="42" t="s">
        <v>132</v>
      </c>
      <c r="D45" s="15">
        <f t="shared" ref="D45:K45" si="16">D44/D9</f>
        <v>0.82019386106623582</v>
      </c>
      <c r="E45" s="15">
        <f t="shared" si="16"/>
        <v>0.83759559647328174</v>
      </c>
      <c r="F45" s="15">
        <f t="shared" si="16"/>
        <v>0.84318803049920876</v>
      </c>
      <c r="G45" s="15">
        <f t="shared" si="16"/>
        <v>0.91827213348701908</v>
      </c>
      <c r="H45" s="15">
        <f t="shared" si="16"/>
        <v>0.76711045364891517</v>
      </c>
      <c r="I45" s="15">
        <f t="shared" si="16"/>
        <v>0.71982605608803696</v>
      </c>
      <c r="J45" s="15">
        <f t="shared" si="16"/>
        <v>0.62170474516695962</v>
      </c>
      <c r="K45" s="15">
        <f t="shared" si="16"/>
        <v>0.65405844850455697</v>
      </c>
      <c r="L45" s="15">
        <f t="shared" ref="L45:P45" si="17">L44/L9</f>
        <v>0.44904335915764243</v>
      </c>
      <c r="M45" s="15">
        <f t="shared" si="17"/>
        <v>0.71843371494939434</v>
      </c>
      <c r="N45" s="15">
        <f t="shared" si="17"/>
        <v>0.49116048982239885</v>
      </c>
      <c r="O45" s="15">
        <v>0.72751554426832477</v>
      </c>
      <c r="P45" s="103">
        <f t="shared" si="17"/>
        <v>0.70322470826319672</v>
      </c>
    </row>
    <row r="46" spans="1:16" ht="15.6" x14ac:dyDescent="0.3">
      <c r="A46" s="620" t="s">
        <v>131</v>
      </c>
      <c r="B46" s="621"/>
      <c r="C46" s="5" t="s">
        <v>31</v>
      </c>
      <c r="D46" s="41">
        <f>151.1*D44</f>
        <v>2301404.1</v>
      </c>
      <c r="E46" s="41">
        <f t="shared" ref="E46:J46" si="18">151.1*E44</f>
        <v>2598164.5</v>
      </c>
      <c r="F46" s="41">
        <f t="shared" si="18"/>
        <v>2656791.2999999998</v>
      </c>
      <c r="G46" s="41">
        <f t="shared" si="18"/>
        <v>2527903</v>
      </c>
      <c r="H46" s="41">
        <f t="shared" si="18"/>
        <v>2350662.6999999997</v>
      </c>
      <c r="I46" s="41">
        <f t="shared" si="18"/>
        <v>2451144.1999999997</v>
      </c>
      <c r="J46" s="41">
        <f t="shared" si="18"/>
        <v>2351871.5</v>
      </c>
      <c r="K46" s="3">
        <f t="shared" ref="K46:N46" si="19">1.165*(14100+(K44*119.1))</f>
        <v>2137381.929</v>
      </c>
      <c r="L46" s="3">
        <f t="shared" si="19"/>
        <v>1472068.4864999999</v>
      </c>
      <c r="M46" s="3">
        <f t="shared" si="19"/>
        <v>2419602.48</v>
      </c>
      <c r="N46" s="3">
        <f t="shared" si="19"/>
        <v>1697123.4195000001</v>
      </c>
      <c r="O46" s="3">
        <v>2321782.6724999999</v>
      </c>
      <c r="P46" s="39">
        <f>SUM(D46:O46)</f>
        <v>27285900.287499998</v>
      </c>
    </row>
    <row r="47" spans="1:16" s="2" customFormat="1" ht="15.6" x14ac:dyDescent="0.3">
      <c r="A47" s="591" t="s">
        <v>130</v>
      </c>
      <c r="B47" s="592"/>
      <c r="C47" s="11" t="s">
        <v>115</v>
      </c>
      <c r="D47" s="15">
        <f t="shared" ref="D47:G47" si="20">D46/D9</f>
        <v>123.93129240710824</v>
      </c>
      <c r="E47" s="15">
        <f t="shared" si="20"/>
        <v>126.56069462711287</v>
      </c>
      <c r="F47" s="15">
        <f t="shared" si="20"/>
        <v>127.40571140843043</v>
      </c>
      <c r="G47" s="15">
        <f t="shared" si="20"/>
        <v>138.75091936988858</v>
      </c>
      <c r="H47" s="15">
        <f t="shared" ref="H47:P47" si="21">H46/H9</f>
        <v>115.91038954635107</v>
      </c>
      <c r="I47" s="15">
        <f t="shared" si="21"/>
        <v>108.76571707490237</v>
      </c>
      <c r="J47" s="15">
        <f t="shared" si="21"/>
        <v>93.939586994727591</v>
      </c>
      <c r="K47" s="15">
        <f t="shared" si="21"/>
        <v>91.454449060801849</v>
      </c>
      <c r="L47" s="15">
        <f t="shared" si="21"/>
        <v>63.008538565252742</v>
      </c>
      <c r="M47" s="15">
        <f t="shared" si="21"/>
        <v>100.3651269288203</v>
      </c>
      <c r="N47" s="15">
        <f t="shared" si="21"/>
        <v>68.815319905117192</v>
      </c>
      <c r="O47" s="15">
        <v>101.6631347972677</v>
      </c>
      <c r="P47" s="103">
        <f t="shared" si="21"/>
        <v>103.21298313884212</v>
      </c>
    </row>
    <row r="48" spans="1:16" x14ac:dyDescent="0.3">
      <c r="A48" s="617" t="s">
        <v>129</v>
      </c>
      <c r="B48" s="618"/>
      <c r="C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  <c r="P48" s="619"/>
    </row>
    <row r="49" spans="1:16" ht="15.6" x14ac:dyDescent="0.3">
      <c r="A49" s="591" t="s">
        <v>128</v>
      </c>
      <c r="B49" s="592"/>
      <c r="C49" s="5" t="s">
        <v>127</v>
      </c>
      <c r="D49" s="4">
        <v>439</v>
      </c>
      <c r="E49" s="4">
        <v>2469</v>
      </c>
      <c r="F49" s="4">
        <v>975</v>
      </c>
      <c r="G49" s="4">
        <v>1733</v>
      </c>
      <c r="H49" s="4">
        <v>2154</v>
      </c>
      <c r="I49" s="4">
        <v>1644</v>
      </c>
      <c r="J49" s="4">
        <v>1313</v>
      </c>
      <c r="K49" s="4">
        <v>3060</v>
      </c>
      <c r="L49" s="4">
        <v>1870</v>
      </c>
      <c r="M49" s="4">
        <v>2531</v>
      </c>
      <c r="N49" s="4">
        <v>3809</v>
      </c>
      <c r="O49" s="4">
        <v>2072</v>
      </c>
      <c r="P49" s="39">
        <f>SUM(D49:O49)</f>
        <v>24069</v>
      </c>
    </row>
    <row r="50" spans="1:16" ht="15.6" x14ac:dyDescent="0.3">
      <c r="A50" s="591" t="s">
        <v>187</v>
      </c>
      <c r="B50" s="592"/>
      <c r="C50" s="5" t="s">
        <v>126</v>
      </c>
      <c r="D50" s="4">
        <v>55</v>
      </c>
      <c r="E50" s="4">
        <v>246</v>
      </c>
      <c r="F50" s="4">
        <v>144</v>
      </c>
      <c r="G50" s="4">
        <v>183</v>
      </c>
      <c r="H50" s="4">
        <v>250</v>
      </c>
      <c r="I50" s="4">
        <v>186</v>
      </c>
      <c r="J50" s="4">
        <v>169</v>
      </c>
      <c r="K50" s="4">
        <v>257</v>
      </c>
      <c r="L50" s="4">
        <v>297</v>
      </c>
      <c r="M50" s="4">
        <v>312</v>
      </c>
      <c r="N50" s="4">
        <v>395</v>
      </c>
      <c r="O50" s="4">
        <v>258</v>
      </c>
      <c r="P50" s="39">
        <f>SUM(D50:O50)</f>
        <v>2752</v>
      </c>
    </row>
    <row r="51" spans="1:16" ht="15.6" x14ac:dyDescent="0.3">
      <c r="A51" s="620" t="s">
        <v>125</v>
      </c>
      <c r="B51" s="621"/>
      <c r="C51" s="5" t="s">
        <v>31</v>
      </c>
      <c r="D51" s="13">
        <f t="shared" ref="D51:K51" si="22">D50*1920</f>
        <v>105600</v>
      </c>
      <c r="E51" s="13">
        <f t="shared" si="22"/>
        <v>472320</v>
      </c>
      <c r="F51" s="13">
        <f t="shared" si="22"/>
        <v>276480</v>
      </c>
      <c r="G51" s="13">
        <f t="shared" si="22"/>
        <v>351360</v>
      </c>
      <c r="H51" s="13">
        <f t="shared" si="22"/>
        <v>480000</v>
      </c>
      <c r="I51" s="13">
        <f t="shared" si="22"/>
        <v>357120</v>
      </c>
      <c r="J51" s="13">
        <f t="shared" si="22"/>
        <v>324480</v>
      </c>
      <c r="K51" s="13">
        <f t="shared" si="22"/>
        <v>493440</v>
      </c>
      <c r="L51" s="13">
        <v>570240</v>
      </c>
      <c r="M51" s="13">
        <v>599040</v>
      </c>
      <c r="N51" s="13">
        <f t="shared" ref="N51" si="23">N50*1920</f>
        <v>758400</v>
      </c>
      <c r="O51" s="13">
        <v>495360</v>
      </c>
      <c r="P51" s="40">
        <f>SUM(D51:O51)</f>
        <v>5283840</v>
      </c>
    </row>
    <row r="52" spans="1:16" ht="15.6" x14ac:dyDescent="0.3">
      <c r="A52" s="591" t="s">
        <v>124</v>
      </c>
      <c r="B52" s="592"/>
      <c r="C52" s="5" t="s">
        <v>31</v>
      </c>
      <c r="D52" s="13"/>
      <c r="E52" s="13"/>
      <c r="F52" s="13"/>
      <c r="G52" s="13"/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40">
        <f>SUM(D52:O52)</f>
        <v>0</v>
      </c>
    </row>
    <row r="53" spans="1:16" x14ac:dyDescent="0.3">
      <c r="A53" s="617" t="s">
        <v>123</v>
      </c>
      <c r="B53" s="618"/>
      <c r="C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  <c r="P53" s="619"/>
    </row>
    <row r="54" spans="1:16" ht="15.6" x14ac:dyDescent="0.3">
      <c r="A54" s="591" t="s">
        <v>122</v>
      </c>
      <c r="B54" s="592"/>
      <c r="C54" s="11" t="s">
        <v>18</v>
      </c>
      <c r="D54" s="13">
        <v>3944673.94</v>
      </c>
      <c r="E54" s="13">
        <v>3944673.94</v>
      </c>
      <c r="F54" s="13">
        <v>3944673.94</v>
      </c>
      <c r="G54" s="13">
        <v>4023431.32</v>
      </c>
      <c r="H54" s="13">
        <v>4023431.32</v>
      </c>
      <c r="I54" s="13">
        <v>4460909.18</v>
      </c>
      <c r="J54" s="13">
        <v>4460909.18</v>
      </c>
      <c r="K54" s="13"/>
      <c r="L54" s="13">
        <v>2190683</v>
      </c>
      <c r="M54" s="13"/>
      <c r="N54" s="13"/>
      <c r="O54" s="13"/>
      <c r="P54" s="39">
        <f>SUM(D54:O54)</f>
        <v>30993385.82</v>
      </c>
    </row>
    <row r="55" spans="1:16" ht="15.6" x14ac:dyDescent="0.3">
      <c r="A55" s="78" t="s">
        <v>121</v>
      </c>
      <c r="B55" s="79"/>
      <c r="C55" s="11" t="s">
        <v>18</v>
      </c>
      <c r="D55" s="13">
        <v>690762.09</v>
      </c>
      <c r="E55" s="13">
        <v>690762.09</v>
      </c>
      <c r="F55" s="13">
        <v>690762.09</v>
      </c>
      <c r="G55" s="13">
        <v>725327.92</v>
      </c>
      <c r="H55" s="13">
        <v>725327.92</v>
      </c>
      <c r="I55" s="13">
        <v>730263.07</v>
      </c>
      <c r="J55" s="13">
        <v>730263.07</v>
      </c>
      <c r="K55" s="13"/>
      <c r="L55" s="13">
        <v>93.767195993665197</v>
      </c>
      <c r="M55" s="13"/>
      <c r="N55" s="13"/>
      <c r="O55" s="13"/>
      <c r="P55" s="39">
        <f>SUM(D55:O55)</f>
        <v>4983562.017195994</v>
      </c>
    </row>
    <row r="56" spans="1:16" ht="15.6" x14ac:dyDescent="0.3">
      <c r="A56" s="591" t="s">
        <v>120</v>
      </c>
      <c r="B56" s="592"/>
      <c r="C56" s="5" t="s">
        <v>18</v>
      </c>
      <c r="D56" s="13"/>
      <c r="E56" s="13"/>
      <c r="F56" s="13"/>
      <c r="G56" s="13"/>
      <c r="H56" s="13"/>
      <c r="I56" s="13"/>
      <c r="J56" s="13"/>
      <c r="K56" s="13"/>
      <c r="L56" s="13">
        <v>125.93027132674177</v>
      </c>
      <c r="M56" s="13"/>
      <c r="N56" s="13"/>
      <c r="O56" s="13"/>
      <c r="P56" s="39">
        <f>SUM(D56:O56)</f>
        <v>125.93027132674177</v>
      </c>
    </row>
    <row r="57" spans="1:16" x14ac:dyDescent="0.3">
      <c r="A57" s="617" t="s">
        <v>119</v>
      </c>
      <c r="B57" s="618"/>
      <c r="C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  <c r="P57" s="619"/>
    </row>
    <row r="58" spans="1:16" ht="15.6" x14ac:dyDescent="0.3">
      <c r="A58" s="620" t="s">
        <v>118</v>
      </c>
      <c r="B58" s="621"/>
      <c r="C58" s="5" t="s">
        <v>18</v>
      </c>
      <c r="D58" s="13">
        <f>D41+D46+D51+D52+D54+D55+D56</f>
        <v>7072405.0949999997</v>
      </c>
      <c r="E58" s="13">
        <f t="shared" ref="E58:G58" si="24">E41+E46+E51+E52+E54+E55+E56</f>
        <v>7744698.7199999997</v>
      </c>
      <c r="F58" s="13">
        <f t="shared" si="24"/>
        <v>7605722.875</v>
      </c>
      <c r="G58" s="13">
        <f t="shared" si="24"/>
        <v>7671207.0425000004</v>
      </c>
      <c r="H58" s="13">
        <f t="shared" ref="H58:N58" si="25">H41+H46+H51+H52+H54+H55+H56</f>
        <v>7619962.7749999994</v>
      </c>
      <c r="I58" s="13">
        <f t="shared" si="25"/>
        <v>8047909.1875</v>
      </c>
      <c r="J58" s="13">
        <f t="shared" si="25"/>
        <v>7908064.585</v>
      </c>
      <c r="K58" s="13">
        <f t="shared" si="25"/>
        <v>2670481.4415000002</v>
      </c>
      <c r="L58" s="13">
        <f t="shared" si="25"/>
        <v>4268464.0839673206</v>
      </c>
      <c r="M58" s="13">
        <f t="shared" si="25"/>
        <v>3071521.83</v>
      </c>
      <c r="N58" s="13">
        <f t="shared" si="25"/>
        <v>2511928.0595</v>
      </c>
      <c r="O58" s="13">
        <v>2880597.8925000001</v>
      </c>
      <c r="P58" s="64">
        <f>SUM(D58:O58)</f>
        <v>69072963.587467328</v>
      </c>
    </row>
    <row r="59" spans="1:16" ht="15.6" x14ac:dyDescent="0.3">
      <c r="A59" s="620" t="s">
        <v>117</v>
      </c>
      <c r="B59" s="621"/>
      <c r="C59" s="5" t="s">
        <v>115</v>
      </c>
      <c r="D59" s="15">
        <f t="shared" ref="D59:G59" si="26">D58/D9</f>
        <v>380.85110904684973</v>
      </c>
      <c r="E59" s="15">
        <f t="shared" si="26"/>
        <v>377.25650153441472</v>
      </c>
      <c r="F59" s="15">
        <f t="shared" si="26"/>
        <v>364.73039250947107</v>
      </c>
      <c r="G59" s="15">
        <f t="shared" si="26"/>
        <v>421.05532918930788</v>
      </c>
      <c r="H59" s="15">
        <f t="shared" ref="H59:P59" si="27">H58/H9</f>
        <v>375.73780941814596</v>
      </c>
      <c r="I59" s="15">
        <f t="shared" si="27"/>
        <v>357.11347122381966</v>
      </c>
      <c r="J59" s="15">
        <f t="shared" si="27"/>
        <v>315.86773386323694</v>
      </c>
      <c r="K59" s="15">
        <f t="shared" si="27"/>
        <v>114.26474868426683</v>
      </c>
      <c r="L59" s="15">
        <f t="shared" si="27"/>
        <v>182.70188263353683</v>
      </c>
      <c r="M59" s="15">
        <f t="shared" si="27"/>
        <v>127.40674589347934</v>
      </c>
      <c r="N59" s="15">
        <f t="shared" si="27"/>
        <v>101.85419104290001</v>
      </c>
      <c r="O59" s="15">
        <v>126.13179317365794</v>
      </c>
      <c r="P59" s="103">
        <f t="shared" si="27"/>
        <v>261.27877588738045</v>
      </c>
    </row>
    <row r="60" spans="1:16" ht="15.6" x14ac:dyDescent="0.3">
      <c r="A60" s="620" t="s">
        <v>116</v>
      </c>
      <c r="B60" s="621"/>
      <c r="C60" s="5" t="s">
        <v>115</v>
      </c>
      <c r="D60" s="15">
        <f>D58/D22</f>
        <v>494.09005833449766</v>
      </c>
      <c r="E60" s="15">
        <f t="shared" ref="E60:G60" si="28">E58/E22</f>
        <v>503.62197424892702</v>
      </c>
      <c r="F60" s="15">
        <f t="shared" si="28"/>
        <v>486.11292822446632</v>
      </c>
      <c r="G60" s="15">
        <f t="shared" si="28"/>
        <v>566.26611371521369</v>
      </c>
      <c r="H60" s="15">
        <f t="shared" ref="H60:N60" si="29">H58/H22</f>
        <v>506.03074550248033</v>
      </c>
      <c r="I60" s="15">
        <f t="shared" si="29"/>
        <v>479.27043755955219</v>
      </c>
      <c r="J60" s="15">
        <f t="shared" si="29"/>
        <v>424.45733374483387</v>
      </c>
      <c r="K60" s="15">
        <f t="shared" si="29"/>
        <v>154.76565873659811</v>
      </c>
      <c r="L60" s="15">
        <f t="shared" si="29"/>
        <v>245.37043481072203</v>
      </c>
      <c r="M60" s="15">
        <f t="shared" si="29"/>
        <v>171.78533724832215</v>
      </c>
      <c r="N60" s="15">
        <f t="shared" si="29"/>
        <v>132.4786698750066</v>
      </c>
      <c r="O60" s="15">
        <v>168.88068784076918</v>
      </c>
      <c r="P60" s="104">
        <f>P58/P22</f>
        <v>349.00264702863967</v>
      </c>
    </row>
    <row r="61" spans="1:16" ht="15.6" x14ac:dyDescent="0.3">
      <c r="A61" s="591" t="s">
        <v>114</v>
      </c>
      <c r="B61" s="592"/>
      <c r="C61" s="5" t="s">
        <v>3</v>
      </c>
      <c r="D61" s="4">
        <v>8</v>
      </c>
      <c r="E61" s="4">
        <v>8</v>
      </c>
      <c r="F61" s="4">
        <v>8</v>
      </c>
      <c r="G61" s="4">
        <v>8</v>
      </c>
      <c r="H61" s="4">
        <v>8</v>
      </c>
      <c r="I61" s="4">
        <v>7</v>
      </c>
      <c r="J61" s="4">
        <v>7</v>
      </c>
      <c r="K61" s="4">
        <v>7</v>
      </c>
      <c r="L61" s="4">
        <v>6</v>
      </c>
      <c r="M61" s="4">
        <v>6</v>
      </c>
      <c r="N61" s="4">
        <v>8</v>
      </c>
      <c r="O61" s="4">
        <v>6</v>
      </c>
      <c r="P61" s="9">
        <f>O61</f>
        <v>6</v>
      </c>
    </row>
    <row r="62" spans="1:16" ht="15.6" customHeight="1" x14ac:dyDescent="0.3">
      <c r="A62" s="620" t="s">
        <v>113</v>
      </c>
      <c r="B62" s="621"/>
      <c r="C62" s="5" t="s">
        <v>112</v>
      </c>
      <c r="D62" s="15">
        <f t="shared" ref="D62:H62" si="30">(D61*1000*31)/D9</f>
        <v>13.354873451803986</v>
      </c>
      <c r="E62" s="15">
        <f t="shared" si="30"/>
        <v>12.080471528082224</v>
      </c>
      <c r="F62" s="15">
        <f t="shared" si="30"/>
        <v>11.892773222078358</v>
      </c>
      <c r="G62" s="15">
        <f t="shared" si="30"/>
        <v>13.612163126406498</v>
      </c>
      <c r="H62" s="15">
        <f t="shared" si="30"/>
        <v>12.22879684418146</v>
      </c>
      <c r="I62" s="15">
        <v>6</v>
      </c>
      <c r="J62" s="15">
        <f t="shared" ref="J62:P62" si="31">(J61*1000*31)/J9</f>
        <v>8.6675187729669272</v>
      </c>
      <c r="K62" s="15">
        <f t="shared" si="31"/>
        <v>9.2850113388387321</v>
      </c>
      <c r="L62" s="15">
        <f t="shared" si="31"/>
        <v>7.9613063390831655</v>
      </c>
      <c r="M62" s="15">
        <f t="shared" si="31"/>
        <v>7.7152812344449977</v>
      </c>
      <c r="N62" s="15">
        <f t="shared" si="31"/>
        <v>10.055956532316925</v>
      </c>
      <c r="O62" s="15">
        <v>8.1443208687275597</v>
      </c>
      <c r="P62" s="103">
        <f t="shared" si="31"/>
        <v>0.70357271197019278</v>
      </c>
    </row>
    <row r="63" spans="1:16" ht="15.6" x14ac:dyDescent="0.3">
      <c r="A63" s="634" t="s">
        <v>111</v>
      </c>
      <c r="B63" s="635"/>
      <c r="C63" s="38" t="s">
        <v>3</v>
      </c>
      <c r="D63" s="4">
        <v>6</v>
      </c>
      <c r="E63" s="4">
        <v>6</v>
      </c>
      <c r="F63" s="4">
        <v>6</v>
      </c>
      <c r="G63" s="4">
        <v>6</v>
      </c>
      <c r="H63" s="4">
        <v>6</v>
      </c>
      <c r="I63" s="4">
        <v>6</v>
      </c>
      <c r="J63" s="4">
        <v>6</v>
      </c>
      <c r="K63" s="4">
        <v>6</v>
      </c>
      <c r="L63" s="4">
        <v>6</v>
      </c>
      <c r="M63" s="4">
        <v>6</v>
      </c>
      <c r="N63" s="4">
        <v>6</v>
      </c>
      <c r="O63" s="4">
        <v>6</v>
      </c>
      <c r="P63" s="9">
        <f>SUM(D63:O63)</f>
        <v>72</v>
      </c>
    </row>
    <row r="64" spans="1:16" x14ac:dyDescent="0.3">
      <c r="A64" s="636"/>
      <c r="B64" s="637"/>
      <c r="C64" s="637"/>
      <c r="D64" s="637"/>
      <c r="E64" s="637"/>
      <c r="F64" s="637"/>
      <c r="G64" s="637"/>
      <c r="H64" s="637"/>
      <c r="I64" s="637"/>
      <c r="J64" s="637"/>
      <c r="K64" s="637"/>
      <c r="L64" s="637"/>
      <c r="M64" s="637"/>
      <c r="N64" s="637"/>
      <c r="O64" s="637"/>
      <c r="P64" s="638"/>
    </row>
    <row r="65" spans="1:16" ht="14.4" customHeight="1" x14ac:dyDescent="0.3">
      <c r="A65" s="617" t="s">
        <v>110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9"/>
    </row>
    <row r="66" spans="1:16" ht="15.6" x14ac:dyDescent="0.3">
      <c r="A66" s="622" t="s">
        <v>109</v>
      </c>
      <c r="B66" s="37" t="s">
        <v>85</v>
      </c>
      <c r="C66" s="5" t="s">
        <v>3</v>
      </c>
      <c r="D66" s="551">
        <v>166</v>
      </c>
      <c r="E66" s="4">
        <f>D71</f>
        <v>162</v>
      </c>
      <c r="F66" s="4">
        <f t="shared" ref="F66:I66" si="32">E71</f>
        <v>162</v>
      </c>
      <c r="G66" s="4">
        <f t="shared" si="32"/>
        <v>160</v>
      </c>
      <c r="H66" s="4">
        <f t="shared" si="32"/>
        <v>162</v>
      </c>
      <c r="I66" s="4">
        <f t="shared" si="32"/>
        <v>162</v>
      </c>
      <c r="J66" s="4">
        <v>159</v>
      </c>
      <c r="K66" s="4">
        <f t="shared" ref="K66" si="33">J71</f>
        <v>149</v>
      </c>
      <c r="L66" s="155">
        <v>145</v>
      </c>
      <c r="M66" s="155">
        <v>143</v>
      </c>
      <c r="N66" s="155">
        <v>144</v>
      </c>
      <c r="O66" s="155">
        <v>134</v>
      </c>
      <c r="P66" s="35">
        <f>D66</f>
        <v>166</v>
      </c>
    </row>
    <row r="67" spans="1:16" ht="15.6" x14ac:dyDescent="0.3">
      <c r="A67" s="623"/>
      <c r="B67" s="24" t="s">
        <v>104</v>
      </c>
      <c r="C67" s="5" t="s">
        <v>3</v>
      </c>
      <c r="D67" s="551">
        <v>12</v>
      </c>
      <c r="E67" s="4">
        <v>13</v>
      </c>
      <c r="F67" s="4">
        <v>15</v>
      </c>
      <c r="G67" s="4">
        <v>28</v>
      </c>
      <c r="H67" s="4">
        <v>20</v>
      </c>
      <c r="I67" s="4">
        <v>13</v>
      </c>
      <c r="J67" s="4">
        <v>11</v>
      </c>
      <c r="K67" s="4">
        <v>12</v>
      </c>
      <c r="L67" s="153">
        <v>8</v>
      </c>
      <c r="M67" s="153">
        <v>10</v>
      </c>
      <c r="N67" s="153">
        <v>5</v>
      </c>
      <c r="O67" s="153">
        <v>17</v>
      </c>
      <c r="P67" s="35">
        <f>SUM(D67:O67)</f>
        <v>164</v>
      </c>
    </row>
    <row r="68" spans="1:16" ht="27" x14ac:dyDescent="0.3">
      <c r="A68" s="623"/>
      <c r="B68" s="24" t="s">
        <v>103</v>
      </c>
      <c r="C68" s="5" t="s">
        <v>3</v>
      </c>
      <c r="D68" s="551">
        <v>16</v>
      </c>
      <c r="E68" s="4">
        <v>13</v>
      </c>
      <c r="F68" s="4">
        <v>17</v>
      </c>
      <c r="G68" s="4">
        <v>26</v>
      </c>
      <c r="H68" s="4">
        <v>20</v>
      </c>
      <c r="I68" s="4">
        <v>16</v>
      </c>
      <c r="J68" s="4">
        <v>21</v>
      </c>
      <c r="K68" s="4">
        <v>16</v>
      </c>
      <c r="L68" s="153">
        <v>10</v>
      </c>
      <c r="M68" s="153">
        <v>9</v>
      </c>
      <c r="N68" s="153">
        <v>15</v>
      </c>
      <c r="O68" s="153">
        <v>13</v>
      </c>
      <c r="P68" s="35">
        <f t="shared" ref="P68:P69" si="34">SUM(D68:O68)</f>
        <v>192</v>
      </c>
    </row>
    <row r="69" spans="1:16" s="2" customFormat="1" ht="27" x14ac:dyDescent="0.3">
      <c r="A69" s="623"/>
      <c r="B69" s="24" t="s">
        <v>102</v>
      </c>
      <c r="C69" s="11" t="s">
        <v>3</v>
      </c>
      <c r="D69" s="551"/>
      <c r="E69" s="4"/>
      <c r="F69" s="4"/>
      <c r="G69" s="4"/>
      <c r="H69" s="4"/>
      <c r="I69" s="4"/>
      <c r="J69" s="153"/>
      <c r="K69" s="4"/>
      <c r="L69" s="153"/>
      <c r="M69" s="153"/>
      <c r="N69" s="153"/>
      <c r="O69" s="153"/>
      <c r="P69" s="74">
        <f t="shared" si="34"/>
        <v>0</v>
      </c>
    </row>
    <row r="70" spans="1:16" s="2" customFormat="1" ht="15.6" x14ac:dyDescent="0.3">
      <c r="A70" s="623"/>
      <c r="B70" s="24" t="s">
        <v>188</v>
      </c>
      <c r="C70" s="11" t="s">
        <v>3</v>
      </c>
      <c r="D70" s="4">
        <f>D68+D69</f>
        <v>16</v>
      </c>
      <c r="E70" s="4">
        <f t="shared" ref="E70:I70" si="35">E68+E69</f>
        <v>13</v>
      </c>
      <c r="F70" s="4">
        <f t="shared" si="35"/>
        <v>17</v>
      </c>
      <c r="G70" s="4">
        <f t="shared" si="35"/>
        <v>26</v>
      </c>
      <c r="H70" s="4">
        <f t="shared" si="35"/>
        <v>20</v>
      </c>
      <c r="I70" s="4">
        <f t="shared" si="35"/>
        <v>16</v>
      </c>
      <c r="J70" s="153">
        <f t="shared" ref="J70:K70" si="36">J68+J69</f>
        <v>21</v>
      </c>
      <c r="K70" s="4">
        <f t="shared" si="36"/>
        <v>16</v>
      </c>
      <c r="L70" s="153">
        <v>10</v>
      </c>
      <c r="M70" s="153">
        <v>9</v>
      </c>
      <c r="N70" s="153">
        <v>15</v>
      </c>
      <c r="O70" s="153">
        <v>13</v>
      </c>
      <c r="P70" s="105">
        <f t="shared" ref="P70" si="37">P68+P69</f>
        <v>192</v>
      </c>
    </row>
    <row r="71" spans="1:16" ht="15.6" x14ac:dyDescent="0.3">
      <c r="A71" s="624"/>
      <c r="B71" s="37" t="s">
        <v>81</v>
      </c>
      <c r="C71" s="5" t="s">
        <v>3</v>
      </c>
      <c r="D71" s="26">
        <f>D66+D67-D70</f>
        <v>162</v>
      </c>
      <c r="E71" s="26">
        <f t="shared" ref="E71:I71" si="38">E66+E67-E70</f>
        <v>162</v>
      </c>
      <c r="F71" s="26">
        <f t="shared" si="38"/>
        <v>160</v>
      </c>
      <c r="G71" s="26">
        <f t="shared" si="38"/>
        <v>162</v>
      </c>
      <c r="H71" s="26">
        <f t="shared" si="38"/>
        <v>162</v>
      </c>
      <c r="I71" s="26">
        <f t="shared" si="38"/>
        <v>159</v>
      </c>
      <c r="J71" s="156">
        <f t="shared" ref="J71:K71" si="39">J66+J67-J70</f>
        <v>149</v>
      </c>
      <c r="K71" s="26">
        <f t="shared" si="39"/>
        <v>145</v>
      </c>
      <c r="L71" s="156">
        <v>143</v>
      </c>
      <c r="M71" s="156">
        <f t="shared" ref="M71" si="40">M66+M67-M70</f>
        <v>144</v>
      </c>
      <c r="N71" s="156">
        <v>134</v>
      </c>
      <c r="O71" s="156">
        <v>138</v>
      </c>
      <c r="P71" s="55">
        <f>P66+P67-P70</f>
        <v>138</v>
      </c>
    </row>
    <row r="72" spans="1:16" ht="15.6" x14ac:dyDescent="0.3">
      <c r="A72" s="622" t="s">
        <v>108</v>
      </c>
      <c r="B72" s="37" t="s">
        <v>85</v>
      </c>
      <c r="C72" s="5" t="s">
        <v>3</v>
      </c>
      <c r="D72" s="551"/>
      <c r="E72" s="4">
        <f>D77</f>
        <v>0</v>
      </c>
      <c r="F72" s="4">
        <f t="shared" ref="F72:G72" si="41">E77</f>
        <v>0</v>
      </c>
      <c r="G72" s="4">
        <f t="shared" si="41"/>
        <v>0</v>
      </c>
      <c r="H72" s="155"/>
      <c r="I72" s="155"/>
      <c r="J72" s="155"/>
      <c r="K72" s="155"/>
      <c r="L72" s="155"/>
      <c r="M72" s="155"/>
      <c r="N72" s="155"/>
      <c r="O72" s="155"/>
      <c r="P72" s="35">
        <f>D72</f>
        <v>0</v>
      </c>
    </row>
    <row r="73" spans="1:16" ht="15.6" x14ac:dyDescent="0.3">
      <c r="A73" s="623"/>
      <c r="B73" s="24" t="s">
        <v>104</v>
      </c>
      <c r="C73" s="5" t="s">
        <v>3</v>
      </c>
      <c r="D73" s="551"/>
      <c r="E73" s="4"/>
      <c r="F73" s="4"/>
      <c r="G73" s="4"/>
      <c r="H73" s="153"/>
      <c r="I73" s="153"/>
      <c r="J73" s="153"/>
      <c r="K73" s="153"/>
      <c r="L73" s="153"/>
      <c r="M73" s="153"/>
      <c r="N73" s="153"/>
      <c r="O73" s="153"/>
      <c r="P73" s="35">
        <f>SUM(D73:O73)</f>
        <v>0</v>
      </c>
    </row>
    <row r="74" spans="1:16" ht="27" x14ac:dyDescent="0.3">
      <c r="A74" s="623"/>
      <c r="B74" s="24" t="s">
        <v>103</v>
      </c>
      <c r="C74" s="5" t="s">
        <v>3</v>
      </c>
      <c r="D74" s="551"/>
      <c r="E74" s="4"/>
      <c r="F74" s="4"/>
      <c r="G74" s="4"/>
      <c r="H74" s="153"/>
      <c r="I74" s="153"/>
      <c r="J74" s="153"/>
      <c r="K74" s="153"/>
      <c r="L74" s="153"/>
      <c r="M74" s="153"/>
      <c r="N74" s="153"/>
      <c r="O74" s="153"/>
      <c r="P74" s="35">
        <f>SUM(D74:O74)</f>
        <v>0</v>
      </c>
    </row>
    <row r="75" spans="1:16" s="2" customFormat="1" ht="27" x14ac:dyDescent="0.3">
      <c r="A75" s="623"/>
      <c r="B75" s="24" t="s">
        <v>102</v>
      </c>
      <c r="C75" s="11" t="s">
        <v>3</v>
      </c>
      <c r="D75" s="551"/>
      <c r="E75" s="4"/>
      <c r="F75" s="4"/>
      <c r="G75" s="4"/>
      <c r="H75" s="153"/>
      <c r="I75" s="153"/>
      <c r="J75" s="153"/>
      <c r="K75" s="153"/>
      <c r="L75" s="153"/>
      <c r="M75" s="153"/>
      <c r="N75" s="153"/>
      <c r="O75" s="153"/>
      <c r="P75" s="35">
        <f t="shared" ref="P75:P76" si="42">SUM(D75:O75)</f>
        <v>0</v>
      </c>
    </row>
    <row r="76" spans="1:16" s="2" customFormat="1" ht="15.6" x14ac:dyDescent="0.3">
      <c r="A76" s="623"/>
      <c r="B76" s="24" t="s">
        <v>188</v>
      </c>
      <c r="C76" s="11" t="s">
        <v>3</v>
      </c>
      <c r="D76" s="4">
        <f>D74+D75</f>
        <v>0</v>
      </c>
      <c r="E76" s="4">
        <f t="shared" ref="E76:G76" si="43">E74+E75</f>
        <v>0</v>
      </c>
      <c r="F76" s="4">
        <f t="shared" si="43"/>
        <v>0</v>
      </c>
      <c r="G76" s="4">
        <f t="shared" si="43"/>
        <v>0</v>
      </c>
      <c r="H76" s="153">
        <f t="shared" ref="H76" si="44">H74+H75</f>
        <v>0</v>
      </c>
      <c r="I76" s="153">
        <f t="shared" ref="I76:J76" si="45">I74+I75</f>
        <v>0</v>
      </c>
      <c r="J76" s="153">
        <f t="shared" si="45"/>
        <v>0</v>
      </c>
      <c r="K76" s="153">
        <f t="shared" ref="K76:L76" si="46">K74+K75</f>
        <v>0</v>
      </c>
      <c r="L76" s="153">
        <f t="shared" si="46"/>
        <v>0</v>
      </c>
      <c r="M76" s="153">
        <f t="shared" ref="M76:N76" si="47">M74+M75</f>
        <v>0</v>
      </c>
      <c r="N76" s="153">
        <f t="shared" si="47"/>
        <v>0</v>
      </c>
      <c r="O76" s="153">
        <v>0</v>
      </c>
      <c r="P76" s="35">
        <f t="shared" si="42"/>
        <v>0</v>
      </c>
    </row>
    <row r="77" spans="1:16" ht="15.6" x14ac:dyDescent="0.3">
      <c r="A77" s="624"/>
      <c r="B77" s="37" t="s">
        <v>81</v>
      </c>
      <c r="C77" s="5" t="s">
        <v>3</v>
      </c>
      <c r="D77" s="26">
        <f>D72+D73-D76</f>
        <v>0</v>
      </c>
      <c r="E77" s="26">
        <f t="shared" ref="E77:G77" si="48">E72+E73-E76</f>
        <v>0</v>
      </c>
      <c r="F77" s="26">
        <f t="shared" si="48"/>
        <v>0</v>
      </c>
      <c r="G77" s="26">
        <f t="shared" si="48"/>
        <v>0</v>
      </c>
      <c r="H77" s="156">
        <f t="shared" ref="H77" si="49">H72+H73-H76</f>
        <v>0</v>
      </c>
      <c r="I77" s="156">
        <f t="shared" ref="I77:J77" si="50">I72+I73-I76</f>
        <v>0</v>
      </c>
      <c r="J77" s="156">
        <f t="shared" si="50"/>
        <v>0</v>
      </c>
      <c r="K77" s="156">
        <f t="shared" ref="K77:L77" si="51">K72+K73-K76</f>
        <v>0</v>
      </c>
      <c r="L77" s="156">
        <f t="shared" si="51"/>
        <v>0</v>
      </c>
      <c r="M77" s="156">
        <f t="shared" ref="M77:N77" si="52">M72+M73-M76</f>
        <v>0</v>
      </c>
      <c r="N77" s="156">
        <f t="shared" si="52"/>
        <v>0</v>
      </c>
      <c r="O77" s="156">
        <v>0</v>
      </c>
      <c r="P77" s="156">
        <f t="shared" ref="P77" si="53">P72+P73-P76</f>
        <v>0</v>
      </c>
    </row>
    <row r="78" spans="1:16" ht="15.6" customHeight="1" x14ac:dyDescent="0.3">
      <c r="A78" s="622" t="s">
        <v>107</v>
      </c>
      <c r="B78" s="37" t="s">
        <v>85</v>
      </c>
      <c r="C78" s="5" t="s">
        <v>3</v>
      </c>
      <c r="D78" s="551"/>
      <c r="E78" s="4">
        <f>D83</f>
        <v>0</v>
      </c>
      <c r="F78" s="4">
        <f t="shared" ref="F78:G78" si="54">E83</f>
        <v>0</v>
      </c>
      <c r="G78" s="4">
        <f t="shared" si="54"/>
        <v>0</v>
      </c>
      <c r="H78" s="155"/>
      <c r="I78" s="155"/>
      <c r="J78" s="155"/>
      <c r="K78" s="155"/>
      <c r="L78" s="155"/>
      <c r="M78" s="155"/>
      <c r="N78" s="155"/>
      <c r="O78" s="155"/>
      <c r="P78" s="35">
        <f>D78</f>
        <v>0</v>
      </c>
    </row>
    <row r="79" spans="1:16" ht="15.6" x14ac:dyDescent="0.3">
      <c r="A79" s="623"/>
      <c r="B79" s="24" t="s">
        <v>104</v>
      </c>
      <c r="C79" s="5" t="s">
        <v>3</v>
      </c>
      <c r="D79" s="551"/>
      <c r="E79" s="4"/>
      <c r="F79" s="4"/>
      <c r="G79" s="4"/>
      <c r="H79" s="153"/>
      <c r="I79" s="153"/>
      <c r="J79" s="153"/>
      <c r="K79" s="153"/>
      <c r="L79" s="153"/>
      <c r="M79" s="153"/>
      <c r="N79" s="153"/>
      <c r="O79" s="153"/>
      <c r="P79" s="35">
        <f>SUM(D79:O79)</f>
        <v>0</v>
      </c>
    </row>
    <row r="80" spans="1:16" ht="27" x14ac:dyDescent="0.3">
      <c r="A80" s="623"/>
      <c r="B80" s="24" t="s">
        <v>103</v>
      </c>
      <c r="C80" s="5" t="s">
        <v>3</v>
      </c>
      <c r="D80" s="551"/>
      <c r="E80" s="4"/>
      <c r="F80" s="4"/>
      <c r="G80" s="4"/>
      <c r="H80" s="153"/>
      <c r="I80" s="153"/>
      <c r="J80" s="153"/>
      <c r="K80" s="153"/>
      <c r="L80" s="153"/>
      <c r="M80" s="153"/>
      <c r="N80" s="153"/>
      <c r="O80" s="153"/>
      <c r="P80" s="35">
        <f>SUM(D80:O80)</f>
        <v>0</v>
      </c>
    </row>
    <row r="81" spans="1:16" s="2" customFormat="1" ht="27" x14ac:dyDescent="0.3">
      <c r="A81" s="623"/>
      <c r="B81" s="24" t="s">
        <v>102</v>
      </c>
      <c r="C81" s="11" t="s">
        <v>3</v>
      </c>
      <c r="D81" s="551"/>
      <c r="E81" s="4"/>
      <c r="F81" s="4"/>
      <c r="G81" s="4"/>
      <c r="H81" s="153"/>
      <c r="I81" s="153"/>
      <c r="J81" s="153"/>
      <c r="K81" s="153"/>
      <c r="L81" s="153"/>
      <c r="M81" s="153"/>
      <c r="N81" s="153"/>
      <c r="O81" s="153"/>
      <c r="P81" s="74">
        <f>SUM(D81:O81)</f>
        <v>0</v>
      </c>
    </row>
    <row r="82" spans="1:16" s="2" customFormat="1" ht="15.6" x14ac:dyDescent="0.3">
      <c r="A82" s="623"/>
      <c r="B82" s="24" t="s">
        <v>188</v>
      </c>
      <c r="C82" s="11" t="s">
        <v>3</v>
      </c>
      <c r="D82" s="4">
        <f>D80+D81</f>
        <v>0</v>
      </c>
      <c r="E82" s="4">
        <f t="shared" ref="E82:G82" si="55">E80+E81</f>
        <v>0</v>
      </c>
      <c r="F82" s="4">
        <f t="shared" si="55"/>
        <v>0</v>
      </c>
      <c r="G82" s="4">
        <f t="shared" si="55"/>
        <v>0</v>
      </c>
      <c r="H82" s="153">
        <f t="shared" ref="H82:I82" si="56">H81+H80</f>
        <v>0</v>
      </c>
      <c r="I82" s="153">
        <f t="shared" si="56"/>
        <v>0</v>
      </c>
      <c r="J82" s="153">
        <f t="shared" ref="J82:K82" si="57">J81+J80</f>
        <v>0</v>
      </c>
      <c r="K82" s="153">
        <f t="shared" si="57"/>
        <v>0</v>
      </c>
      <c r="L82" s="153">
        <f t="shared" ref="L82:M82" si="58">L81+L80</f>
        <v>0</v>
      </c>
      <c r="M82" s="153">
        <f t="shared" si="58"/>
        <v>0</v>
      </c>
      <c r="N82" s="153">
        <f t="shared" ref="N82" si="59">N81+N80</f>
        <v>0</v>
      </c>
      <c r="O82" s="153">
        <v>0</v>
      </c>
      <c r="P82" s="105">
        <f t="shared" ref="P82" si="60">P81+P80</f>
        <v>0</v>
      </c>
    </row>
    <row r="83" spans="1:16" ht="15.6" x14ac:dyDescent="0.3">
      <c r="A83" s="624"/>
      <c r="B83" s="37" t="s">
        <v>81</v>
      </c>
      <c r="C83" s="5" t="s">
        <v>3</v>
      </c>
      <c r="D83" s="26">
        <f>D78+D79-D82</f>
        <v>0</v>
      </c>
      <c r="E83" s="26">
        <f t="shared" ref="E83:G83" si="61">E78+E79-E82</f>
        <v>0</v>
      </c>
      <c r="F83" s="26">
        <f t="shared" si="61"/>
        <v>0</v>
      </c>
      <c r="G83" s="26">
        <f t="shared" si="61"/>
        <v>0</v>
      </c>
      <c r="H83" s="156">
        <f t="shared" ref="H83" si="62">H78+H79-H82</f>
        <v>0</v>
      </c>
      <c r="I83" s="156">
        <f t="shared" ref="I83:J83" si="63">I78+I79-I82</f>
        <v>0</v>
      </c>
      <c r="J83" s="156">
        <f t="shared" si="63"/>
        <v>0</v>
      </c>
      <c r="K83" s="156">
        <f t="shared" ref="K83:L83" si="64">K78+K79-K82</f>
        <v>0</v>
      </c>
      <c r="L83" s="156">
        <f t="shared" si="64"/>
        <v>0</v>
      </c>
      <c r="M83" s="156">
        <f t="shared" ref="M83:N83" si="65">M78+M79-M82</f>
        <v>0</v>
      </c>
      <c r="N83" s="156">
        <f t="shared" si="65"/>
        <v>0</v>
      </c>
      <c r="O83" s="156">
        <v>0</v>
      </c>
      <c r="P83" s="156">
        <f t="shared" ref="P83" si="66">P78+P79-P82</f>
        <v>0</v>
      </c>
    </row>
    <row r="84" spans="1:16" ht="15.6" x14ac:dyDescent="0.3">
      <c r="A84" s="625" t="s">
        <v>106</v>
      </c>
      <c r="B84" s="37" t="s">
        <v>85</v>
      </c>
      <c r="C84" s="5" t="s">
        <v>3</v>
      </c>
      <c r="D84" s="551"/>
      <c r="E84" s="4">
        <f>D89</f>
        <v>0</v>
      </c>
      <c r="F84" s="4">
        <f t="shared" ref="F84:G84" si="67">E89</f>
        <v>0</v>
      </c>
      <c r="G84" s="4">
        <f t="shared" si="67"/>
        <v>0</v>
      </c>
      <c r="H84" s="155"/>
      <c r="I84" s="155"/>
      <c r="J84" s="155"/>
      <c r="K84" s="155"/>
      <c r="L84" s="155"/>
      <c r="M84" s="155"/>
      <c r="N84" s="155"/>
      <c r="O84" s="155"/>
      <c r="P84" s="35">
        <f>D84</f>
        <v>0</v>
      </c>
    </row>
    <row r="85" spans="1:16" ht="15.6" x14ac:dyDescent="0.3">
      <c r="A85" s="626"/>
      <c r="B85" s="37" t="s">
        <v>104</v>
      </c>
      <c r="C85" s="5" t="s">
        <v>3</v>
      </c>
      <c r="D85" s="551"/>
      <c r="E85" s="4"/>
      <c r="F85" s="4"/>
      <c r="G85" s="4"/>
      <c r="H85" s="153"/>
      <c r="I85" s="153"/>
      <c r="J85" s="153"/>
      <c r="K85" s="153"/>
      <c r="L85" s="153"/>
      <c r="M85" s="153"/>
      <c r="N85" s="153"/>
      <c r="O85" s="153"/>
      <c r="P85" s="35">
        <f>SUM(D85:O85)</f>
        <v>0</v>
      </c>
    </row>
    <row r="86" spans="1:16" ht="27" x14ac:dyDescent="0.3">
      <c r="A86" s="626"/>
      <c r="B86" s="37" t="s">
        <v>103</v>
      </c>
      <c r="C86" s="5" t="s">
        <v>3</v>
      </c>
      <c r="D86" s="551"/>
      <c r="E86" s="4"/>
      <c r="F86" s="4"/>
      <c r="G86" s="4"/>
      <c r="H86" s="153"/>
      <c r="I86" s="153"/>
      <c r="J86" s="153"/>
      <c r="K86" s="153"/>
      <c r="L86" s="153"/>
      <c r="M86" s="153"/>
      <c r="N86" s="153"/>
      <c r="O86" s="153"/>
      <c r="P86" s="35">
        <f>SUM(D86:O86)</f>
        <v>0</v>
      </c>
    </row>
    <row r="87" spans="1:16" s="2" customFormat="1" ht="27" x14ac:dyDescent="0.3">
      <c r="A87" s="626"/>
      <c r="B87" s="24" t="s">
        <v>102</v>
      </c>
      <c r="C87" s="11" t="s">
        <v>3</v>
      </c>
      <c r="D87" s="551"/>
      <c r="E87" s="4"/>
      <c r="F87" s="4"/>
      <c r="G87" s="4"/>
      <c r="H87" s="153"/>
      <c r="I87" s="153"/>
      <c r="J87" s="153"/>
      <c r="K87" s="153"/>
      <c r="L87" s="153"/>
      <c r="M87" s="153"/>
      <c r="N87" s="153"/>
      <c r="O87" s="153"/>
      <c r="P87" s="74">
        <f>SUM(D87:O87)</f>
        <v>0</v>
      </c>
    </row>
    <row r="88" spans="1:16" s="2" customFormat="1" ht="15.6" x14ac:dyDescent="0.3">
      <c r="A88" s="626"/>
      <c r="B88" s="24" t="s">
        <v>188</v>
      </c>
      <c r="C88" s="11" t="s">
        <v>3</v>
      </c>
      <c r="D88" s="4">
        <f>D86+D87</f>
        <v>0</v>
      </c>
      <c r="E88" s="4">
        <f t="shared" ref="E88:G88" si="68">E86+E87</f>
        <v>0</v>
      </c>
      <c r="F88" s="4">
        <f t="shared" si="68"/>
        <v>0</v>
      </c>
      <c r="G88" s="4">
        <f t="shared" si="68"/>
        <v>0</v>
      </c>
      <c r="H88" s="153">
        <v>0</v>
      </c>
      <c r="I88" s="153">
        <v>0</v>
      </c>
      <c r="J88" s="153">
        <v>0</v>
      </c>
      <c r="K88" s="153">
        <v>0</v>
      </c>
      <c r="L88" s="153">
        <v>0</v>
      </c>
      <c r="M88" s="153">
        <v>0</v>
      </c>
      <c r="N88" s="153">
        <v>0</v>
      </c>
      <c r="O88" s="153">
        <v>0</v>
      </c>
      <c r="P88" s="74">
        <f>SUM(D88:O88)</f>
        <v>0</v>
      </c>
    </row>
    <row r="89" spans="1:16" ht="15.6" x14ac:dyDescent="0.3">
      <c r="A89" s="627"/>
      <c r="B89" s="36" t="s">
        <v>81</v>
      </c>
      <c r="C89" s="5" t="s">
        <v>3</v>
      </c>
      <c r="D89" s="26">
        <f>D84+D85-D88</f>
        <v>0</v>
      </c>
      <c r="E89" s="26">
        <f t="shared" ref="E89:G89" si="69">E84+E85-E88</f>
        <v>0</v>
      </c>
      <c r="F89" s="26">
        <f t="shared" si="69"/>
        <v>0</v>
      </c>
      <c r="G89" s="26">
        <f t="shared" si="69"/>
        <v>0</v>
      </c>
      <c r="H89" s="156">
        <f t="shared" ref="H89:I89" si="70">H84+H85-H88</f>
        <v>0</v>
      </c>
      <c r="I89" s="156">
        <f t="shared" si="70"/>
        <v>0</v>
      </c>
      <c r="J89" s="156">
        <f t="shared" ref="J89:K89" si="71">J84+J85-J88</f>
        <v>0</v>
      </c>
      <c r="K89" s="156">
        <f t="shared" si="71"/>
        <v>0</v>
      </c>
      <c r="L89" s="156">
        <f t="shared" ref="L89:M89" si="72">L84+L85-L88</f>
        <v>0</v>
      </c>
      <c r="M89" s="156">
        <f t="shared" si="72"/>
        <v>0</v>
      </c>
      <c r="N89" s="156">
        <f t="shared" ref="N89:P89" si="73">N84+N85-N88</f>
        <v>0</v>
      </c>
      <c r="O89" s="156">
        <v>0</v>
      </c>
      <c r="P89" s="156">
        <f t="shared" si="73"/>
        <v>0</v>
      </c>
    </row>
    <row r="90" spans="1:16" ht="15.6" x14ac:dyDescent="0.3">
      <c r="A90" s="628" t="s">
        <v>105</v>
      </c>
      <c r="B90" s="24" t="s">
        <v>85</v>
      </c>
      <c r="C90" s="11" t="s">
        <v>3</v>
      </c>
      <c r="D90" s="558">
        <f>D66+D72+D78+D84</f>
        <v>166</v>
      </c>
      <c r="E90" s="558">
        <f t="shared" ref="E90:G90" si="74">E66+E72+E78+E84</f>
        <v>162</v>
      </c>
      <c r="F90" s="558">
        <f t="shared" si="74"/>
        <v>162</v>
      </c>
      <c r="G90" s="558">
        <f t="shared" si="74"/>
        <v>160</v>
      </c>
      <c r="H90" s="136">
        <f t="shared" ref="H90:I90" si="75">H66+H72+H78+H84</f>
        <v>162</v>
      </c>
      <c r="I90" s="136">
        <f t="shared" si="75"/>
        <v>162</v>
      </c>
      <c r="J90" s="136">
        <f t="shared" ref="J90:K90" si="76">J66+J72+J78+J84</f>
        <v>159</v>
      </c>
      <c r="K90" s="136">
        <f t="shared" si="76"/>
        <v>149</v>
      </c>
      <c r="L90" s="136">
        <f t="shared" ref="L90:M90" si="77">L66+L72+L78+L84</f>
        <v>145</v>
      </c>
      <c r="M90" s="136">
        <f t="shared" si="77"/>
        <v>143</v>
      </c>
      <c r="N90" s="136">
        <f t="shared" ref="N90" si="78">N66+N72+N78+N84</f>
        <v>144</v>
      </c>
      <c r="O90" s="136">
        <v>134</v>
      </c>
      <c r="P90" s="35">
        <f>D90</f>
        <v>166</v>
      </c>
    </row>
    <row r="91" spans="1:16" ht="15.6" x14ac:dyDescent="0.3">
      <c r="A91" s="629"/>
      <c r="B91" s="24" t="s">
        <v>104</v>
      </c>
      <c r="C91" s="11" t="s">
        <v>3</v>
      </c>
      <c r="D91" s="558">
        <f t="shared" ref="D91:G95" si="79">D67+D73+D79+D85</f>
        <v>12</v>
      </c>
      <c r="E91" s="558">
        <f t="shared" si="79"/>
        <v>13</v>
      </c>
      <c r="F91" s="558">
        <f t="shared" si="79"/>
        <v>15</v>
      </c>
      <c r="G91" s="558">
        <f t="shared" si="79"/>
        <v>28</v>
      </c>
      <c r="H91" s="136">
        <f t="shared" ref="H91:I91" si="80">H67+H73+H79+H85</f>
        <v>20</v>
      </c>
      <c r="I91" s="136">
        <f t="shared" si="80"/>
        <v>13</v>
      </c>
      <c r="J91" s="136">
        <f t="shared" ref="J91:K91" si="81">J67+J73+J79+J85</f>
        <v>11</v>
      </c>
      <c r="K91" s="136">
        <f t="shared" si="81"/>
        <v>12</v>
      </c>
      <c r="L91" s="136">
        <f t="shared" ref="L91:M91" si="82">L67+L73+L79+L85</f>
        <v>8</v>
      </c>
      <c r="M91" s="136">
        <f t="shared" si="82"/>
        <v>10</v>
      </c>
      <c r="N91" s="136">
        <f t="shared" ref="N91" si="83">N67+N73+N79+N85</f>
        <v>5</v>
      </c>
      <c r="O91" s="136">
        <v>17</v>
      </c>
      <c r="P91" s="35">
        <f>SUM(D91:O91)</f>
        <v>164</v>
      </c>
    </row>
    <row r="92" spans="1:16" ht="27" x14ac:dyDescent="0.3">
      <c r="A92" s="629"/>
      <c r="B92" s="24" t="s">
        <v>103</v>
      </c>
      <c r="C92" s="11" t="s">
        <v>3</v>
      </c>
      <c r="D92" s="558">
        <f t="shared" si="79"/>
        <v>16</v>
      </c>
      <c r="E92" s="558">
        <f t="shared" si="79"/>
        <v>13</v>
      </c>
      <c r="F92" s="558">
        <f t="shared" si="79"/>
        <v>17</v>
      </c>
      <c r="G92" s="558">
        <f t="shared" si="79"/>
        <v>26</v>
      </c>
      <c r="H92" s="136">
        <f t="shared" ref="H92:I92" si="84">H68+H74+H80+H86</f>
        <v>20</v>
      </c>
      <c r="I92" s="136">
        <f t="shared" si="84"/>
        <v>16</v>
      </c>
      <c r="J92" s="136">
        <f t="shared" ref="J92:K92" si="85">J68+J74+J80+J86</f>
        <v>21</v>
      </c>
      <c r="K92" s="136">
        <f t="shared" si="85"/>
        <v>16</v>
      </c>
      <c r="L92" s="136">
        <f t="shared" ref="L92:M92" si="86">L68+L74+L80+L86</f>
        <v>10</v>
      </c>
      <c r="M92" s="136">
        <f t="shared" si="86"/>
        <v>9</v>
      </c>
      <c r="N92" s="136">
        <f t="shared" ref="N92" si="87">N68+N74+N80+N86</f>
        <v>15</v>
      </c>
      <c r="O92" s="136">
        <v>13</v>
      </c>
      <c r="P92" s="35">
        <f>SUM(D92:O92)</f>
        <v>192</v>
      </c>
    </row>
    <row r="93" spans="1:16" s="2" customFormat="1" ht="27" x14ac:dyDescent="0.3">
      <c r="A93" s="629"/>
      <c r="B93" s="24" t="s">
        <v>102</v>
      </c>
      <c r="C93" s="11"/>
      <c r="D93" s="558">
        <f t="shared" si="79"/>
        <v>0</v>
      </c>
      <c r="E93" s="558">
        <f t="shared" si="79"/>
        <v>0</v>
      </c>
      <c r="F93" s="558">
        <f t="shared" si="79"/>
        <v>0</v>
      </c>
      <c r="G93" s="558">
        <f t="shared" si="79"/>
        <v>0</v>
      </c>
      <c r="H93" s="136">
        <f t="shared" ref="H93:I93" si="88">H69+H75+H81+H87</f>
        <v>0</v>
      </c>
      <c r="I93" s="136">
        <f t="shared" si="88"/>
        <v>0</v>
      </c>
      <c r="J93" s="136">
        <f t="shared" ref="J93:K93" si="89">J69+J75+J81+J87</f>
        <v>0</v>
      </c>
      <c r="K93" s="136">
        <f t="shared" si="89"/>
        <v>0</v>
      </c>
      <c r="L93" s="136">
        <f t="shared" ref="L93:M93" si="90">L69+L75+L81+L87</f>
        <v>0</v>
      </c>
      <c r="M93" s="136">
        <f t="shared" si="90"/>
        <v>0</v>
      </c>
      <c r="N93" s="136">
        <f t="shared" ref="N93" si="91">N69+N75+N81+N87</f>
        <v>0</v>
      </c>
      <c r="O93" s="136">
        <v>0</v>
      </c>
      <c r="P93" s="35">
        <f>SUM(D93:O93)</f>
        <v>0</v>
      </c>
    </row>
    <row r="94" spans="1:16" s="2" customFormat="1" ht="15.6" x14ac:dyDescent="0.3">
      <c r="A94" s="629"/>
      <c r="B94" s="24" t="s">
        <v>188</v>
      </c>
      <c r="C94" s="11" t="s">
        <v>3</v>
      </c>
      <c r="D94" s="558">
        <f t="shared" si="79"/>
        <v>16</v>
      </c>
      <c r="E94" s="558">
        <f t="shared" si="79"/>
        <v>13</v>
      </c>
      <c r="F94" s="558">
        <f t="shared" si="79"/>
        <v>17</v>
      </c>
      <c r="G94" s="558">
        <f t="shared" si="79"/>
        <v>26</v>
      </c>
      <c r="H94" s="137">
        <f t="shared" ref="H94:I94" si="92">H93+H92</f>
        <v>20</v>
      </c>
      <c r="I94" s="137">
        <f t="shared" si="92"/>
        <v>16</v>
      </c>
      <c r="J94" s="137">
        <f t="shared" ref="J94:K94" si="93">J93+J92</f>
        <v>21</v>
      </c>
      <c r="K94" s="137">
        <f t="shared" si="93"/>
        <v>16</v>
      </c>
      <c r="L94" s="137">
        <f t="shared" ref="L94:M94" si="94">L93+L92</f>
        <v>10</v>
      </c>
      <c r="M94" s="137">
        <f t="shared" si="94"/>
        <v>9</v>
      </c>
      <c r="N94" s="137">
        <f t="shared" ref="N94" si="95">N93+N92</f>
        <v>15</v>
      </c>
      <c r="O94" s="137">
        <v>13</v>
      </c>
      <c r="P94" s="144">
        <f t="shared" ref="P94" si="96">P93+P92</f>
        <v>192</v>
      </c>
    </row>
    <row r="95" spans="1:16" ht="16.2" thickBot="1" x14ac:dyDescent="0.35">
      <c r="A95" s="630"/>
      <c r="B95" s="24" t="s">
        <v>81</v>
      </c>
      <c r="C95" s="11" t="s">
        <v>3</v>
      </c>
      <c r="D95" s="558">
        <f t="shared" si="79"/>
        <v>162</v>
      </c>
      <c r="E95" s="558">
        <f t="shared" si="79"/>
        <v>162</v>
      </c>
      <c r="F95" s="558">
        <f t="shared" si="79"/>
        <v>160</v>
      </c>
      <c r="G95" s="558">
        <f t="shared" si="79"/>
        <v>162</v>
      </c>
      <c r="H95" s="138">
        <f t="shared" ref="H95:I95" si="97">H90+H91-H94</f>
        <v>162</v>
      </c>
      <c r="I95" s="138">
        <f t="shared" si="97"/>
        <v>159</v>
      </c>
      <c r="J95" s="138">
        <f t="shared" ref="J95:K95" si="98">J90+J91-J94</f>
        <v>149</v>
      </c>
      <c r="K95" s="138">
        <f t="shared" si="98"/>
        <v>145</v>
      </c>
      <c r="L95" s="138">
        <f t="shared" ref="L95:M95" si="99">L90+L91-L94</f>
        <v>143</v>
      </c>
      <c r="M95" s="138">
        <f t="shared" si="99"/>
        <v>144</v>
      </c>
      <c r="N95" s="138">
        <f t="shared" ref="N95" si="100">N90+N91-N94</f>
        <v>134</v>
      </c>
      <c r="O95" s="138">
        <v>138</v>
      </c>
      <c r="P95" s="145">
        <f t="shared" ref="P95" si="101">P90+P91-P94</f>
        <v>138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7"/>
    </row>
    <row r="97" spans="1:16" s="2" customFormat="1" ht="15.75" customHeight="1" thickBot="1" x14ac:dyDescent="0.35">
      <c r="A97" s="631" t="s">
        <v>189</v>
      </c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2"/>
      <c r="P97" s="633"/>
    </row>
    <row r="98" spans="1:16" ht="15.6" x14ac:dyDescent="0.3">
      <c r="A98" s="88" t="s">
        <v>190</v>
      </c>
      <c r="B98" s="69"/>
      <c r="C98" s="11" t="s">
        <v>3</v>
      </c>
      <c r="D98" s="561"/>
      <c r="E98" s="561"/>
      <c r="F98" s="561"/>
      <c r="G98" s="561"/>
      <c r="H98" s="70"/>
      <c r="I98" s="70"/>
      <c r="J98" s="71"/>
      <c r="K98" s="71"/>
      <c r="L98" s="71"/>
      <c r="M98" s="71"/>
      <c r="N98" s="71"/>
      <c r="O98" s="71"/>
      <c r="P98" s="108">
        <f>SUM(D98:O98)</f>
        <v>0</v>
      </c>
    </row>
    <row r="99" spans="1:16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7"/>
    </row>
    <row r="100" spans="1:16" s="2" customFormat="1" x14ac:dyDescent="0.3">
      <c r="A100" s="642" t="s">
        <v>101</v>
      </c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43"/>
      <c r="P100" s="644"/>
    </row>
    <row r="101" spans="1:16" ht="15.6" x14ac:dyDescent="0.3">
      <c r="A101" s="591" t="s">
        <v>100</v>
      </c>
      <c r="B101" s="592"/>
      <c r="C101" s="11" t="s">
        <v>3</v>
      </c>
      <c r="D101" s="551">
        <f>435+51</f>
        <v>486</v>
      </c>
      <c r="E101" s="4">
        <v>479</v>
      </c>
      <c r="F101" s="4">
        <v>495</v>
      </c>
      <c r="G101" s="4">
        <v>482</v>
      </c>
      <c r="H101" s="4">
        <v>502</v>
      </c>
      <c r="I101" s="4">
        <v>487</v>
      </c>
      <c r="J101" s="4">
        <v>476</v>
      </c>
      <c r="K101" s="4">
        <v>482</v>
      </c>
      <c r="L101" s="4">
        <v>480</v>
      </c>
      <c r="M101" s="4">
        <v>502</v>
      </c>
      <c r="N101" s="4">
        <v>505</v>
      </c>
      <c r="O101" s="153">
        <v>515</v>
      </c>
      <c r="P101" s="32">
        <f t="shared" ref="P101:P116" si="102">O101</f>
        <v>515</v>
      </c>
    </row>
    <row r="102" spans="1:16" ht="15.6" x14ac:dyDescent="0.3">
      <c r="A102" s="591" t="s">
        <v>99</v>
      </c>
      <c r="B102" s="592"/>
      <c r="C102" s="11" t="s">
        <v>3</v>
      </c>
      <c r="D102" s="551">
        <v>20</v>
      </c>
      <c r="E102" s="4">
        <v>20</v>
      </c>
      <c r="F102" s="4">
        <v>20</v>
      </c>
      <c r="G102" s="4">
        <v>20</v>
      </c>
      <c r="H102" s="4">
        <v>20</v>
      </c>
      <c r="I102" s="4">
        <v>20</v>
      </c>
      <c r="J102" s="4">
        <v>20</v>
      </c>
      <c r="K102" s="4">
        <v>20</v>
      </c>
      <c r="L102" s="4">
        <v>20</v>
      </c>
      <c r="M102" s="4">
        <v>20</v>
      </c>
      <c r="N102" s="4">
        <v>20</v>
      </c>
      <c r="O102" s="153">
        <v>20</v>
      </c>
      <c r="P102" s="32">
        <f t="shared" si="102"/>
        <v>20</v>
      </c>
    </row>
    <row r="103" spans="1:16" ht="15.6" customHeight="1" x14ac:dyDescent="0.3">
      <c r="A103" s="598" t="s">
        <v>98</v>
      </c>
      <c r="B103" s="599"/>
      <c r="C103" s="11" t="s">
        <v>3</v>
      </c>
      <c r="D103" s="551">
        <v>2</v>
      </c>
      <c r="E103" s="4">
        <v>2</v>
      </c>
      <c r="F103" s="4">
        <v>2</v>
      </c>
      <c r="G103" s="4">
        <v>2</v>
      </c>
      <c r="H103" s="4">
        <v>3</v>
      </c>
      <c r="I103" s="4">
        <v>3</v>
      </c>
      <c r="J103" s="4">
        <v>3</v>
      </c>
      <c r="K103" s="4">
        <v>3</v>
      </c>
      <c r="L103" s="4">
        <v>3</v>
      </c>
      <c r="M103" s="4">
        <v>3</v>
      </c>
      <c r="N103" s="4">
        <v>3</v>
      </c>
      <c r="O103" s="153">
        <v>3</v>
      </c>
      <c r="P103" s="32">
        <f t="shared" si="102"/>
        <v>3</v>
      </c>
    </row>
    <row r="104" spans="1:16" ht="15.6" x14ac:dyDescent="0.3">
      <c r="A104" s="598" t="s">
        <v>97</v>
      </c>
      <c r="B104" s="599"/>
      <c r="C104" s="11" t="s">
        <v>3</v>
      </c>
      <c r="D104" s="551">
        <v>24</v>
      </c>
      <c r="E104" s="4">
        <v>25</v>
      </c>
      <c r="F104" s="4">
        <v>25</v>
      </c>
      <c r="G104" s="4">
        <v>25</v>
      </c>
      <c r="H104" s="4">
        <v>25</v>
      </c>
      <c r="I104" s="4">
        <v>25</v>
      </c>
      <c r="J104" s="4">
        <v>25</v>
      </c>
      <c r="K104" s="4">
        <v>25</v>
      </c>
      <c r="L104" s="4">
        <v>25</v>
      </c>
      <c r="M104" s="4">
        <v>25</v>
      </c>
      <c r="N104" s="4">
        <v>25</v>
      </c>
      <c r="O104" s="153">
        <v>25</v>
      </c>
      <c r="P104" s="32">
        <f t="shared" si="102"/>
        <v>25</v>
      </c>
    </row>
    <row r="105" spans="1:16" ht="15.6" x14ac:dyDescent="0.3">
      <c r="A105" s="645" t="s">
        <v>96</v>
      </c>
      <c r="B105" s="646"/>
      <c r="C105" s="11" t="s">
        <v>3</v>
      </c>
      <c r="D105" s="33">
        <f>SUM(D101:D104)</f>
        <v>532</v>
      </c>
      <c r="E105" s="33">
        <f t="shared" ref="E105:N105" si="103">SUM(E101:E104)</f>
        <v>526</v>
      </c>
      <c r="F105" s="33">
        <f t="shared" si="103"/>
        <v>542</v>
      </c>
      <c r="G105" s="33">
        <f t="shared" si="103"/>
        <v>529</v>
      </c>
      <c r="H105" s="33">
        <f t="shared" si="103"/>
        <v>550</v>
      </c>
      <c r="I105" s="33">
        <f t="shared" si="103"/>
        <v>535</v>
      </c>
      <c r="J105" s="33">
        <f t="shared" si="103"/>
        <v>524</v>
      </c>
      <c r="K105" s="33">
        <f t="shared" si="103"/>
        <v>530</v>
      </c>
      <c r="L105" s="33">
        <f t="shared" si="103"/>
        <v>528</v>
      </c>
      <c r="M105" s="33">
        <f t="shared" si="103"/>
        <v>550</v>
      </c>
      <c r="N105" s="33">
        <f t="shared" si="103"/>
        <v>553</v>
      </c>
      <c r="O105" s="166">
        <v>563</v>
      </c>
      <c r="P105" s="32">
        <f t="shared" si="102"/>
        <v>563</v>
      </c>
    </row>
    <row r="106" spans="1:16" s="2" customFormat="1" ht="15.6" customHeight="1" x14ac:dyDescent="0.3">
      <c r="A106" s="639" t="s">
        <v>210</v>
      </c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40"/>
      <c r="P106" s="641"/>
    </row>
    <row r="107" spans="1:16" ht="15.6" x14ac:dyDescent="0.3">
      <c r="A107" s="591" t="s">
        <v>193</v>
      </c>
      <c r="B107" s="592"/>
      <c r="C107" s="11" t="s">
        <v>3</v>
      </c>
      <c r="D107" s="551">
        <v>971</v>
      </c>
      <c r="E107" s="4">
        <v>990</v>
      </c>
      <c r="F107" s="4">
        <v>991</v>
      </c>
      <c r="G107" s="4">
        <v>1030</v>
      </c>
      <c r="H107" s="4">
        <v>1029</v>
      </c>
      <c r="I107" s="4">
        <v>1060</v>
      </c>
      <c r="J107" s="4">
        <v>1092</v>
      </c>
      <c r="K107" s="4">
        <v>1102</v>
      </c>
      <c r="L107" s="4">
        <v>1114</v>
      </c>
      <c r="M107" s="4">
        <v>1101</v>
      </c>
      <c r="N107" s="4">
        <v>1113</v>
      </c>
      <c r="O107" s="4">
        <v>1116</v>
      </c>
      <c r="P107" s="32">
        <f t="shared" si="102"/>
        <v>1116</v>
      </c>
    </row>
    <row r="108" spans="1:16" ht="15.6" x14ac:dyDescent="0.3">
      <c r="A108" s="591" t="s">
        <v>194</v>
      </c>
      <c r="B108" s="592"/>
      <c r="C108" s="11" t="s">
        <v>3</v>
      </c>
      <c r="D108" s="551">
        <v>7</v>
      </c>
      <c r="E108" s="4">
        <v>7</v>
      </c>
      <c r="F108" s="4">
        <v>7</v>
      </c>
      <c r="G108" s="4">
        <v>7</v>
      </c>
      <c r="H108" s="4">
        <v>7</v>
      </c>
      <c r="I108" s="4">
        <v>7</v>
      </c>
      <c r="J108" s="4">
        <v>7</v>
      </c>
      <c r="K108" s="4">
        <v>7</v>
      </c>
      <c r="L108" s="4">
        <v>7</v>
      </c>
      <c r="M108" s="4">
        <v>7</v>
      </c>
      <c r="N108" s="4">
        <v>7</v>
      </c>
      <c r="O108" s="4">
        <v>7</v>
      </c>
      <c r="P108" s="32">
        <f t="shared" si="102"/>
        <v>7</v>
      </c>
    </row>
    <row r="109" spans="1:16" ht="15.6" x14ac:dyDescent="0.3">
      <c r="A109" s="591" t="s">
        <v>195</v>
      </c>
      <c r="B109" s="592"/>
      <c r="C109" s="11" t="s">
        <v>3</v>
      </c>
      <c r="D109" s="551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32">
        <f t="shared" si="102"/>
        <v>1</v>
      </c>
    </row>
    <row r="110" spans="1:16" ht="15.6" x14ac:dyDescent="0.3">
      <c r="A110" s="591" t="s">
        <v>196</v>
      </c>
      <c r="B110" s="592"/>
      <c r="C110" s="11" t="s">
        <v>3</v>
      </c>
      <c r="D110" s="551">
        <v>9</v>
      </c>
      <c r="E110" s="4">
        <v>9</v>
      </c>
      <c r="F110" s="4">
        <v>9</v>
      </c>
      <c r="G110" s="4">
        <v>9</v>
      </c>
      <c r="H110" s="4">
        <v>9</v>
      </c>
      <c r="I110" s="4">
        <v>9</v>
      </c>
      <c r="J110" s="4">
        <v>9</v>
      </c>
      <c r="K110" s="4">
        <v>9</v>
      </c>
      <c r="L110" s="4">
        <v>9</v>
      </c>
      <c r="M110" s="4">
        <v>9</v>
      </c>
      <c r="N110" s="4">
        <v>9</v>
      </c>
      <c r="O110" s="4">
        <v>9</v>
      </c>
      <c r="P110" s="32">
        <f t="shared" si="102"/>
        <v>9</v>
      </c>
    </row>
    <row r="111" spans="1:16" ht="15.6" x14ac:dyDescent="0.3">
      <c r="A111" s="593" t="s">
        <v>95</v>
      </c>
      <c r="B111" s="594"/>
      <c r="C111" s="11" t="s">
        <v>3</v>
      </c>
      <c r="D111" s="33">
        <f>SUM(D107:D110)</f>
        <v>988</v>
      </c>
      <c r="E111" s="33">
        <f t="shared" ref="E111:N111" si="104">SUM(E107:E110)</f>
        <v>1007</v>
      </c>
      <c r="F111" s="33">
        <f t="shared" si="104"/>
        <v>1008</v>
      </c>
      <c r="G111" s="33">
        <f t="shared" si="104"/>
        <v>1047</v>
      </c>
      <c r="H111" s="33">
        <f t="shared" si="104"/>
        <v>1046</v>
      </c>
      <c r="I111" s="33">
        <f t="shared" si="104"/>
        <v>1077</v>
      </c>
      <c r="J111" s="33">
        <f t="shared" si="104"/>
        <v>1109</v>
      </c>
      <c r="K111" s="33">
        <f t="shared" si="104"/>
        <v>1119</v>
      </c>
      <c r="L111" s="33">
        <f t="shared" si="104"/>
        <v>1131</v>
      </c>
      <c r="M111" s="33">
        <f t="shared" si="104"/>
        <v>1118</v>
      </c>
      <c r="N111" s="33">
        <f t="shared" si="104"/>
        <v>1130</v>
      </c>
      <c r="O111" s="33">
        <v>1133</v>
      </c>
      <c r="P111" s="32">
        <f t="shared" si="102"/>
        <v>1133</v>
      </c>
    </row>
    <row r="112" spans="1:16" s="2" customFormat="1" ht="15.6" customHeight="1" x14ac:dyDescent="0.3">
      <c r="A112" s="642" t="s">
        <v>210</v>
      </c>
      <c r="B112" s="643"/>
      <c r="C112" s="643"/>
      <c r="D112" s="643"/>
      <c r="E112" s="643"/>
      <c r="F112" s="643"/>
      <c r="G112" s="643"/>
      <c r="H112" s="643"/>
      <c r="I112" s="643"/>
      <c r="J112" s="643"/>
      <c r="K112" s="643"/>
      <c r="L112" s="643"/>
      <c r="M112" s="643"/>
      <c r="N112" s="643"/>
      <c r="O112" s="643"/>
      <c r="P112" s="644"/>
    </row>
    <row r="113" spans="1:16" ht="15.6" x14ac:dyDescent="0.3">
      <c r="A113" s="591" t="s">
        <v>197</v>
      </c>
      <c r="B113" s="592"/>
      <c r="C113" s="11" t="s">
        <v>3</v>
      </c>
      <c r="D113" s="33">
        <v>508</v>
      </c>
      <c r="E113" s="4">
        <v>508</v>
      </c>
      <c r="F113" s="4">
        <v>508</v>
      </c>
      <c r="G113" s="4">
        <v>508</v>
      </c>
      <c r="H113" s="4">
        <v>508</v>
      </c>
      <c r="I113" s="4">
        <v>508</v>
      </c>
      <c r="J113" s="130">
        <v>508</v>
      </c>
      <c r="K113" s="4">
        <v>508</v>
      </c>
      <c r="L113" s="130">
        <v>508</v>
      </c>
      <c r="M113" s="130">
        <v>508</v>
      </c>
      <c r="N113" s="130">
        <v>508</v>
      </c>
      <c r="O113" s="130">
        <v>508</v>
      </c>
      <c r="P113" s="171">
        <f t="shared" si="102"/>
        <v>508</v>
      </c>
    </row>
    <row r="114" spans="1:16" ht="15.6" x14ac:dyDescent="0.3">
      <c r="A114" s="591" t="s">
        <v>198</v>
      </c>
      <c r="B114" s="592"/>
      <c r="C114" s="11" t="s">
        <v>3</v>
      </c>
      <c r="D114" s="33">
        <v>52</v>
      </c>
      <c r="E114" s="4">
        <v>52</v>
      </c>
      <c r="F114" s="4">
        <v>52</v>
      </c>
      <c r="G114" s="4">
        <v>52</v>
      </c>
      <c r="H114" s="4">
        <v>52</v>
      </c>
      <c r="I114" s="4">
        <v>52</v>
      </c>
      <c r="J114" s="130">
        <v>52</v>
      </c>
      <c r="K114" s="4">
        <v>52</v>
      </c>
      <c r="L114" s="130">
        <v>52</v>
      </c>
      <c r="M114" s="130">
        <v>52</v>
      </c>
      <c r="N114" s="130">
        <v>52</v>
      </c>
      <c r="O114" s="130">
        <v>52</v>
      </c>
      <c r="P114" s="171">
        <f t="shared" si="102"/>
        <v>52</v>
      </c>
    </row>
    <row r="115" spans="1:16" ht="15.6" x14ac:dyDescent="0.3">
      <c r="A115" s="591" t="s">
        <v>199</v>
      </c>
      <c r="B115" s="592"/>
      <c r="C115" s="11" t="s">
        <v>3</v>
      </c>
      <c r="D115" s="33">
        <v>49</v>
      </c>
      <c r="E115" s="4">
        <v>49</v>
      </c>
      <c r="F115" s="4">
        <v>49</v>
      </c>
      <c r="G115" s="4">
        <v>49</v>
      </c>
      <c r="H115" s="4">
        <v>49</v>
      </c>
      <c r="I115" s="4">
        <v>49</v>
      </c>
      <c r="J115" s="130">
        <v>49</v>
      </c>
      <c r="K115" s="4">
        <v>49</v>
      </c>
      <c r="L115" s="130">
        <v>49</v>
      </c>
      <c r="M115" s="130">
        <v>49</v>
      </c>
      <c r="N115" s="130">
        <v>49</v>
      </c>
      <c r="O115" s="130">
        <v>49</v>
      </c>
      <c r="P115" s="171">
        <f t="shared" si="102"/>
        <v>49</v>
      </c>
    </row>
    <row r="116" spans="1:16" ht="15.6" x14ac:dyDescent="0.3">
      <c r="A116" s="591" t="s">
        <v>200</v>
      </c>
      <c r="B116" s="592"/>
      <c r="C116" s="11" t="s">
        <v>3</v>
      </c>
      <c r="D116" s="33">
        <v>1</v>
      </c>
      <c r="E116" s="4">
        <v>1</v>
      </c>
      <c r="F116" s="4">
        <v>1</v>
      </c>
      <c r="G116" s="4">
        <v>1</v>
      </c>
      <c r="H116" s="4">
        <v>1</v>
      </c>
      <c r="I116" s="4">
        <v>1</v>
      </c>
      <c r="J116" s="130">
        <v>1</v>
      </c>
      <c r="K116" s="4">
        <v>1</v>
      </c>
      <c r="L116" s="130">
        <v>1</v>
      </c>
      <c r="M116" s="130">
        <v>1</v>
      </c>
      <c r="N116" s="130">
        <v>1</v>
      </c>
      <c r="O116" s="130">
        <v>1</v>
      </c>
      <c r="P116" s="171">
        <f t="shared" si="102"/>
        <v>1</v>
      </c>
    </row>
    <row r="117" spans="1:16" ht="15.6" x14ac:dyDescent="0.3">
      <c r="A117" s="593" t="s">
        <v>94</v>
      </c>
      <c r="B117" s="594"/>
      <c r="C117" s="11" t="s">
        <v>3</v>
      </c>
      <c r="D117" s="33">
        <f>SUM(D113:D116)</f>
        <v>610</v>
      </c>
      <c r="E117" s="33">
        <f>SUM(E113:E116)</f>
        <v>610</v>
      </c>
      <c r="F117" s="33">
        <f t="shared" ref="F117:G117" si="105">SUM(F113:F116)</f>
        <v>610</v>
      </c>
      <c r="G117" s="33">
        <f t="shared" si="105"/>
        <v>610</v>
      </c>
      <c r="H117" s="33">
        <f t="shared" ref="H117" si="106">SUM(H113:H116)</f>
        <v>610</v>
      </c>
      <c r="I117" s="166">
        <f t="shared" ref="I117:P117" si="107">SUM(I113:I116)</f>
        <v>610</v>
      </c>
      <c r="J117" s="166">
        <f t="shared" ref="J117:K117" si="108">SUM(J113:J116)</f>
        <v>610</v>
      </c>
      <c r="K117" s="166">
        <f t="shared" si="108"/>
        <v>610</v>
      </c>
      <c r="L117" s="166">
        <f t="shared" si="107"/>
        <v>610</v>
      </c>
      <c r="M117" s="166">
        <f t="shared" ref="M117:N117" si="109">SUM(M113:M116)</f>
        <v>610</v>
      </c>
      <c r="N117" s="166">
        <f t="shared" si="109"/>
        <v>610</v>
      </c>
      <c r="O117" s="166">
        <v>610</v>
      </c>
      <c r="P117" s="157">
        <f t="shared" si="107"/>
        <v>610</v>
      </c>
    </row>
    <row r="118" spans="1:16" s="2" customFormat="1" ht="15.6" x14ac:dyDescent="0.3">
      <c r="A118" s="80" t="s">
        <v>191</v>
      </c>
      <c r="B118" s="81"/>
      <c r="C118" s="11" t="s">
        <v>3</v>
      </c>
      <c r="D118" s="33">
        <f t="shared" ref="D118:I118" si="110">D111+D117</f>
        <v>1598</v>
      </c>
      <c r="E118" s="33">
        <f t="shared" si="110"/>
        <v>1617</v>
      </c>
      <c r="F118" s="33">
        <f t="shared" si="110"/>
        <v>1618</v>
      </c>
      <c r="G118" s="33">
        <f t="shared" si="110"/>
        <v>1657</v>
      </c>
      <c r="H118" s="33">
        <f t="shared" si="110"/>
        <v>1656</v>
      </c>
      <c r="I118" s="166">
        <f t="shared" si="110"/>
        <v>1687</v>
      </c>
      <c r="J118" s="166">
        <f t="shared" ref="J118:K118" si="111">J111+J117</f>
        <v>1719</v>
      </c>
      <c r="K118" s="166">
        <f t="shared" si="111"/>
        <v>1729</v>
      </c>
      <c r="L118" s="166">
        <f t="shared" ref="L118:M118" si="112">L111+L117</f>
        <v>1741</v>
      </c>
      <c r="M118" s="166">
        <f t="shared" si="112"/>
        <v>1728</v>
      </c>
      <c r="N118" s="166">
        <f t="shared" ref="N118:P118" si="113">N111+N117</f>
        <v>1740</v>
      </c>
      <c r="O118" s="166">
        <v>1743</v>
      </c>
      <c r="P118" s="166">
        <f t="shared" si="113"/>
        <v>1743</v>
      </c>
    </row>
    <row r="119" spans="1:16" ht="15.6" x14ac:dyDescent="0.3">
      <c r="A119" s="593" t="s">
        <v>192</v>
      </c>
      <c r="B119" s="594"/>
      <c r="C119" s="11" t="s">
        <v>3</v>
      </c>
      <c r="D119" s="33">
        <f t="shared" ref="D119:I119" si="114">D118+D105</f>
        <v>2130</v>
      </c>
      <c r="E119" s="33">
        <f t="shared" si="114"/>
        <v>2143</v>
      </c>
      <c r="F119" s="33">
        <f t="shared" si="114"/>
        <v>2160</v>
      </c>
      <c r="G119" s="33">
        <f t="shared" si="114"/>
        <v>2186</v>
      </c>
      <c r="H119" s="33">
        <f t="shared" si="114"/>
        <v>2206</v>
      </c>
      <c r="I119" s="166">
        <f t="shared" si="114"/>
        <v>2222</v>
      </c>
      <c r="J119" s="166">
        <f t="shared" ref="J119:K119" si="115">J118+J105</f>
        <v>2243</v>
      </c>
      <c r="K119" s="166">
        <f t="shared" si="115"/>
        <v>2259</v>
      </c>
      <c r="L119" s="166">
        <f t="shared" ref="L119:M119" si="116">L118+L105</f>
        <v>2269</v>
      </c>
      <c r="M119" s="166">
        <f t="shared" si="116"/>
        <v>2278</v>
      </c>
      <c r="N119" s="166">
        <f t="shared" ref="N119:P119" si="117">N118+N105</f>
        <v>2293</v>
      </c>
      <c r="O119" s="166">
        <v>2306</v>
      </c>
      <c r="P119" s="166">
        <f t="shared" si="117"/>
        <v>2306</v>
      </c>
    </row>
    <row r="120" spans="1:16" x14ac:dyDescent="0.3">
      <c r="A120" s="595" t="s">
        <v>201</v>
      </c>
      <c r="B120" s="596"/>
      <c r="C120" s="596"/>
      <c r="D120" s="596"/>
      <c r="E120" s="596"/>
      <c r="F120" s="596"/>
      <c r="G120" s="596"/>
      <c r="H120" s="596"/>
      <c r="I120" s="596"/>
      <c r="J120" s="596"/>
      <c r="K120" s="596"/>
      <c r="L120" s="596"/>
      <c r="M120" s="596"/>
      <c r="N120" s="596"/>
      <c r="O120" s="596"/>
      <c r="P120" s="597"/>
    </row>
    <row r="121" spans="1:16" ht="15.6" x14ac:dyDescent="0.3">
      <c r="A121" s="591" t="s">
        <v>93</v>
      </c>
      <c r="B121" s="592"/>
      <c r="C121" s="5" t="s">
        <v>3</v>
      </c>
      <c r="D121" s="4">
        <v>25745</v>
      </c>
      <c r="E121" s="4">
        <f>D121*1.0017</f>
        <v>25788.766500000002</v>
      </c>
      <c r="F121" s="4">
        <f t="shared" ref="F121:H121" si="118">E121*1.0017</f>
        <v>25832.607403050002</v>
      </c>
      <c r="G121" s="4">
        <f t="shared" si="118"/>
        <v>25876.522835635187</v>
      </c>
      <c r="H121" s="4">
        <f t="shared" si="118"/>
        <v>25920.512924455768</v>
      </c>
      <c r="I121" s="4">
        <f t="shared" ref="I121" si="119">H121*1.002</f>
        <v>25972.353950304681</v>
      </c>
      <c r="J121" s="4">
        <f t="shared" ref="J121:K121" si="120">I121*1.0017</f>
        <v>26016.506952020201</v>
      </c>
      <c r="K121" s="4">
        <f t="shared" si="120"/>
        <v>26060.735013838635</v>
      </c>
      <c r="L121" s="129">
        <v>26097.222383642591</v>
      </c>
      <c r="M121" s="4">
        <f t="shared" ref="M121:N121" si="121">L121*1.0017</f>
        <v>26141.587661694783</v>
      </c>
      <c r="N121" s="4">
        <f t="shared" si="121"/>
        <v>26186.028360719665</v>
      </c>
      <c r="O121" s="129">
        <v>26230.544608932891</v>
      </c>
      <c r="P121" s="31">
        <f>O121</f>
        <v>26230.544608932891</v>
      </c>
    </row>
    <row r="122" spans="1:16" ht="15.6" x14ac:dyDescent="0.3">
      <c r="A122" s="591" t="s">
        <v>92</v>
      </c>
      <c r="B122" s="592"/>
      <c r="C122" s="5" t="s">
        <v>3</v>
      </c>
      <c r="D122" s="4">
        <v>17998</v>
      </c>
      <c r="E122" s="4">
        <f>D122+(2*E96)</f>
        <v>17998</v>
      </c>
      <c r="F122" s="4">
        <f t="shared" ref="F122:H122" si="122">E122+(2*F96)</f>
        <v>17998</v>
      </c>
      <c r="G122" s="4">
        <f t="shared" si="122"/>
        <v>17998</v>
      </c>
      <c r="H122" s="4">
        <f t="shared" si="122"/>
        <v>17998</v>
      </c>
      <c r="I122" s="4">
        <f t="shared" ref="I122" si="123">H122+(I96*2)</f>
        <v>17998</v>
      </c>
      <c r="J122" s="4">
        <f t="shared" ref="J122:K122" si="124">I122+(2*J96)</f>
        <v>17998</v>
      </c>
      <c r="K122" s="4">
        <f t="shared" si="124"/>
        <v>17998</v>
      </c>
      <c r="L122" s="129">
        <v>18276</v>
      </c>
      <c r="M122" s="4">
        <f>L122+(2*M95)</f>
        <v>18564</v>
      </c>
      <c r="N122" s="4">
        <f t="shared" ref="N122" si="125">M122+(2*N96)</f>
        <v>18564</v>
      </c>
      <c r="O122" s="129">
        <v>18350</v>
      </c>
      <c r="P122" s="31">
        <f>O122</f>
        <v>18350</v>
      </c>
    </row>
    <row r="123" spans="1:16" ht="15.6" x14ac:dyDescent="0.3">
      <c r="A123" s="647" t="s">
        <v>91</v>
      </c>
      <c r="B123" s="648"/>
      <c r="C123" s="30" t="s">
        <v>6</v>
      </c>
      <c r="D123" s="29">
        <f t="shared" ref="D123:G123" si="126">D122/D121</f>
        <v>0.69908720139832981</v>
      </c>
      <c r="E123" s="29">
        <f t="shared" si="126"/>
        <v>0.69790077008917817</v>
      </c>
      <c r="F123" s="29">
        <f t="shared" si="126"/>
        <v>0.69671635229028461</v>
      </c>
      <c r="G123" s="29">
        <f t="shared" si="126"/>
        <v>0.69553394458449103</v>
      </c>
      <c r="H123" s="29">
        <f t="shared" ref="H123:P123" si="127">H122/H121</f>
        <v>0.69435354356043821</v>
      </c>
      <c r="I123" s="29">
        <f t="shared" si="127"/>
        <v>0.69296760834375071</v>
      </c>
      <c r="J123" s="29">
        <f t="shared" si="127"/>
        <v>0.69179156268718245</v>
      </c>
      <c r="K123" s="29">
        <f t="shared" si="127"/>
        <v>0.69061751291522655</v>
      </c>
      <c r="L123" s="29">
        <f t="shared" si="127"/>
        <v>0.70030441291158885</v>
      </c>
      <c r="M123" s="29">
        <f t="shared" si="127"/>
        <v>0.71013284427256851</v>
      </c>
      <c r="N123" s="29">
        <f t="shared" si="127"/>
        <v>0.70892766723826339</v>
      </c>
      <c r="O123" s="29">
        <v>0.69956610789357576</v>
      </c>
      <c r="P123" s="109">
        <f t="shared" si="127"/>
        <v>0.69956610789357576</v>
      </c>
    </row>
    <row r="124" spans="1:16" x14ac:dyDescent="0.3">
      <c r="A124" s="649" t="s">
        <v>90</v>
      </c>
      <c r="B124" s="650"/>
      <c r="C124" s="650"/>
      <c r="D124" s="650"/>
      <c r="E124" s="650"/>
      <c r="F124" s="650"/>
      <c r="G124" s="650"/>
      <c r="H124" s="650"/>
      <c r="I124" s="650"/>
      <c r="J124" s="650"/>
      <c r="K124" s="650"/>
      <c r="L124" s="650"/>
      <c r="M124" s="650"/>
      <c r="N124" s="650"/>
      <c r="O124" s="650"/>
      <c r="P124" s="651"/>
    </row>
    <row r="125" spans="1:16" ht="15.6" x14ac:dyDescent="0.3">
      <c r="A125" s="605" t="s">
        <v>227</v>
      </c>
      <c r="B125" s="24" t="s">
        <v>85</v>
      </c>
      <c r="C125" s="11" t="s">
        <v>3</v>
      </c>
      <c r="D125" s="4"/>
      <c r="E125" s="4">
        <f>D129</f>
        <v>0</v>
      </c>
      <c r="F125" s="4">
        <f t="shared" ref="F125:G125" si="128">E129</f>
        <v>0</v>
      </c>
      <c r="G125" s="4">
        <f t="shared" si="128"/>
        <v>0</v>
      </c>
      <c r="H125" s="155"/>
      <c r="I125" s="4">
        <v>1</v>
      </c>
      <c r="J125" s="155"/>
      <c r="K125" s="155"/>
      <c r="L125" s="155"/>
      <c r="M125" s="155"/>
      <c r="N125" s="155"/>
      <c r="O125" s="155"/>
      <c r="P125" s="25">
        <f>D125</f>
        <v>0</v>
      </c>
    </row>
    <row r="126" spans="1:16" ht="15.6" x14ac:dyDescent="0.3">
      <c r="A126" s="655"/>
      <c r="B126" s="24" t="s">
        <v>84</v>
      </c>
      <c r="C126" s="11" t="s">
        <v>3</v>
      </c>
      <c r="D126" s="4"/>
      <c r="E126" s="4"/>
      <c r="F126" s="4"/>
      <c r="G126" s="4"/>
      <c r="H126" s="153"/>
      <c r="I126" s="153"/>
      <c r="J126" s="153"/>
      <c r="K126" s="153"/>
      <c r="L126" s="153"/>
      <c r="M126" s="153"/>
      <c r="N126" s="153"/>
      <c r="O126" s="153"/>
      <c r="P126" s="18">
        <f>SUM(D126:O126)</f>
        <v>0</v>
      </c>
    </row>
    <row r="127" spans="1:16" ht="15.6" x14ac:dyDescent="0.3">
      <c r="A127" s="655"/>
      <c r="B127" s="82" t="s">
        <v>88</v>
      </c>
      <c r="C127" s="11" t="s">
        <v>3</v>
      </c>
      <c r="D127" s="4"/>
      <c r="E127" s="4"/>
      <c r="F127" s="4"/>
      <c r="G127" s="4"/>
      <c r="H127" s="153"/>
      <c r="I127" s="153"/>
      <c r="J127" s="153"/>
      <c r="K127" s="153"/>
      <c r="L127" s="153"/>
      <c r="M127" s="153"/>
      <c r="N127" s="153"/>
      <c r="O127" s="153"/>
      <c r="P127" s="18">
        <f>SUM(D127:O127)</f>
        <v>0</v>
      </c>
    </row>
    <row r="128" spans="1:16" ht="15.6" x14ac:dyDescent="0.3">
      <c r="A128" s="655"/>
      <c r="B128" s="24" t="s">
        <v>82</v>
      </c>
      <c r="C128" s="11" t="s">
        <v>3</v>
      </c>
      <c r="D128" s="4"/>
      <c r="E128" s="4"/>
      <c r="F128" s="4"/>
      <c r="G128" s="4"/>
      <c r="H128" s="153"/>
      <c r="I128" s="153"/>
      <c r="J128" s="153"/>
      <c r="K128" s="153"/>
      <c r="L128" s="153"/>
      <c r="M128" s="153"/>
      <c r="N128" s="153"/>
      <c r="O128" s="153"/>
      <c r="P128" s="18">
        <f>SUM(D128:O128)</f>
        <v>0</v>
      </c>
    </row>
    <row r="129" spans="1:16" ht="15.6" x14ac:dyDescent="0.3">
      <c r="A129" s="606"/>
      <c r="B129" s="24" t="s">
        <v>81</v>
      </c>
      <c r="C129" s="11" t="s">
        <v>3</v>
      </c>
      <c r="D129" s="4">
        <f>D125+D126-D127-D128</f>
        <v>0</v>
      </c>
      <c r="E129" s="4">
        <f>E125+E126-E127-E128</f>
        <v>0</v>
      </c>
      <c r="F129" s="4">
        <f t="shared" ref="F129:G129" si="129">F125+F126-F127-F128</f>
        <v>0</v>
      </c>
      <c r="G129" s="4">
        <f t="shared" si="129"/>
        <v>0</v>
      </c>
      <c r="H129" s="155">
        <f t="shared" ref="H129:I129" si="130">H125+H126-H127-H128</f>
        <v>0</v>
      </c>
      <c r="I129" s="155">
        <f t="shared" si="130"/>
        <v>1</v>
      </c>
      <c r="J129" s="155">
        <f t="shared" ref="J129:K129" si="131">J125+J126-J127-J128</f>
        <v>0</v>
      </c>
      <c r="K129" s="155">
        <f t="shared" si="131"/>
        <v>0</v>
      </c>
      <c r="L129" s="155">
        <f t="shared" ref="L129:M129" si="132">L125+L126-L127-L128</f>
        <v>0</v>
      </c>
      <c r="M129" s="155">
        <f t="shared" si="132"/>
        <v>0</v>
      </c>
      <c r="N129" s="155">
        <f t="shared" ref="N129" si="133">N125+N126-N127-N128</f>
        <v>0</v>
      </c>
      <c r="O129" s="155">
        <v>0</v>
      </c>
      <c r="P129" s="25">
        <f>P125+P126-P127-P128</f>
        <v>0</v>
      </c>
    </row>
    <row r="130" spans="1:16" ht="15.6" x14ac:dyDescent="0.3">
      <c r="A130" s="605" t="s">
        <v>228</v>
      </c>
      <c r="B130" s="28" t="s">
        <v>85</v>
      </c>
      <c r="C130" s="27" t="s">
        <v>3</v>
      </c>
      <c r="D130" s="4"/>
      <c r="E130" s="4">
        <f>D134</f>
        <v>0</v>
      </c>
      <c r="F130" s="4">
        <f t="shared" ref="F130:G130" si="134">E134</f>
        <v>0</v>
      </c>
      <c r="G130" s="4">
        <f t="shared" si="134"/>
        <v>0</v>
      </c>
      <c r="H130" s="155"/>
      <c r="I130" s="155"/>
      <c r="J130" s="155"/>
      <c r="K130" s="155"/>
      <c r="L130" s="155"/>
      <c r="M130" s="155"/>
      <c r="N130" s="155"/>
      <c r="O130" s="155"/>
      <c r="P130" s="25">
        <f>D130</f>
        <v>0</v>
      </c>
    </row>
    <row r="131" spans="1:16" ht="15.6" x14ac:dyDescent="0.3">
      <c r="A131" s="655"/>
      <c r="B131" s="24" t="s">
        <v>84</v>
      </c>
      <c r="C131" s="11" t="s">
        <v>3</v>
      </c>
      <c r="D131" s="4"/>
      <c r="E131" s="4"/>
      <c r="F131" s="4"/>
      <c r="G131" s="4"/>
      <c r="H131" s="153"/>
      <c r="I131" s="153"/>
      <c r="J131" s="153"/>
      <c r="K131" s="153"/>
      <c r="L131" s="153"/>
      <c r="M131" s="153"/>
      <c r="N131" s="153"/>
      <c r="O131" s="153"/>
      <c r="P131" s="18">
        <f>SUM(D131:O131)</f>
        <v>0</v>
      </c>
    </row>
    <row r="132" spans="1:16" ht="15.6" x14ac:dyDescent="0.3">
      <c r="A132" s="655"/>
      <c r="B132" s="82" t="s">
        <v>88</v>
      </c>
      <c r="C132" s="11" t="s">
        <v>3</v>
      </c>
      <c r="D132" s="4"/>
      <c r="E132" s="4"/>
      <c r="F132" s="4"/>
      <c r="G132" s="4"/>
      <c r="H132" s="153"/>
      <c r="I132" s="153"/>
      <c r="J132" s="153"/>
      <c r="K132" s="153"/>
      <c r="L132" s="153"/>
      <c r="M132" s="153"/>
      <c r="N132" s="153"/>
      <c r="O132" s="153"/>
      <c r="P132" s="18">
        <f>SUM(D132:O132)</f>
        <v>0</v>
      </c>
    </row>
    <row r="133" spans="1:16" ht="15.6" x14ac:dyDescent="0.3">
      <c r="A133" s="655"/>
      <c r="B133" s="24" t="s">
        <v>82</v>
      </c>
      <c r="C133" s="11" t="s">
        <v>3</v>
      </c>
      <c r="D133" s="4"/>
      <c r="E133" s="4"/>
      <c r="F133" s="4"/>
      <c r="G133" s="4"/>
      <c r="H133" s="153"/>
      <c r="I133" s="153"/>
      <c r="J133" s="153"/>
      <c r="K133" s="153"/>
      <c r="L133" s="153"/>
      <c r="M133" s="153"/>
      <c r="N133" s="153"/>
      <c r="O133" s="153"/>
      <c r="P133" s="18">
        <f>SUM(D133:O133)</f>
        <v>0</v>
      </c>
    </row>
    <row r="134" spans="1:16" ht="15.6" x14ac:dyDescent="0.3">
      <c r="A134" s="606"/>
      <c r="B134" s="24" t="s">
        <v>81</v>
      </c>
      <c r="C134" s="11" t="s">
        <v>3</v>
      </c>
      <c r="D134" s="4">
        <f>D130+D131-D132-D133</f>
        <v>0</v>
      </c>
      <c r="E134" s="4">
        <f>E130+E131-E132-E133</f>
        <v>0</v>
      </c>
      <c r="F134" s="4">
        <f t="shared" ref="F134:G134" si="135">F130+F131-F132-F133</f>
        <v>0</v>
      </c>
      <c r="G134" s="4">
        <f t="shared" si="135"/>
        <v>0</v>
      </c>
      <c r="H134" s="155">
        <f t="shared" ref="H134" si="136">H130+H131-H132-H133</f>
        <v>0</v>
      </c>
      <c r="I134" s="155">
        <v>1</v>
      </c>
      <c r="J134" s="155">
        <f t="shared" ref="J134:K134" si="137">J130+J131-J132-J133</f>
        <v>0</v>
      </c>
      <c r="K134" s="155">
        <f t="shared" si="137"/>
        <v>0</v>
      </c>
      <c r="L134" s="155">
        <f t="shared" ref="L134:M134" si="138">L130+L131-L132-L133</f>
        <v>0</v>
      </c>
      <c r="M134" s="155">
        <f t="shared" si="138"/>
        <v>0</v>
      </c>
      <c r="N134" s="155">
        <f t="shared" ref="N134" si="139">N130+N131-N132-N133</f>
        <v>0</v>
      </c>
      <c r="O134" s="155">
        <v>0</v>
      </c>
      <c r="P134" s="25">
        <f>P130+P131-P132-P133</f>
        <v>0</v>
      </c>
    </row>
    <row r="135" spans="1:16" ht="15.6" x14ac:dyDescent="0.3">
      <c r="A135" s="605" t="s">
        <v>89</v>
      </c>
      <c r="B135" s="24" t="s">
        <v>85</v>
      </c>
      <c r="C135" s="11" t="s">
        <v>3</v>
      </c>
      <c r="D135" s="4">
        <v>1</v>
      </c>
      <c r="E135" s="4">
        <f>D139</f>
        <v>0</v>
      </c>
      <c r="F135" s="4">
        <f t="shared" ref="F135:G135" si="140">E139</f>
        <v>0</v>
      </c>
      <c r="G135" s="4">
        <f t="shared" si="140"/>
        <v>0</v>
      </c>
      <c r="H135" s="155"/>
      <c r="I135" s="155"/>
      <c r="J135" s="155"/>
      <c r="K135" s="155"/>
      <c r="L135" s="155"/>
      <c r="M135" s="155"/>
      <c r="N135" s="155">
        <v>1</v>
      </c>
      <c r="O135" s="155">
        <v>1</v>
      </c>
      <c r="P135" s="25">
        <f>D135</f>
        <v>1</v>
      </c>
    </row>
    <row r="136" spans="1:16" ht="15.6" x14ac:dyDescent="0.3">
      <c r="A136" s="655"/>
      <c r="B136" s="24" t="s">
        <v>84</v>
      </c>
      <c r="C136" s="11" t="s">
        <v>3</v>
      </c>
      <c r="D136" s="4"/>
      <c r="E136" s="4"/>
      <c r="F136" s="4"/>
      <c r="G136" s="4"/>
      <c r="H136" s="153"/>
      <c r="I136" s="153"/>
      <c r="J136" s="153"/>
      <c r="K136" s="153"/>
      <c r="L136" s="153"/>
      <c r="M136" s="4">
        <v>1</v>
      </c>
      <c r="N136" s="153"/>
      <c r="O136" s="153"/>
      <c r="P136" s="18">
        <f>SUM(D136:O136)</f>
        <v>1</v>
      </c>
    </row>
    <row r="137" spans="1:16" ht="15.6" x14ac:dyDescent="0.3">
      <c r="A137" s="655"/>
      <c r="B137" s="82" t="s">
        <v>88</v>
      </c>
      <c r="C137" s="11" t="s">
        <v>3</v>
      </c>
      <c r="D137" s="4">
        <v>1</v>
      </c>
      <c r="E137" s="4"/>
      <c r="F137" s="4"/>
      <c r="G137" s="4"/>
      <c r="H137" s="153"/>
      <c r="I137" s="153"/>
      <c r="J137" s="153"/>
      <c r="K137" s="153"/>
      <c r="L137" s="153"/>
      <c r="M137" s="153"/>
      <c r="N137" s="153"/>
      <c r="O137" s="153"/>
      <c r="P137" s="18">
        <f>SUM(D137:O137)</f>
        <v>1</v>
      </c>
    </row>
    <row r="138" spans="1:16" ht="15.6" x14ac:dyDescent="0.3">
      <c r="A138" s="655"/>
      <c r="B138" s="24" t="s">
        <v>82</v>
      </c>
      <c r="C138" s="11" t="s">
        <v>3</v>
      </c>
      <c r="D138" s="4"/>
      <c r="E138" s="4"/>
      <c r="F138" s="4"/>
      <c r="G138" s="4"/>
      <c r="H138" s="153"/>
      <c r="I138" s="153"/>
      <c r="J138" s="153"/>
      <c r="K138" s="153"/>
      <c r="L138" s="153"/>
      <c r="M138" s="153"/>
      <c r="N138" s="153"/>
      <c r="O138" s="153"/>
      <c r="P138" s="18">
        <f>SUM(D138:O138)</f>
        <v>0</v>
      </c>
    </row>
    <row r="139" spans="1:16" ht="15.6" x14ac:dyDescent="0.3">
      <c r="A139" s="606"/>
      <c r="B139" s="24" t="s">
        <v>81</v>
      </c>
      <c r="C139" s="11" t="s">
        <v>3</v>
      </c>
      <c r="D139" s="4">
        <f>D135+D136-D137-D138</f>
        <v>0</v>
      </c>
      <c r="E139" s="4">
        <f>E135+E136-E137-E138</f>
        <v>0</v>
      </c>
      <c r="F139" s="4">
        <f t="shared" ref="F139:G139" si="141">F135+F136-F137-F138</f>
        <v>0</v>
      </c>
      <c r="G139" s="4">
        <f t="shared" si="141"/>
        <v>0</v>
      </c>
      <c r="H139" s="155">
        <f t="shared" ref="H139" si="142">H135+H136-H137-H138</f>
        <v>0</v>
      </c>
      <c r="I139" s="155">
        <v>1</v>
      </c>
      <c r="J139" s="155">
        <f t="shared" ref="J139:K139" si="143">J135+J136-J137-J138</f>
        <v>0</v>
      </c>
      <c r="K139" s="155">
        <f t="shared" si="143"/>
        <v>0</v>
      </c>
      <c r="L139" s="155">
        <f t="shared" ref="L139:M139" si="144">L135+L136-L137-L138</f>
        <v>0</v>
      </c>
      <c r="M139" s="155">
        <f t="shared" si="144"/>
        <v>1</v>
      </c>
      <c r="N139" s="155">
        <f t="shared" ref="N139" si="145">N135+N136-N137-N138</f>
        <v>1</v>
      </c>
      <c r="O139" s="155">
        <v>1</v>
      </c>
      <c r="P139" s="25">
        <f>P135+P136-P137-P138</f>
        <v>1</v>
      </c>
    </row>
    <row r="140" spans="1:16" ht="15.6" x14ac:dyDescent="0.3">
      <c r="A140" s="605" t="s">
        <v>87</v>
      </c>
      <c r="B140" s="24" t="s">
        <v>85</v>
      </c>
      <c r="C140" s="11" t="s">
        <v>3</v>
      </c>
      <c r="D140" s="4">
        <v>120</v>
      </c>
      <c r="E140" s="4">
        <f>D144</f>
        <v>111</v>
      </c>
      <c r="F140" s="4">
        <f t="shared" ref="F140:I140" si="146">E144</f>
        <v>114</v>
      </c>
      <c r="G140" s="4">
        <f t="shared" si="146"/>
        <v>113</v>
      </c>
      <c r="H140" s="4">
        <f t="shared" si="146"/>
        <v>99</v>
      </c>
      <c r="I140" s="4">
        <f t="shared" si="146"/>
        <v>67</v>
      </c>
      <c r="J140" s="4">
        <v>78</v>
      </c>
      <c r="K140" s="4">
        <f t="shared" ref="K140" si="147">J144</f>
        <v>82</v>
      </c>
      <c r="L140" s="155">
        <v>95</v>
      </c>
      <c r="M140" s="155">
        <v>96</v>
      </c>
      <c r="N140" s="155">
        <v>10</v>
      </c>
      <c r="O140" s="155">
        <v>16</v>
      </c>
      <c r="P140" s="25">
        <f>D140</f>
        <v>120</v>
      </c>
    </row>
    <row r="141" spans="1:16" ht="15.6" x14ac:dyDescent="0.3">
      <c r="A141" s="655"/>
      <c r="B141" s="24" t="s">
        <v>84</v>
      </c>
      <c r="C141" s="11" t="s">
        <v>3</v>
      </c>
      <c r="D141" s="4">
        <v>15</v>
      </c>
      <c r="E141" s="4">
        <v>3</v>
      </c>
      <c r="F141" s="4"/>
      <c r="G141" s="4">
        <v>11</v>
      </c>
      <c r="H141" s="4">
        <v>28</v>
      </c>
      <c r="I141" s="4">
        <v>28</v>
      </c>
      <c r="J141" s="4">
        <v>4</v>
      </c>
      <c r="K141" s="4">
        <v>13</v>
      </c>
      <c r="L141" s="153">
        <v>6</v>
      </c>
      <c r="M141" s="153">
        <v>9</v>
      </c>
      <c r="N141" s="153">
        <v>12</v>
      </c>
      <c r="O141" s="153"/>
      <c r="P141" s="18">
        <f>SUM(D141:O141)</f>
        <v>129</v>
      </c>
    </row>
    <row r="142" spans="1:16" ht="15.6" x14ac:dyDescent="0.3">
      <c r="A142" s="655"/>
      <c r="B142" s="24" t="s">
        <v>83</v>
      </c>
      <c r="C142" s="11" t="s">
        <v>3</v>
      </c>
      <c r="D142" s="4">
        <v>20</v>
      </c>
      <c r="E142" s="4"/>
      <c r="F142" s="4">
        <v>1</v>
      </c>
      <c r="G142" s="4">
        <v>25</v>
      </c>
      <c r="H142" s="4">
        <v>27</v>
      </c>
      <c r="I142" s="4">
        <v>12</v>
      </c>
      <c r="J142" s="153"/>
      <c r="K142" s="153"/>
      <c r="L142" s="153">
        <v>3</v>
      </c>
      <c r="M142" s="153">
        <v>4</v>
      </c>
      <c r="N142" s="153">
        <v>6</v>
      </c>
      <c r="O142" s="153"/>
      <c r="P142" s="18">
        <f>SUM(D142:O142)</f>
        <v>98</v>
      </c>
    </row>
    <row r="143" spans="1:16" ht="15.6" x14ac:dyDescent="0.3">
      <c r="A143" s="655"/>
      <c r="B143" s="24" t="s">
        <v>82</v>
      </c>
      <c r="C143" s="11" t="s">
        <v>3</v>
      </c>
      <c r="D143" s="4">
        <v>4</v>
      </c>
      <c r="E143" s="4"/>
      <c r="F143" s="4"/>
      <c r="G143" s="4"/>
      <c r="H143" s="4">
        <v>33</v>
      </c>
      <c r="I143" s="4">
        <v>5</v>
      </c>
      <c r="J143" s="153"/>
      <c r="K143" s="153"/>
      <c r="L143" s="153">
        <v>2</v>
      </c>
      <c r="M143" s="153">
        <v>91</v>
      </c>
      <c r="N143" s="153"/>
      <c r="O143" s="153"/>
      <c r="P143" s="18">
        <f>SUM(D143:O143)</f>
        <v>135</v>
      </c>
    </row>
    <row r="144" spans="1:16" ht="15.6" x14ac:dyDescent="0.3">
      <c r="A144" s="606"/>
      <c r="B144" s="24" t="s">
        <v>81</v>
      </c>
      <c r="C144" s="11" t="s">
        <v>3</v>
      </c>
      <c r="D144" s="4">
        <f>D140+D141-D142-D143</f>
        <v>111</v>
      </c>
      <c r="E144" s="4">
        <f>E140+E141-E142-E143</f>
        <v>114</v>
      </c>
      <c r="F144" s="4">
        <f t="shared" ref="F144:I144" si="148">F140+F141-F142-F143</f>
        <v>113</v>
      </c>
      <c r="G144" s="4">
        <f t="shared" si="148"/>
        <v>99</v>
      </c>
      <c r="H144" s="4">
        <f t="shared" si="148"/>
        <v>67</v>
      </c>
      <c r="I144" s="4">
        <f t="shared" si="148"/>
        <v>78</v>
      </c>
      <c r="J144" s="155">
        <f t="shared" ref="J144:K144" si="149">J140+J141-J142-J143</f>
        <v>82</v>
      </c>
      <c r="K144" s="155">
        <f t="shared" si="149"/>
        <v>95</v>
      </c>
      <c r="L144" s="155">
        <v>96</v>
      </c>
      <c r="M144" s="155">
        <v>10</v>
      </c>
      <c r="N144" s="155">
        <v>16</v>
      </c>
      <c r="O144" s="155">
        <v>16</v>
      </c>
      <c r="P144" s="25">
        <f>P140+P141-P142-P143</f>
        <v>16</v>
      </c>
    </row>
    <row r="145" spans="1:16" s="2" customFormat="1" ht="15.6" x14ac:dyDescent="0.3">
      <c r="A145" s="605" t="s">
        <v>86</v>
      </c>
      <c r="B145" s="24" t="s">
        <v>85</v>
      </c>
      <c r="C145" s="11" t="s">
        <v>3</v>
      </c>
      <c r="D145" s="23">
        <f t="shared" ref="D145:H145" si="150">D125+D130+D135+D140</f>
        <v>121</v>
      </c>
      <c r="E145" s="23">
        <f t="shared" si="150"/>
        <v>111</v>
      </c>
      <c r="F145" s="23">
        <f t="shared" si="150"/>
        <v>114</v>
      </c>
      <c r="G145" s="23">
        <f t="shared" si="150"/>
        <v>113</v>
      </c>
      <c r="H145" s="23">
        <f t="shared" si="150"/>
        <v>99</v>
      </c>
      <c r="I145" s="23">
        <v>44</v>
      </c>
      <c r="J145" s="23">
        <f t="shared" ref="J145:K145" si="151">J125+J130+J135+J140</f>
        <v>78</v>
      </c>
      <c r="K145" s="23">
        <f t="shared" si="151"/>
        <v>82</v>
      </c>
      <c r="L145" s="23">
        <f t="shared" ref="L145:M145" si="152">L125+L130+L135+L140</f>
        <v>95</v>
      </c>
      <c r="M145" s="23">
        <f t="shared" si="152"/>
        <v>96</v>
      </c>
      <c r="N145" s="23">
        <f t="shared" ref="N145" si="153">N125+N130+N135+N140</f>
        <v>11</v>
      </c>
      <c r="O145" s="23">
        <v>17</v>
      </c>
      <c r="P145" s="110">
        <f t="shared" ref="P145:P149" si="154">P125+P130+P135+P140</f>
        <v>121</v>
      </c>
    </row>
    <row r="146" spans="1:16" ht="15.6" x14ac:dyDescent="0.3">
      <c r="A146" s="655"/>
      <c r="B146" s="24" t="s">
        <v>84</v>
      </c>
      <c r="C146" s="11" t="s">
        <v>3</v>
      </c>
      <c r="D146" s="23">
        <f t="shared" ref="D146:E148" si="155">D126+D131+D136+D141</f>
        <v>15</v>
      </c>
      <c r="E146" s="23">
        <f t="shared" si="155"/>
        <v>3</v>
      </c>
      <c r="F146" s="23">
        <f t="shared" ref="F146:G146" si="156">F126+F131+F136+F141</f>
        <v>0</v>
      </c>
      <c r="G146" s="23">
        <f t="shared" si="156"/>
        <v>11</v>
      </c>
      <c r="H146" s="23">
        <f t="shared" ref="H146:I146" si="157">H126+H131+H136+H141</f>
        <v>28</v>
      </c>
      <c r="I146" s="23">
        <f t="shared" si="157"/>
        <v>28</v>
      </c>
      <c r="J146" s="23">
        <f t="shared" ref="J146:K146" si="158">J126+J131+J136+J141</f>
        <v>4</v>
      </c>
      <c r="K146" s="23">
        <f t="shared" si="158"/>
        <v>13</v>
      </c>
      <c r="L146" s="23">
        <f t="shared" ref="L146:M146" si="159">L126+L131+L136+L141</f>
        <v>6</v>
      </c>
      <c r="M146" s="23">
        <f t="shared" si="159"/>
        <v>10</v>
      </c>
      <c r="N146" s="23">
        <f t="shared" ref="N146" si="160">N126+N131+N136+N141</f>
        <v>12</v>
      </c>
      <c r="O146" s="23">
        <v>0</v>
      </c>
      <c r="P146" s="110">
        <f t="shared" si="154"/>
        <v>130</v>
      </c>
    </row>
    <row r="147" spans="1:16" ht="15.6" x14ac:dyDescent="0.3">
      <c r="A147" s="655"/>
      <c r="B147" s="24" t="s">
        <v>83</v>
      </c>
      <c r="C147" s="11" t="s">
        <v>3</v>
      </c>
      <c r="D147" s="23">
        <f t="shared" si="155"/>
        <v>21</v>
      </c>
      <c r="E147" s="23">
        <f t="shared" si="155"/>
        <v>0</v>
      </c>
      <c r="F147" s="23">
        <f t="shared" ref="F147:G147" si="161">F127+F132+F137+F142</f>
        <v>1</v>
      </c>
      <c r="G147" s="23">
        <f t="shared" si="161"/>
        <v>25</v>
      </c>
      <c r="H147" s="23">
        <f t="shared" ref="H147:I147" si="162">H127+H132+H137+H142</f>
        <v>27</v>
      </c>
      <c r="I147" s="23">
        <f t="shared" si="162"/>
        <v>12</v>
      </c>
      <c r="J147" s="23">
        <f t="shared" ref="J147:K147" si="163">J127+J132+J137+J142</f>
        <v>0</v>
      </c>
      <c r="K147" s="23">
        <f t="shared" si="163"/>
        <v>0</v>
      </c>
      <c r="L147" s="23">
        <f t="shared" ref="L147:M147" si="164">L127+L132+L137+L142</f>
        <v>3</v>
      </c>
      <c r="M147" s="23">
        <f t="shared" si="164"/>
        <v>4</v>
      </c>
      <c r="N147" s="23">
        <f t="shared" ref="N147" si="165">N127+N132+N137+N142</f>
        <v>6</v>
      </c>
      <c r="O147" s="23">
        <v>0</v>
      </c>
      <c r="P147" s="110">
        <f t="shared" si="154"/>
        <v>99</v>
      </c>
    </row>
    <row r="148" spans="1:16" ht="15.6" x14ac:dyDescent="0.3">
      <c r="A148" s="655"/>
      <c r="B148" s="24" t="s">
        <v>82</v>
      </c>
      <c r="C148" s="11" t="s">
        <v>3</v>
      </c>
      <c r="D148" s="23">
        <f t="shared" si="155"/>
        <v>4</v>
      </c>
      <c r="E148" s="23">
        <f t="shared" si="155"/>
        <v>0</v>
      </c>
      <c r="F148" s="23">
        <f t="shared" ref="F148:G148" si="166">F128+F133+F138+F143</f>
        <v>0</v>
      </c>
      <c r="G148" s="23">
        <f t="shared" si="166"/>
        <v>0</v>
      </c>
      <c r="H148" s="23">
        <f t="shared" ref="H148:I148" si="167">H128+H133+H138+H143</f>
        <v>33</v>
      </c>
      <c r="I148" s="23">
        <f t="shared" si="167"/>
        <v>5</v>
      </c>
      <c r="J148" s="23">
        <f t="shared" ref="J148:K148" si="168">J128+J133+J138+J143</f>
        <v>0</v>
      </c>
      <c r="K148" s="23">
        <f t="shared" si="168"/>
        <v>0</v>
      </c>
      <c r="L148" s="23">
        <f t="shared" ref="L148:M148" si="169">L128+L133+L138+L143</f>
        <v>2</v>
      </c>
      <c r="M148" s="23">
        <f t="shared" si="169"/>
        <v>91</v>
      </c>
      <c r="N148" s="23">
        <f t="shared" ref="N148" si="170">N128+N133+N138+N143</f>
        <v>0</v>
      </c>
      <c r="O148" s="23">
        <v>0</v>
      </c>
      <c r="P148" s="110">
        <f t="shared" si="154"/>
        <v>135</v>
      </c>
    </row>
    <row r="149" spans="1:16" ht="15.6" x14ac:dyDescent="0.3">
      <c r="A149" s="606"/>
      <c r="B149" s="24" t="s">
        <v>81</v>
      </c>
      <c r="C149" s="11" t="s">
        <v>3</v>
      </c>
      <c r="D149" s="155">
        <f t="shared" ref="D149:I149" si="171">D145+D146-D147-D148</f>
        <v>111</v>
      </c>
      <c r="E149" s="155">
        <f t="shared" si="171"/>
        <v>114</v>
      </c>
      <c r="F149" s="155">
        <f t="shared" si="171"/>
        <v>113</v>
      </c>
      <c r="G149" s="155">
        <f t="shared" si="171"/>
        <v>99</v>
      </c>
      <c r="H149" s="155">
        <f t="shared" si="171"/>
        <v>67</v>
      </c>
      <c r="I149" s="155">
        <f t="shared" si="171"/>
        <v>55</v>
      </c>
      <c r="J149" s="155">
        <f t="shared" ref="J149:K149" si="172">J145+J146-J147-J148</f>
        <v>82</v>
      </c>
      <c r="K149" s="155">
        <f t="shared" si="172"/>
        <v>95</v>
      </c>
      <c r="L149" s="155">
        <f t="shared" ref="L149:M149" si="173">L145+L146-L147-L148</f>
        <v>96</v>
      </c>
      <c r="M149" s="155">
        <f t="shared" si="173"/>
        <v>11</v>
      </c>
      <c r="N149" s="155">
        <f t="shared" ref="N149" si="174">N145+N146-N147-N148</f>
        <v>17</v>
      </c>
      <c r="O149" s="155">
        <v>17</v>
      </c>
      <c r="P149" s="110">
        <f t="shared" si="154"/>
        <v>17</v>
      </c>
    </row>
    <row r="150" spans="1:16" x14ac:dyDescent="0.3">
      <c r="A150" s="595" t="s">
        <v>80</v>
      </c>
      <c r="B150" s="596"/>
      <c r="C150" s="596"/>
      <c r="D150" s="596"/>
      <c r="E150" s="596"/>
      <c r="F150" s="596"/>
      <c r="G150" s="596"/>
      <c r="H150" s="596"/>
      <c r="I150" s="596"/>
      <c r="J150" s="596"/>
      <c r="K150" s="596"/>
      <c r="L150" s="596"/>
      <c r="M150" s="596"/>
      <c r="N150" s="596"/>
      <c r="O150" s="596"/>
      <c r="P150" s="597"/>
    </row>
    <row r="151" spans="1:16" ht="15.6" x14ac:dyDescent="0.3">
      <c r="A151" s="591" t="s">
        <v>79</v>
      </c>
      <c r="B151" s="592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9"/>
    </row>
    <row r="152" spans="1:16" ht="15.6" x14ac:dyDescent="0.3">
      <c r="A152" s="652" t="s">
        <v>78</v>
      </c>
      <c r="B152" s="92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9"/>
    </row>
    <row r="153" spans="1:16" ht="15.6" x14ac:dyDescent="0.3">
      <c r="A153" s="653"/>
      <c r="B153" s="19" t="s">
        <v>73</v>
      </c>
      <c r="C153" s="11" t="s">
        <v>57</v>
      </c>
      <c r="D153" s="562">
        <v>79</v>
      </c>
      <c r="E153" s="4">
        <v>81</v>
      </c>
      <c r="F153" s="4">
        <v>80</v>
      </c>
      <c r="G153" s="4">
        <v>83</v>
      </c>
      <c r="H153" s="4">
        <v>79</v>
      </c>
      <c r="I153" s="4">
        <v>75</v>
      </c>
      <c r="J153" s="4">
        <v>77</v>
      </c>
      <c r="K153" s="4">
        <v>79</v>
      </c>
      <c r="L153" s="153">
        <v>80</v>
      </c>
      <c r="M153" s="4">
        <v>76</v>
      </c>
      <c r="N153" s="153">
        <v>74</v>
      </c>
      <c r="O153" s="153">
        <v>79</v>
      </c>
      <c r="P153" s="18">
        <f t="shared" ref="P153:P165" si="175">SUM(D153:O153)</f>
        <v>942</v>
      </c>
    </row>
    <row r="154" spans="1:16" ht="15.6" x14ac:dyDescent="0.3">
      <c r="A154" s="653"/>
      <c r="B154" s="19" t="s">
        <v>72</v>
      </c>
      <c r="C154" s="11" t="s">
        <v>57</v>
      </c>
      <c r="D154" s="562">
        <v>30</v>
      </c>
      <c r="E154" s="4">
        <v>31</v>
      </c>
      <c r="F154" s="4">
        <v>30</v>
      </c>
      <c r="G154" s="4">
        <v>28</v>
      </c>
      <c r="H154" s="4">
        <v>25</v>
      </c>
      <c r="I154" s="4">
        <v>24</v>
      </c>
      <c r="J154" s="4">
        <v>30</v>
      </c>
      <c r="K154" s="4">
        <v>33</v>
      </c>
      <c r="L154" s="153">
        <v>31</v>
      </c>
      <c r="M154" s="4">
        <v>33</v>
      </c>
      <c r="N154" s="153">
        <v>32</v>
      </c>
      <c r="O154" s="153">
        <v>33</v>
      </c>
      <c r="P154" s="18">
        <f t="shared" si="175"/>
        <v>360</v>
      </c>
    </row>
    <row r="155" spans="1:16" ht="15.6" x14ac:dyDescent="0.3">
      <c r="A155" s="653"/>
      <c r="B155" s="19" t="s">
        <v>53</v>
      </c>
      <c r="C155" s="11" t="s">
        <v>57</v>
      </c>
      <c r="D155" s="562">
        <v>20</v>
      </c>
      <c r="E155" s="4">
        <v>19</v>
      </c>
      <c r="F155" s="4">
        <v>20</v>
      </c>
      <c r="G155" s="4">
        <v>21</v>
      </c>
      <c r="H155" s="4">
        <v>25</v>
      </c>
      <c r="I155" s="4">
        <v>21</v>
      </c>
      <c r="J155" s="4">
        <v>24</v>
      </c>
      <c r="K155" s="4">
        <v>23</v>
      </c>
      <c r="L155" s="153">
        <v>20</v>
      </c>
      <c r="M155" s="4">
        <v>21</v>
      </c>
      <c r="N155" s="153">
        <v>22</v>
      </c>
      <c r="O155" s="153">
        <v>21</v>
      </c>
      <c r="P155" s="18">
        <f t="shared" si="175"/>
        <v>257</v>
      </c>
    </row>
    <row r="156" spans="1:16" ht="15.6" x14ac:dyDescent="0.3">
      <c r="A156" s="653"/>
      <c r="B156" s="19" t="s">
        <v>71</v>
      </c>
      <c r="C156" s="11" t="s">
        <v>57</v>
      </c>
      <c r="D156" s="562">
        <v>10</v>
      </c>
      <c r="E156" s="4">
        <v>8</v>
      </c>
      <c r="F156" s="4">
        <v>7</v>
      </c>
      <c r="G156" s="4">
        <v>8</v>
      </c>
      <c r="H156" s="4">
        <v>10</v>
      </c>
      <c r="I156" s="4">
        <v>10</v>
      </c>
      <c r="J156" s="4">
        <v>9</v>
      </c>
      <c r="K156" s="4">
        <v>10</v>
      </c>
      <c r="L156" s="153">
        <v>9</v>
      </c>
      <c r="M156" s="4">
        <v>11</v>
      </c>
      <c r="N156" s="153">
        <v>10</v>
      </c>
      <c r="O156" s="153">
        <v>11</v>
      </c>
      <c r="P156" s="18">
        <f t="shared" si="175"/>
        <v>113</v>
      </c>
    </row>
    <row r="157" spans="1:16" ht="15.6" x14ac:dyDescent="0.3">
      <c r="A157" s="653"/>
      <c r="B157" s="19" t="s">
        <v>52</v>
      </c>
      <c r="C157" s="11" t="s">
        <v>57</v>
      </c>
      <c r="D157" s="562">
        <v>11</v>
      </c>
      <c r="E157" s="4">
        <v>11</v>
      </c>
      <c r="F157" s="4">
        <v>9</v>
      </c>
      <c r="G157" s="4">
        <v>7</v>
      </c>
      <c r="H157" s="4">
        <v>6</v>
      </c>
      <c r="I157" s="4">
        <v>5</v>
      </c>
      <c r="J157" s="4">
        <v>6</v>
      </c>
      <c r="K157" s="4">
        <v>8</v>
      </c>
      <c r="L157" s="153">
        <v>8</v>
      </c>
      <c r="M157" s="4">
        <v>7</v>
      </c>
      <c r="N157" s="153">
        <v>7</v>
      </c>
      <c r="O157" s="153">
        <v>9</v>
      </c>
      <c r="P157" s="18">
        <f t="shared" si="175"/>
        <v>94</v>
      </c>
    </row>
    <row r="158" spans="1:16" ht="15.6" x14ac:dyDescent="0.3">
      <c r="A158" s="653"/>
      <c r="B158" s="19" t="s">
        <v>51</v>
      </c>
      <c r="C158" s="11" t="s">
        <v>57</v>
      </c>
      <c r="D158" s="562">
        <v>6</v>
      </c>
      <c r="E158" s="4">
        <v>5</v>
      </c>
      <c r="F158" s="4">
        <v>4</v>
      </c>
      <c r="G158" s="4">
        <v>3</v>
      </c>
      <c r="H158" s="4">
        <v>3</v>
      </c>
      <c r="I158" s="4">
        <v>3</v>
      </c>
      <c r="J158" s="4">
        <v>5</v>
      </c>
      <c r="K158" s="4">
        <v>7</v>
      </c>
      <c r="L158" s="153">
        <v>5</v>
      </c>
      <c r="M158" s="4">
        <v>4</v>
      </c>
      <c r="N158" s="153">
        <v>5</v>
      </c>
      <c r="O158" s="153">
        <v>4</v>
      </c>
      <c r="P158" s="18">
        <f t="shared" si="175"/>
        <v>54</v>
      </c>
    </row>
    <row r="159" spans="1:16" ht="15.6" x14ac:dyDescent="0.3">
      <c r="A159" s="653"/>
      <c r="B159" s="19" t="s">
        <v>62</v>
      </c>
      <c r="C159" s="11" t="s">
        <v>57</v>
      </c>
      <c r="D159" s="562">
        <v>4</v>
      </c>
      <c r="E159" s="4">
        <v>4</v>
      </c>
      <c r="F159" s="4">
        <v>4</v>
      </c>
      <c r="G159" s="4">
        <v>4</v>
      </c>
      <c r="H159" s="4">
        <v>3</v>
      </c>
      <c r="I159" s="4">
        <v>2</v>
      </c>
      <c r="J159" s="4">
        <v>2</v>
      </c>
      <c r="K159" s="4">
        <v>2</v>
      </c>
      <c r="L159" s="153">
        <v>2</v>
      </c>
      <c r="M159" s="4">
        <v>3</v>
      </c>
      <c r="N159" s="153">
        <v>4</v>
      </c>
      <c r="O159" s="153">
        <v>3</v>
      </c>
      <c r="P159" s="18">
        <f t="shared" si="175"/>
        <v>37</v>
      </c>
    </row>
    <row r="160" spans="1:16" ht="15.6" x14ac:dyDescent="0.3">
      <c r="A160" s="653"/>
      <c r="B160" s="19" t="s">
        <v>50</v>
      </c>
      <c r="C160" s="11" t="s">
        <v>57</v>
      </c>
      <c r="D160" s="562">
        <v>2</v>
      </c>
      <c r="E160" s="4">
        <v>3</v>
      </c>
      <c r="F160" s="4">
        <v>2</v>
      </c>
      <c r="G160" s="4">
        <v>2</v>
      </c>
      <c r="H160" s="4">
        <v>3</v>
      </c>
      <c r="I160" s="4">
        <v>2</v>
      </c>
      <c r="J160" s="4">
        <v>3</v>
      </c>
      <c r="K160" s="4">
        <v>3</v>
      </c>
      <c r="L160" s="153"/>
      <c r="M160" s="4"/>
      <c r="N160" s="153">
        <v>2</v>
      </c>
      <c r="O160" s="153">
        <v>1</v>
      </c>
      <c r="P160" s="18">
        <f t="shared" si="175"/>
        <v>23</v>
      </c>
    </row>
    <row r="161" spans="1:16" ht="15.6" x14ac:dyDescent="0.3">
      <c r="A161" s="653"/>
      <c r="B161" s="19" t="s">
        <v>49</v>
      </c>
      <c r="C161" s="11" t="s">
        <v>57</v>
      </c>
      <c r="D161" s="562">
        <v>3</v>
      </c>
      <c r="E161" s="4">
        <v>2</v>
      </c>
      <c r="F161" s="4">
        <v>2</v>
      </c>
      <c r="G161" s="4">
        <v>3</v>
      </c>
      <c r="H161" s="4">
        <v>4</v>
      </c>
      <c r="I161" s="4">
        <v>5</v>
      </c>
      <c r="J161" s="4">
        <v>5</v>
      </c>
      <c r="K161" s="4">
        <v>4</v>
      </c>
      <c r="L161" s="153">
        <v>1</v>
      </c>
      <c r="M161" s="4">
        <v>1</v>
      </c>
      <c r="N161" s="153">
        <v>1</v>
      </c>
      <c r="O161" s="153">
        <v>1</v>
      </c>
      <c r="P161" s="18">
        <f t="shared" si="175"/>
        <v>32</v>
      </c>
    </row>
    <row r="162" spans="1:16" ht="15.6" x14ac:dyDescent="0.3">
      <c r="A162" s="653"/>
      <c r="B162" s="19" t="s">
        <v>77</v>
      </c>
      <c r="C162" s="11" t="s">
        <v>57</v>
      </c>
      <c r="D162" s="562">
        <v>1</v>
      </c>
      <c r="E162" s="4">
        <v>1</v>
      </c>
      <c r="F162" s="4"/>
      <c r="G162" s="4">
        <v>1</v>
      </c>
      <c r="H162" s="4">
        <v>1</v>
      </c>
      <c r="I162" s="4">
        <v>1</v>
      </c>
      <c r="J162" s="4">
        <v>1</v>
      </c>
      <c r="K162" s="4">
        <v>1</v>
      </c>
      <c r="L162" s="153"/>
      <c r="M162" s="4">
        <v>1</v>
      </c>
      <c r="N162" s="153"/>
      <c r="O162" s="153">
        <v>1</v>
      </c>
      <c r="P162" s="18">
        <f t="shared" si="175"/>
        <v>9</v>
      </c>
    </row>
    <row r="163" spans="1:16" ht="15.6" x14ac:dyDescent="0.3">
      <c r="A163" s="653"/>
      <c r="B163" s="19" t="s">
        <v>69</v>
      </c>
      <c r="C163" s="11" t="s">
        <v>57</v>
      </c>
      <c r="D163" s="562"/>
      <c r="E163" s="4"/>
      <c r="F163" s="4"/>
      <c r="G163" s="4">
        <v>1</v>
      </c>
      <c r="H163" s="4">
        <v>1</v>
      </c>
      <c r="I163" s="153"/>
      <c r="J163" s="153"/>
      <c r="K163" s="153"/>
      <c r="L163" s="153"/>
      <c r="M163" s="153"/>
      <c r="N163" s="153"/>
      <c r="O163" s="153"/>
      <c r="P163" s="18">
        <f t="shared" si="175"/>
        <v>2</v>
      </c>
    </row>
    <row r="164" spans="1:16" ht="15.6" x14ac:dyDescent="0.3">
      <c r="A164" s="653"/>
      <c r="B164" s="19" t="s">
        <v>68</v>
      </c>
      <c r="C164" s="11" t="s">
        <v>57</v>
      </c>
      <c r="D164" s="4"/>
      <c r="E164" s="4"/>
      <c r="F164" s="4"/>
      <c r="G164" s="4"/>
      <c r="H164" s="4"/>
      <c r="I164" s="153"/>
      <c r="J164" s="153"/>
      <c r="K164" s="153"/>
      <c r="L164" s="153"/>
      <c r="M164" s="153"/>
      <c r="N164" s="153"/>
      <c r="O164" s="153"/>
      <c r="P164" s="18">
        <f t="shared" si="175"/>
        <v>0</v>
      </c>
    </row>
    <row r="165" spans="1:16" ht="15.6" x14ac:dyDescent="0.3">
      <c r="A165" s="654"/>
      <c r="B165" s="19" t="s">
        <v>76</v>
      </c>
      <c r="C165" s="11" t="s">
        <v>57</v>
      </c>
      <c r="D165" s="4"/>
      <c r="E165" s="4"/>
      <c r="F165" s="4"/>
      <c r="G165" s="4"/>
      <c r="H165" s="4"/>
      <c r="I165" s="153"/>
      <c r="J165" s="153"/>
      <c r="K165" s="153"/>
      <c r="L165" s="153"/>
      <c r="M165" s="153"/>
      <c r="N165" s="153"/>
      <c r="O165" s="153"/>
      <c r="P165" s="18">
        <f t="shared" si="175"/>
        <v>0</v>
      </c>
    </row>
    <row r="166" spans="1:16" ht="15.6" x14ac:dyDescent="0.3">
      <c r="A166" s="652" t="s">
        <v>75</v>
      </c>
      <c r="B166" s="21" t="s">
        <v>63</v>
      </c>
      <c r="C166" s="11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8"/>
    </row>
    <row r="167" spans="1:16" ht="15.6" x14ac:dyDescent="0.3">
      <c r="A167" s="653"/>
      <c r="B167" s="19" t="s">
        <v>74</v>
      </c>
      <c r="C167" s="11" t="s">
        <v>57</v>
      </c>
      <c r="D167" s="4">
        <v>7</v>
      </c>
      <c r="E167" s="4">
        <v>6</v>
      </c>
      <c r="F167" s="4">
        <v>6</v>
      </c>
      <c r="G167" s="4">
        <v>7</v>
      </c>
      <c r="H167" s="4">
        <v>8</v>
      </c>
      <c r="I167" s="4">
        <v>7</v>
      </c>
      <c r="J167" s="4">
        <v>8</v>
      </c>
      <c r="K167" s="4">
        <v>10</v>
      </c>
      <c r="L167" s="153">
        <v>9</v>
      </c>
      <c r="M167" s="153">
        <v>8</v>
      </c>
      <c r="N167" s="153">
        <v>9</v>
      </c>
      <c r="O167" s="153">
        <v>11</v>
      </c>
      <c r="P167" s="18">
        <f t="shared" ref="P167:P175" si="176">SUM(D167:O167)</f>
        <v>96</v>
      </c>
    </row>
    <row r="168" spans="1:16" ht="15.6" x14ac:dyDescent="0.3">
      <c r="A168" s="653"/>
      <c r="B168" s="19" t="s">
        <v>73</v>
      </c>
      <c r="C168" s="11" t="s">
        <v>57</v>
      </c>
      <c r="D168" s="4">
        <v>4</v>
      </c>
      <c r="E168" s="4">
        <v>5</v>
      </c>
      <c r="F168" s="4">
        <v>4</v>
      </c>
      <c r="G168" s="4">
        <v>5</v>
      </c>
      <c r="H168" s="4">
        <v>4</v>
      </c>
      <c r="I168" s="4">
        <v>5</v>
      </c>
      <c r="J168" s="4">
        <v>7</v>
      </c>
      <c r="K168" s="4">
        <v>8</v>
      </c>
      <c r="L168" s="153">
        <v>5</v>
      </c>
      <c r="M168" s="153">
        <v>5</v>
      </c>
      <c r="N168" s="153">
        <v>3</v>
      </c>
      <c r="O168" s="153">
        <v>2</v>
      </c>
      <c r="P168" s="18">
        <f t="shared" si="176"/>
        <v>57</v>
      </c>
    </row>
    <row r="169" spans="1:16" ht="15.6" x14ac:dyDescent="0.3">
      <c r="A169" s="653"/>
      <c r="B169" s="19" t="s">
        <v>72</v>
      </c>
      <c r="C169" s="11" t="s">
        <v>57</v>
      </c>
      <c r="D169" s="4"/>
      <c r="E169" s="4"/>
      <c r="F169" s="4"/>
      <c r="G169" s="4"/>
      <c r="H169" s="4"/>
      <c r="I169" s="153"/>
      <c r="J169" s="153"/>
      <c r="K169" s="153"/>
      <c r="L169" s="153"/>
      <c r="M169" s="153"/>
      <c r="N169" s="153"/>
      <c r="O169" s="153"/>
      <c r="P169" s="18">
        <f t="shared" si="176"/>
        <v>0</v>
      </c>
    </row>
    <row r="170" spans="1:16" ht="15.6" x14ac:dyDescent="0.3">
      <c r="A170" s="653"/>
      <c r="B170" s="19" t="s">
        <v>71</v>
      </c>
      <c r="C170" s="11" t="s">
        <v>57</v>
      </c>
      <c r="D170" s="4"/>
      <c r="E170" s="4"/>
      <c r="F170" s="4"/>
      <c r="G170" s="4"/>
      <c r="H170" s="4"/>
      <c r="I170" s="153"/>
      <c r="J170" s="153"/>
      <c r="K170" s="153"/>
      <c r="L170" s="153"/>
      <c r="M170" s="153"/>
      <c r="N170" s="153"/>
      <c r="O170" s="153"/>
      <c r="P170" s="18">
        <f t="shared" si="176"/>
        <v>0</v>
      </c>
    </row>
    <row r="171" spans="1:16" ht="15.6" x14ac:dyDescent="0.3">
      <c r="A171" s="653"/>
      <c r="B171" s="19" t="s">
        <v>52</v>
      </c>
      <c r="C171" s="11" t="s">
        <v>57</v>
      </c>
      <c r="D171" s="4"/>
      <c r="E171" s="4"/>
      <c r="F171" s="4"/>
      <c r="G171" s="4"/>
      <c r="H171" s="4"/>
      <c r="I171" s="153"/>
      <c r="J171" s="153"/>
      <c r="K171" s="153"/>
      <c r="L171" s="153"/>
      <c r="M171" s="153"/>
      <c r="N171" s="153"/>
      <c r="O171" s="153"/>
      <c r="P171" s="18">
        <f t="shared" si="176"/>
        <v>0</v>
      </c>
    </row>
    <row r="172" spans="1:16" ht="15.6" x14ac:dyDescent="0.3">
      <c r="A172" s="653"/>
      <c r="B172" s="19" t="s">
        <v>62</v>
      </c>
      <c r="C172" s="11" t="s">
        <v>57</v>
      </c>
      <c r="D172" s="4"/>
      <c r="E172" s="4"/>
      <c r="F172" s="4"/>
      <c r="G172" s="4"/>
      <c r="H172" s="4"/>
      <c r="I172" s="153"/>
      <c r="J172" s="153"/>
      <c r="K172" s="153"/>
      <c r="L172" s="153"/>
      <c r="M172" s="153"/>
      <c r="N172" s="153"/>
      <c r="O172" s="153"/>
      <c r="P172" s="18">
        <f t="shared" si="176"/>
        <v>0</v>
      </c>
    </row>
    <row r="173" spans="1:16" ht="15.6" x14ac:dyDescent="0.3">
      <c r="A173" s="653"/>
      <c r="B173" s="19" t="s">
        <v>61</v>
      </c>
      <c r="C173" s="11" t="s">
        <v>57</v>
      </c>
      <c r="D173" s="4"/>
      <c r="E173" s="4"/>
      <c r="F173" s="4"/>
      <c r="G173" s="4"/>
      <c r="H173" s="4"/>
      <c r="I173" s="153"/>
      <c r="J173" s="153"/>
      <c r="K173" s="153"/>
      <c r="L173" s="153"/>
      <c r="M173" s="153"/>
      <c r="N173" s="153"/>
      <c r="O173" s="153"/>
      <c r="P173" s="18">
        <f t="shared" si="176"/>
        <v>0</v>
      </c>
    </row>
    <row r="174" spans="1:16" ht="15.6" x14ac:dyDescent="0.3">
      <c r="A174" s="653"/>
      <c r="B174" s="19" t="s">
        <v>60</v>
      </c>
      <c r="C174" s="11" t="s">
        <v>57</v>
      </c>
      <c r="D174" s="4"/>
      <c r="E174" s="4"/>
      <c r="F174" s="4"/>
      <c r="G174" s="4"/>
      <c r="H174" s="4"/>
      <c r="I174" s="153"/>
      <c r="J174" s="153"/>
      <c r="K174" s="153"/>
      <c r="L174" s="153"/>
      <c r="M174" s="153"/>
      <c r="N174" s="153"/>
      <c r="O174" s="153"/>
      <c r="P174" s="18">
        <f t="shared" si="176"/>
        <v>0</v>
      </c>
    </row>
    <row r="175" spans="1:16" ht="15.6" x14ac:dyDescent="0.3">
      <c r="A175" s="654"/>
      <c r="B175" s="19" t="s">
        <v>69</v>
      </c>
      <c r="C175" s="11" t="s">
        <v>57</v>
      </c>
      <c r="D175" s="4"/>
      <c r="E175" s="4"/>
      <c r="F175" s="4"/>
      <c r="G175" s="4"/>
      <c r="H175" s="4"/>
      <c r="I175" s="153"/>
      <c r="J175" s="153"/>
      <c r="K175" s="153"/>
      <c r="L175" s="153"/>
      <c r="M175" s="153"/>
      <c r="N175" s="153"/>
      <c r="O175" s="153"/>
      <c r="P175" s="18">
        <f t="shared" si="176"/>
        <v>0</v>
      </c>
    </row>
    <row r="176" spans="1:16" ht="15.6" x14ac:dyDescent="0.3">
      <c r="A176" s="652" t="s">
        <v>70</v>
      </c>
      <c r="B176" s="21" t="s">
        <v>63</v>
      </c>
      <c r="C176" s="11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8"/>
    </row>
    <row r="177" spans="1:16" ht="15.6" x14ac:dyDescent="0.3">
      <c r="A177" s="653"/>
      <c r="B177" s="19" t="s">
        <v>60</v>
      </c>
      <c r="C177" s="11" t="s">
        <v>57</v>
      </c>
      <c r="D177" s="4"/>
      <c r="E177" s="4"/>
      <c r="F177" s="4"/>
      <c r="G177" s="4"/>
      <c r="H177" s="153"/>
      <c r="I177" s="153"/>
      <c r="J177" s="153"/>
      <c r="K177" s="153"/>
      <c r="L177" s="153"/>
      <c r="M177" s="153"/>
      <c r="N177" s="153"/>
      <c r="O177" s="153"/>
      <c r="P177" s="18">
        <f t="shared" ref="P177:P182" si="177">SUM(D177:O177)</f>
        <v>0</v>
      </c>
    </row>
    <row r="178" spans="1:16" ht="15.6" x14ac:dyDescent="0.3">
      <c r="A178" s="653"/>
      <c r="B178" s="19" t="s">
        <v>69</v>
      </c>
      <c r="C178" s="11" t="s">
        <v>57</v>
      </c>
      <c r="D178" s="4"/>
      <c r="E178" s="4"/>
      <c r="F178" s="4"/>
      <c r="G178" s="4"/>
      <c r="H178" s="153"/>
      <c r="I178" s="153"/>
      <c r="J178" s="153"/>
      <c r="K178" s="153"/>
      <c r="L178" s="153"/>
      <c r="M178" s="153"/>
      <c r="N178" s="153"/>
      <c r="O178" s="153"/>
      <c r="P178" s="18">
        <f t="shared" si="177"/>
        <v>0</v>
      </c>
    </row>
    <row r="179" spans="1:16" ht="15.6" x14ac:dyDescent="0.3">
      <c r="A179" s="653"/>
      <c r="B179" s="19" t="s">
        <v>68</v>
      </c>
      <c r="C179" s="11" t="s">
        <v>57</v>
      </c>
      <c r="D179" s="4"/>
      <c r="E179" s="4"/>
      <c r="F179" s="4"/>
      <c r="G179" s="4"/>
      <c r="H179" s="153"/>
      <c r="I179" s="153"/>
      <c r="J179" s="153"/>
      <c r="K179" s="153"/>
      <c r="L179" s="153"/>
      <c r="M179" s="153"/>
      <c r="N179" s="153"/>
      <c r="O179" s="153"/>
      <c r="P179" s="18">
        <f t="shared" si="177"/>
        <v>0</v>
      </c>
    </row>
    <row r="180" spans="1:16" ht="15.6" x14ac:dyDescent="0.3">
      <c r="A180" s="653"/>
      <c r="B180" s="19" t="s">
        <v>67</v>
      </c>
      <c r="C180" s="11" t="s">
        <v>57</v>
      </c>
      <c r="D180" s="4"/>
      <c r="E180" s="4"/>
      <c r="F180" s="4"/>
      <c r="G180" s="4"/>
      <c r="H180" s="153"/>
      <c r="I180" s="153"/>
      <c r="J180" s="153"/>
      <c r="K180" s="153"/>
      <c r="L180" s="153"/>
      <c r="M180" s="153"/>
      <c r="N180" s="153"/>
      <c r="O180" s="153"/>
      <c r="P180" s="18">
        <f t="shared" si="177"/>
        <v>0</v>
      </c>
    </row>
    <row r="181" spans="1:16" ht="15.6" x14ac:dyDescent="0.3">
      <c r="A181" s="653"/>
      <c r="B181" s="19" t="s">
        <v>66</v>
      </c>
      <c r="C181" s="11" t="s">
        <v>57</v>
      </c>
      <c r="D181" s="4"/>
      <c r="E181" s="4"/>
      <c r="F181" s="4"/>
      <c r="G181" s="4"/>
      <c r="H181" s="153"/>
      <c r="I181" s="153"/>
      <c r="J181" s="153"/>
      <c r="K181" s="153"/>
      <c r="L181" s="153"/>
      <c r="M181" s="153"/>
      <c r="N181" s="153"/>
      <c r="O181" s="153"/>
      <c r="P181" s="18">
        <f t="shared" si="177"/>
        <v>0</v>
      </c>
    </row>
    <row r="182" spans="1:16" ht="15.6" x14ac:dyDescent="0.3">
      <c r="A182" s="654"/>
      <c r="B182" s="19" t="s">
        <v>65</v>
      </c>
      <c r="C182" s="11" t="s">
        <v>57</v>
      </c>
      <c r="D182" s="4"/>
      <c r="E182" s="4"/>
      <c r="F182" s="4"/>
      <c r="G182" s="4"/>
      <c r="H182" s="153"/>
      <c r="I182" s="153"/>
      <c r="J182" s="153"/>
      <c r="K182" s="153"/>
      <c r="L182" s="153"/>
      <c r="M182" s="153"/>
      <c r="N182" s="153"/>
      <c r="O182" s="153"/>
      <c r="P182" s="18">
        <f t="shared" si="177"/>
        <v>0</v>
      </c>
    </row>
    <row r="183" spans="1:16" ht="15.6" x14ac:dyDescent="0.3">
      <c r="A183" s="652" t="s">
        <v>209</v>
      </c>
      <c r="B183" s="21" t="s">
        <v>63</v>
      </c>
      <c r="C183" s="11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8"/>
    </row>
    <row r="184" spans="1:16" ht="15.6" x14ac:dyDescent="0.3">
      <c r="A184" s="653"/>
      <c r="B184" s="19" t="s">
        <v>73</v>
      </c>
      <c r="C184" s="11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8">
        <f>SUM(D184:O184)</f>
        <v>0</v>
      </c>
    </row>
    <row r="185" spans="1:16" ht="15.6" x14ac:dyDescent="0.3">
      <c r="A185" s="653"/>
      <c r="B185" s="19" t="s">
        <v>72</v>
      </c>
      <c r="C185" s="11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8">
        <f>SUM(D185:O185)</f>
        <v>0</v>
      </c>
    </row>
    <row r="186" spans="1:16" ht="15.6" x14ac:dyDescent="0.3">
      <c r="A186" s="653"/>
      <c r="B186" s="19" t="s">
        <v>53</v>
      </c>
      <c r="C186" s="11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8">
        <f>SUM(D186:O186)</f>
        <v>0</v>
      </c>
    </row>
    <row r="187" spans="1:16" ht="15.6" x14ac:dyDescent="0.3">
      <c r="A187" s="654"/>
      <c r="B187" s="19" t="s">
        <v>52</v>
      </c>
      <c r="C187" s="11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8">
        <f>SUM(D187:O187)</f>
        <v>0</v>
      </c>
    </row>
    <row r="188" spans="1:16" ht="15.6" x14ac:dyDescent="0.3">
      <c r="A188" s="652" t="s">
        <v>64</v>
      </c>
      <c r="B188" s="21" t="s">
        <v>63</v>
      </c>
      <c r="C188" s="11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8"/>
    </row>
    <row r="189" spans="1:16" ht="15.6" x14ac:dyDescent="0.3">
      <c r="A189" s="653"/>
      <c r="B189" s="20" t="s">
        <v>52</v>
      </c>
      <c r="C189" s="11" t="s">
        <v>57</v>
      </c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8">
        <f>SUM(D189:O189)</f>
        <v>0</v>
      </c>
    </row>
    <row r="190" spans="1:16" ht="15.6" x14ac:dyDescent="0.3">
      <c r="A190" s="653"/>
      <c r="B190" s="19" t="s">
        <v>62</v>
      </c>
      <c r="C190" s="11" t="s">
        <v>57</v>
      </c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8">
        <f>SUM(D190:O190)</f>
        <v>0</v>
      </c>
    </row>
    <row r="191" spans="1:16" ht="15.6" x14ac:dyDescent="0.3">
      <c r="A191" s="653"/>
      <c r="B191" s="19" t="s">
        <v>61</v>
      </c>
      <c r="C191" s="11" t="s">
        <v>57</v>
      </c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8">
        <f>SUM(D191:O191)</f>
        <v>0</v>
      </c>
    </row>
    <row r="192" spans="1:16" ht="15.6" x14ac:dyDescent="0.3">
      <c r="A192" s="654"/>
      <c r="B192" s="19" t="s">
        <v>60</v>
      </c>
      <c r="C192" s="11" t="s">
        <v>57</v>
      </c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8">
        <f>SUM(D192:O192)</f>
        <v>0</v>
      </c>
    </row>
    <row r="193" spans="1:16" ht="15.6" x14ac:dyDescent="0.3">
      <c r="A193" s="84" t="s">
        <v>59</v>
      </c>
      <c r="B193" s="17"/>
      <c r="C193" s="11"/>
      <c r="D193" s="156">
        <f>SUM(D153:D192)</f>
        <v>177</v>
      </c>
      <c r="E193" s="156">
        <f t="shared" ref="E193:P193" si="178">SUM(E153:E192)</f>
        <v>176</v>
      </c>
      <c r="F193" s="156">
        <f t="shared" si="178"/>
        <v>168</v>
      </c>
      <c r="G193" s="156">
        <f t="shared" si="178"/>
        <v>173</v>
      </c>
      <c r="H193" s="156">
        <f t="shared" si="178"/>
        <v>172</v>
      </c>
      <c r="I193" s="156">
        <f t="shared" si="178"/>
        <v>160</v>
      </c>
      <c r="J193" s="156">
        <f t="shared" si="178"/>
        <v>177</v>
      </c>
      <c r="K193" s="156">
        <f t="shared" si="178"/>
        <v>188</v>
      </c>
      <c r="L193" s="156">
        <f t="shared" si="178"/>
        <v>170</v>
      </c>
      <c r="M193" s="156">
        <f t="shared" si="178"/>
        <v>170</v>
      </c>
      <c r="N193" s="156">
        <f t="shared" si="178"/>
        <v>169</v>
      </c>
      <c r="O193" s="156">
        <v>176</v>
      </c>
      <c r="P193" s="158">
        <f t="shared" si="178"/>
        <v>2076</v>
      </c>
    </row>
    <row r="194" spans="1:16" ht="15.6" x14ac:dyDescent="0.3">
      <c r="A194" s="658" t="s">
        <v>58</v>
      </c>
      <c r="B194" s="659"/>
      <c r="C194" s="11" t="s">
        <v>57</v>
      </c>
      <c r="D194" s="4">
        <v>16</v>
      </c>
      <c r="E194" s="4">
        <v>4</v>
      </c>
      <c r="F194" s="4">
        <v>5</v>
      </c>
      <c r="G194" s="4">
        <v>4</v>
      </c>
      <c r="H194" s="4">
        <v>9</v>
      </c>
      <c r="I194" s="153"/>
      <c r="J194" s="153"/>
      <c r="K194" s="153"/>
      <c r="L194" s="153"/>
      <c r="M194" s="153"/>
      <c r="N194" s="153"/>
      <c r="O194" s="153"/>
      <c r="P194" s="18">
        <f>SUM(D194:O194)</f>
        <v>38</v>
      </c>
    </row>
    <row r="195" spans="1:16" ht="15.6" x14ac:dyDescent="0.3">
      <c r="A195" s="660"/>
      <c r="B195" s="661"/>
      <c r="C195" s="16" t="s">
        <v>55</v>
      </c>
      <c r="D195" s="4"/>
      <c r="E195" s="4"/>
      <c r="F195" s="4"/>
      <c r="G195" s="4"/>
      <c r="H195" s="153"/>
      <c r="I195" s="153"/>
      <c r="J195" s="153"/>
      <c r="K195" s="153"/>
      <c r="L195" s="153"/>
      <c r="M195" s="153"/>
      <c r="N195" s="153"/>
      <c r="O195" s="153"/>
      <c r="P195" s="18">
        <f>SUM(D195:O195)</f>
        <v>0</v>
      </c>
    </row>
    <row r="196" spans="1:16" ht="15.6" x14ac:dyDescent="0.3">
      <c r="A196" s="85" t="s">
        <v>202</v>
      </c>
      <c r="B196" s="86"/>
      <c r="C196" s="16" t="s">
        <v>55</v>
      </c>
      <c r="D196" s="4">
        <v>20</v>
      </c>
      <c r="E196" s="4">
        <v>20</v>
      </c>
      <c r="F196" s="4">
        <v>22</v>
      </c>
      <c r="G196" s="4">
        <v>23</v>
      </c>
      <c r="H196" s="4">
        <v>23</v>
      </c>
      <c r="I196" s="4">
        <v>15</v>
      </c>
      <c r="J196" s="4">
        <v>12</v>
      </c>
      <c r="K196" s="4">
        <v>22</v>
      </c>
      <c r="L196" s="153">
        <v>19</v>
      </c>
      <c r="M196" s="153"/>
      <c r="N196" s="153"/>
      <c r="O196" s="153"/>
      <c r="P196" s="18">
        <f>SUM(D196:O196)/12</f>
        <v>14.666666666666666</v>
      </c>
    </row>
    <row r="197" spans="1:16" ht="15.6" x14ac:dyDescent="0.3">
      <c r="A197" s="591" t="s">
        <v>56</v>
      </c>
      <c r="B197" s="592"/>
      <c r="C197" s="16" t="s">
        <v>55</v>
      </c>
      <c r="D197" s="4">
        <v>137</v>
      </c>
      <c r="E197" s="4">
        <v>110</v>
      </c>
      <c r="F197" s="4"/>
      <c r="G197" s="4">
        <v>16</v>
      </c>
      <c r="H197" s="4">
        <v>59</v>
      </c>
      <c r="I197" s="4">
        <v>110</v>
      </c>
      <c r="J197" s="4">
        <v>89</v>
      </c>
      <c r="K197" s="4">
        <v>138</v>
      </c>
      <c r="L197" s="153">
        <v>174</v>
      </c>
      <c r="M197" s="153"/>
      <c r="N197" s="153">
        <v>179</v>
      </c>
      <c r="O197" s="153"/>
      <c r="P197" s="18">
        <f>SUM(D197:O197)</f>
        <v>1012</v>
      </c>
    </row>
    <row r="198" spans="1:16" x14ac:dyDescent="0.3">
      <c r="A198" s="595" t="s">
        <v>203</v>
      </c>
      <c r="B198" s="596"/>
      <c r="C198" s="596"/>
      <c r="D198" s="596"/>
      <c r="E198" s="596"/>
      <c r="F198" s="596"/>
      <c r="G198" s="596"/>
      <c r="H198" s="596"/>
      <c r="I198" s="596"/>
      <c r="J198" s="596"/>
      <c r="K198" s="596"/>
      <c r="L198" s="596"/>
      <c r="M198" s="596"/>
      <c r="N198" s="596"/>
      <c r="O198" s="596"/>
      <c r="P198" s="597"/>
    </row>
    <row r="199" spans="1:16" ht="15.6" x14ac:dyDescent="0.3">
      <c r="A199" s="658" t="s">
        <v>54</v>
      </c>
      <c r="B199" s="79" t="s">
        <v>53</v>
      </c>
      <c r="C199" s="11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179">SUM(D199:O199)</f>
        <v>0</v>
      </c>
    </row>
    <row r="200" spans="1:16" ht="15.6" x14ac:dyDescent="0.3">
      <c r="A200" s="662"/>
      <c r="B200" s="79" t="s">
        <v>52</v>
      </c>
      <c r="C200" s="11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179"/>
        <v>0</v>
      </c>
    </row>
    <row r="201" spans="1:16" ht="15.6" x14ac:dyDescent="0.3">
      <c r="A201" s="662"/>
      <c r="B201" s="79" t="s">
        <v>51</v>
      </c>
      <c r="C201" s="11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179"/>
        <v>0</v>
      </c>
    </row>
    <row r="202" spans="1:16" ht="15.6" x14ac:dyDescent="0.3">
      <c r="A202" s="662"/>
      <c r="B202" s="79" t="s">
        <v>50</v>
      </c>
      <c r="C202" s="11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179"/>
        <v>0</v>
      </c>
    </row>
    <row r="203" spans="1:16" ht="15.6" x14ac:dyDescent="0.3">
      <c r="A203" s="660"/>
      <c r="B203" s="79" t="s">
        <v>49</v>
      </c>
      <c r="C203" s="11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179"/>
        <v>0</v>
      </c>
    </row>
    <row r="204" spans="1:16" ht="15.6" x14ac:dyDescent="0.3">
      <c r="A204" s="83" t="s">
        <v>48</v>
      </c>
      <c r="B204" s="79"/>
      <c r="C204" s="11" t="s">
        <v>47</v>
      </c>
      <c r="D204" s="15">
        <f t="shared" ref="D204:N204" si="180">SUM(D199:D203)</f>
        <v>0</v>
      </c>
      <c r="E204" s="15">
        <f t="shared" si="180"/>
        <v>0</v>
      </c>
      <c r="F204" s="15">
        <f t="shared" si="180"/>
        <v>0</v>
      </c>
      <c r="G204" s="15">
        <f t="shared" si="180"/>
        <v>0</v>
      </c>
      <c r="H204" s="15">
        <f t="shared" si="180"/>
        <v>0</v>
      </c>
      <c r="I204" s="15">
        <f t="shared" si="180"/>
        <v>0</v>
      </c>
      <c r="J204" s="15">
        <f t="shared" si="180"/>
        <v>0</v>
      </c>
      <c r="K204" s="15">
        <f t="shared" si="180"/>
        <v>0</v>
      </c>
      <c r="L204" s="15">
        <f t="shared" si="180"/>
        <v>0</v>
      </c>
      <c r="M204" s="15">
        <f t="shared" si="180"/>
        <v>0</v>
      </c>
      <c r="N204" s="15">
        <f t="shared" si="180"/>
        <v>0</v>
      </c>
      <c r="O204" s="15">
        <v>0</v>
      </c>
      <c r="P204" s="111">
        <f t="shared" si="179"/>
        <v>0</v>
      </c>
    </row>
    <row r="205" spans="1:16" s="2" customFormat="1" x14ac:dyDescent="0.3">
      <c r="A205" s="595" t="s">
        <v>46</v>
      </c>
      <c r="B205" s="596"/>
      <c r="C205" s="596"/>
      <c r="D205" s="596"/>
      <c r="E205" s="596"/>
      <c r="F205" s="596"/>
      <c r="G205" s="596"/>
      <c r="H205" s="596"/>
      <c r="I205" s="596"/>
      <c r="J205" s="596"/>
      <c r="K205" s="596"/>
      <c r="L205" s="596"/>
      <c r="M205" s="596"/>
      <c r="N205" s="596"/>
      <c r="O205" s="596"/>
      <c r="P205" s="597"/>
    </row>
    <row r="206" spans="1:16" ht="15.6" x14ac:dyDescent="0.3">
      <c r="A206" s="591" t="s">
        <v>43</v>
      </c>
      <c r="B206" s="592"/>
      <c r="C206" s="11" t="s">
        <v>31</v>
      </c>
      <c r="D206" s="562">
        <f>499850+138500+3309057.15</f>
        <v>3947407.15</v>
      </c>
      <c r="E206" s="13">
        <f>213200+847100+7589665.92</f>
        <v>8649965.9199999999</v>
      </c>
      <c r="F206" s="13">
        <f>113700+835116+5715534</f>
        <v>6664350</v>
      </c>
      <c r="G206" s="13">
        <f>167600+798230+5421447</f>
        <v>6387277</v>
      </c>
      <c r="H206" s="13">
        <f>218150+280700+2778038</f>
        <v>3276888</v>
      </c>
      <c r="I206" s="13">
        <f>167850+920500+7049777</f>
        <v>8138127</v>
      </c>
      <c r="J206" s="13">
        <f>188900+865350+5162997</f>
        <v>6217247</v>
      </c>
      <c r="K206" s="13">
        <f>30000+75000+2070290</f>
        <v>2175290</v>
      </c>
      <c r="L206" s="13">
        <v>17023943</v>
      </c>
      <c r="M206" s="13">
        <v>9053370</v>
      </c>
      <c r="N206" s="13">
        <v>5732563</v>
      </c>
      <c r="O206" s="13">
        <v>8287656</v>
      </c>
      <c r="P206" s="9">
        <f>SUM(D206:O206)</f>
        <v>85554084.069999993</v>
      </c>
    </row>
    <row r="207" spans="1:16" ht="15.6" x14ac:dyDescent="0.3">
      <c r="A207" s="591" t="s">
        <v>42</v>
      </c>
      <c r="B207" s="592"/>
      <c r="C207" s="11" t="s">
        <v>31</v>
      </c>
      <c r="D207" s="562">
        <v>14700</v>
      </c>
      <c r="E207" s="13">
        <v>167500</v>
      </c>
      <c r="F207" s="13">
        <v>207400</v>
      </c>
      <c r="G207" s="13">
        <v>167000</v>
      </c>
      <c r="H207" s="13">
        <v>82600</v>
      </c>
      <c r="I207" s="13">
        <v>90300</v>
      </c>
      <c r="J207" s="13">
        <v>77000</v>
      </c>
      <c r="K207" s="13">
        <v>19400</v>
      </c>
      <c r="L207" s="13">
        <v>395700</v>
      </c>
      <c r="M207" s="13">
        <v>139700</v>
      </c>
      <c r="N207" s="13">
        <v>63500</v>
      </c>
      <c r="O207" s="13">
        <v>131600</v>
      </c>
      <c r="P207" s="9">
        <f>SUM(D207:O207)</f>
        <v>1556400</v>
      </c>
    </row>
    <row r="208" spans="1:16" ht="15.6" x14ac:dyDescent="0.3">
      <c r="A208" s="598" t="s">
        <v>41</v>
      </c>
      <c r="B208" s="599"/>
      <c r="C208" s="11" t="s">
        <v>31</v>
      </c>
      <c r="D208" s="562"/>
      <c r="E208" s="13"/>
      <c r="F208" s="13">
        <v>25000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9">
        <f>SUM(D208:O208)</f>
        <v>25000</v>
      </c>
    </row>
    <row r="209" spans="1:16" ht="15.6" x14ac:dyDescent="0.3">
      <c r="A209" s="591" t="s">
        <v>40</v>
      </c>
      <c r="B209" s="592"/>
      <c r="C209" s="11" t="s">
        <v>31</v>
      </c>
      <c r="D209" s="562">
        <v>40350</v>
      </c>
      <c r="E209" s="13">
        <v>36000</v>
      </c>
      <c r="F209" s="13">
        <v>47050</v>
      </c>
      <c r="G209" s="13">
        <v>74200</v>
      </c>
      <c r="H209" s="13"/>
      <c r="I209" s="13">
        <v>71000</v>
      </c>
      <c r="J209" s="13">
        <v>115130</v>
      </c>
      <c r="K209" s="13">
        <v>29200</v>
      </c>
      <c r="L209" s="13">
        <v>35750</v>
      </c>
      <c r="M209" s="13">
        <v>1679632</v>
      </c>
      <c r="N209" s="13">
        <v>38750</v>
      </c>
      <c r="O209" s="13">
        <v>87900</v>
      </c>
      <c r="P209" s="9">
        <f>SUM(D209:O209)</f>
        <v>2254962</v>
      </c>
    </row>
    <row r="210" spans="1:16" ht="15.6" x14ac:dyDescent="0.3">
      <c r="A210" s="656" t="s">
        <v>45</v>
      </c>
      <c r="B210" s="657"/>
      <c r="C210" s="11" t="s">
        <v>31</v>
      </c>
      <c r="D210" s="10">
        <f t="shared" ref="D210:N210" si="181">SUM(D206:D209)</f>
        <v>4002457.15</v>
      </c>
      <c r="E210" s="10">
        <f t="shared" si="181"/>
        <v>8853465.9199999999</v>
      </c>
      <c r="F210" s="10">
        <f t="shared" si="181"/>
        <v>6943800</v>
      </c>
      <c r="G210" s="10">
        <f t="shared" si="181"/>
        <v>6628477</v>
      </c>
      <c r="H210" s="10">
        <f t="shared" si="181"/>
        <v>3359488</v>
      </c>
      <c r="I210" s="10">
        <f t="shared" si="181"/>
        <v>8299427</v>
      </c>
      <c r="J210" s="10">
        <f t="shared" si="181"/>
        <v>6409377</v>
      </c>
      <c r="K210" s="10">
        <f t="shared" si="181"/>
        <v>2223890</v>
      </c>
      <c r="L210" s="10">
        <f t="shared" si="181"/>
        <v>17455393</v>
      </c>
      <c r="M210" s="10">
        <f t="shared" si="181"/>
        <v>10872702</v>
      </c>
      <c r="N210" s="10">
        <f t="shared" si="181"/>
        <v>5834813</v>
      </c>
      <c r="O210" s="10">
        <v>8507156</v>
      </c>
      <c r="P210" s="9">
        <f>SUM(D210:O210)</f>
        <v>89390446.069999993</v>
      </c>
    </row>
    <row r="211" spans="1:16" s="2" customFormat="1" x14ac:dyDescent="0.3">
      <c r="A211" s="595" t="s">
        <v>44</v>
      </c>
      <c r="B211" s="596"/>
      <c r="C211" s="596"/>
      <c r="D211" s="596"/>
      <c r="E211" s="596"/>
      <c r="F211" s="596"/>
      <c r="G211" s="596"/>
      <c r="H211" s="596"/>
      <c r="I211" s="596"/>
      <c r="J211" s="596"/>
      <c r="K211" s="596"/>
      <c r="L211" s="596"/>
      <c r="M211" s="596"/>
      <c r="N211" s="596"/>
      <c r="O211" s="596"/>
      <c r="P211" s="597"/>
    </row>
    <row r="212" spans="1:16" ht="15.6" x14ac:dyDescent="0.3">
      <c r="A212" s="591" t="s">
        <v>43</v>
      </c>
      <c r="B212" s="592"/>
      <c r="C212" s="11" t="s">
        <v>31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9">
        <f>SUM(D212:O212)</f>
        <v>0</v>
      </c>
    </row>
    <row r="213" spans="1:16" ht="15.6" x14ac:dyDescent="0.3">
      <c r="A213" s="591" t="s">
        <v>42</v>
      </c>
      <c r="B213" s="592"/>
      <c r="C213" s="11" t="s">
        <v>31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9">
        <f>SUM(D213:O213)</f>
        <v>0</v>
      </c>
    </row>
    <row r="214" spans="1:16" ht="15.6" x14ac:dyDescent="0.3">
      <c r="A214" s="598" t="s">
        <v>41</v>
      </c>
      <c r="B214" s="599"/>
      <c r="C214" s="11" t="s">
        <v>31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9">
        <f>SUM(D214:O214)</f>
        <v>0</v>
      </c>
    </row>
    <row r="215" spans="1:16" ht="15.6" x14ac:dyDescent="0.3">
      <c r="A215" s="591" t="s">
        <v>40</v>
      </c>
      <c r="B215" s="592"/>
      <c r="C215" s="11" t="s">
        <v>31</v>
      </c>
      <c r="D215" s="562">
        <v>9196617</v>
      </c>
      <c r="E215" s="13">
        <v>7927595</v>
      </c>
      <c r="F215" s="13">
        <v>8407441.8300000001</v>
      </c>
      <c r="G215" s="13">
        <v>8281981</v>
      </c>
      <c r="H215" s="13">
        <v>21314039.059999999</v>
      </c>
      <c r="I215" s="13">
        <v>9750586</v>
      </c>
      <c r="J215" s="13">
        <v>9986811</v>
      </c>
      <c r="K215" s="13">
        <v>11677185</v>
      </c>
      <c r="L215" s="13">
        <v>11293266</v>
      </c>
      <c r="M215" s="13">
        <v>19149520</v>
      </c>
      <c r="N215" s="13">
        <v>27892580.5</v>
      </c>
      <c r="O215" s="13">
        <v>8590102.5</v>
      </c>
      <c r="P215" s="9">
        <f>SUM(D215:O215)</f>
        <v>153467724.88999999</v>
      </c>
    </row>
    <row r="216" spans="1:16" ht="15.6" x14ac:dyDescent="0.3">
      <c r="A216" s="656" t="s">
        <v>39</v>
      </c>
      <c r="B216" s="657"/>
      <c r="C216" s="11" t="s">
        <v>31</v>
      </c>
      <c r="D216" s="10">
        <f t="shared" ref="D216:N216" si="182">SUM(D212:D215)</f>
        <v>9196617</v>
      </c>
      <c r="E216" s="10">
        <f t="shared" si="182"/>
        <v>7927595</v>
      </c>
      <c r="F216" s="10">
        <f t="shared" si="182"/>
        <v>8407441.8300000001</v>
      </c>
      <c r="G216" s="10">
        <f t="shared" si="182"/>
        <v>8281981</v>
      </c>
      <c r="H216" s="10">
        <f t="shared" si="182"/>
        <v>21314039.059999999</v>
      </c>
      <c r="I216" s="10">
        <f t="shared" si="182"/>
        <v>9750586</v>
      </c>
      <c r="J216" s="10">
        <f t="shared" si="182"/>
        <v>9986811</v>
      </c>
      <c r="K216" s="10">
        <f t="shared" si="182"/>
        <v>11677185</v>
      </c>
      <c r="L216" s="10">
        <f t="shared" si="182"/>
        <v>11293266</v>
      </c>
      <c r="M216" s="10">
        <f t="shared" si="182"/>
        <v>19149520</v>
      </c>
      <c r="N216" s="10">
        <f t="shared" si="182"/>
        <v>27892580.5</v>
      </c>
      <c r="O216" s="10">
        <v>8590102.5</v>
      </c>
      <c r="P216" s="9">
        <f>SUM(D216:O216)</f>
        <v>153467724.88999999</v>
      </c>
    </row>
    <row r="217" spans="1:16" s="2" customFormat="1" ht="15.6" x14ac:dyDescent="0.3">
      <c r="A217" s="76" t="s">
        <v>38</v>
      </c>
      <c r="B217" s="77"/>
      <c r="C217" s="11" t="s">
        <v>31</v>
      </c>
      <c r="D217" s="10">
        <f>D210+D216</f>
        <v>13199074.15</v>
      </c>
      <c r="E217" s="10">
        <f t="shared" ref="E217:P217" si="183">E210+E216</f>
        <v>16781060.920000002</v>
      </c>
      <c r="F217" s="10">
        <f t="shared" si="183"/>
        <v>15351241.83</v>
      </c>
      <c r="G217" s="10">
        <f t="shared" si="183"/>
        <v>14910458</v>
      </c>
      <c r="H217" s="10">
        <f t="shared" si="183"/>
        <v>24673527.059999999</v>
      </c>
      <c r="I217" s="10">
        <f t="shared" si="183"/>
        <v>18050013</v>
      </c>
      <c r="J217" s="10">
        <f t="shared" si="183"/>
        <v>16396188</v>
      </c>
      <c r="K217" s="10">
        <f t="shared" si="183"/>
        <v>13901075</v>
      </c>
      <c r="L217" s="10">
        <f t="shared" si="183"/>
        <v>28748659</v>
      </c>
      <c r="M217" s="10">
        <f t="shared" si="183"/>
        <v>30022222</v>
      </c>
      <c r="N217" s="10">
        <f t="shared" si="183"/>
        <v>33727393.5</v>
      </c>
      <c r="O217" s="10">
        <v>17097258.5</v>
      </c>
      <c r="P217" s="40">
        <f t="shared" si="183"/>
        <v>242858170.95999998</v>
      </c>
    </row>
    <row r="218" spans="1:16" s="2" customFormat="1" x14ac:dyDescent="0.3">
      <c r="A218" s="595" t="s">
        <v>37</v>
      </c>
      <c r="B218" s="596"/>
      <c r="C218" s="596"/>
      <c r="D218" s="596"/>
      <c r="E218" s="596"/>
      <c r="F218" s="596"/>
      <c r="G218" s="596"/>
      <c r="H218" s="596"/>
      <c r="I218" s="596"/>
      <c r="J218" s="596"/>
      <c r="K218" s="596"/>
      <c r="L218" s="596"/>
      <c r="M218" s="596"/>
      <c r="N218" s="596"/>
      <c r="O218" s="596"/>
      <c r="P218" s="597"/>
    </row>
    <row r="219" spans="1:16" ht="15.6" x14ac:dyDescent="0.3">
      <c r="A219" s="591" t="s">
        <v>35</v>
      </c>
      <c r="B219" s="592"/>
      <c r="C219" s="11" t="s">
        <v>31</v>
      </c>
      <c r="D219" s="562">
        <f>136749.84+448900.8+3532518.09</f>
        <v>4118168.73</v>
      </c>
      <c r="E219" s="13">
        <f>254428.44+761151.6+6124888.96</f>
        <v>7140469</v>
      </c>
      <c r="F219" s="13">
        <f>288416+782172+6486574</f>
        <v>7557162</v>
      </c>
      <c r="G219" s="13">
        <f>245921+735608+5757272</f>
        <v>6738801</v>
      </c>
      <c r="H219" s="13">
        <f>287013.13+751004.37+6004696.64</f>
        <v>7042714.1399999997</v>
      </c>
      <c r="I219" s="13">
        <f>318151+890353+6905266</f>
        <v>8113770</v>
      </c>
      <c r="J219" s="13">
        <f>365632.23+957833.74+7654650.97</f>
        <v>8978116.9399999995</v>
      </c>
      <c r="K219" s="13">
        <f>355955+923484+7094495</f>
        <v>8373934</v>
      </c>
      <c r="L219" s="13">
        <v>8385656</v>
      </c>
      <c r="M219" s="13">
        <f>250661.67+876486.33+7371393.34</f>
        <v>8498541.3399999999</v>
      </c>
      <c r="N219" s="13">
        <v>8914915</v>
      </c>
      <c r="O219" s="13">
        <v>7979898</v>
      </c>
      <c r="P219" s="9">
        <f>SUM(D219:O219)</f>
        <v>91842146.150000006</v>
      </c>
    </row>
    <row r="220" spans="1:16" ht="15.6" x14ac:dyDescent="0.3">
      <c r="A220" s="591" t="s">
        <v>34</v>
      </c>
      <c r="B220" s="592"/>
      <c r="C220" s="11" t="s">
        <v>31</v>
      </c>
      <c r="D220" s="562">
        <v>134416.97</v>
      </c>
      <c r="E220" s="13">
        <v>140155.34</v>
      </c>
      <c r="F220" s="13">
        <v>118245</v>
      </c>
      <c r="G220" s="13">
        <v>90075</v>
      </c>
      <c r="H220" s="13">
        <v>143285.35999999999</v>
      </c>
      <c r="I220" s="13">
        <v>127461</v>
      </c>
      <c r="J220" s="13">
        <v>149197.62</v>
      </c>
      <c r="K220" s="13">
        <v>138069</v>
      </c>
      <c r="L220" s="13">
        <v>141546</v>
      </c>
      <c r="M220" s="13">
        <v>131634.73000000001</v>
      </c>
      <c r="N220" s="13">
        <v>131461</v>
      </c>
      <c r="O220" s="13">
        <v>116854</v>
      </c>
      <c r="P220" s="9">
        <f>SUM(D220:O220)</f>
        <v>1562401.02</v>
      </c>
    </row>
    <row r="221" spans="1:16" ht="15.6" x14ac:dyDescent="0.3">
      <c r="A221" s="591" t="s">
        <v>33</v>
      </c>
      <c r="B221" s="592"/>
      <c r="C221" s="11" t="s">
        <v>31</v>
      </c>
      <c r="D221" s="562">
        <v>185601.98</v>
      </c>
      <c r="E221" s="13">
        <v>297332.37</v>
      </c>
      <c r="F221" s="13">
        <v>366688</v>
      </c>
      <c r="G221" s="13">
        <v>334437</v>
      </c>
      <c r="H221" s="13">
        <v>447372.68</v>
      </c>
      <c r="I221" s="13">
        <v>593737</v>
      </c>
      <c r="J221" s="13">
        <v>181511.58</v>
      </c>
      <c r="K221" s="13">
        <v>238549</v>
      </c>
      <c r="L221" s="13">
        <v>234475</v>
      </c>
      <c r="M221" s="13">
        <v>369166.99</v>
      </c>
      <c r="N221" s="13">
        <v>337853</v>
      </c>
      <c r="O221" s="13">
        <v>313037</v>
      </c>
      <c r="P221" s="9">
        <f>SUM(D221:O221)</f>
        <v>3899761.6000000006</v>
      </c>
    </row>
    <row r="222" spans="1:16" ht="15.6" x14ac:dyDescent="0.3">
      <c r="A222" s="591" t="s">
        <v>32</v>
      </c>
      <c r="B222" s="592"/>
      <c r="C222" s="11" t="s">
        <v>31</v>
      </c>
      <c r="D222" s="562">
        <v>9201.3700000000008</v>
      </c>
      <c r="E222" s="13">
        <v>16897.91</v>
      </c>
      <c r="F222" s="13">
        <v>19958</v>
      </c>
      <c r="G222" s="13">
        <v>179571</v>
      </c>
      <c r="H222" s="13">
        <v>707939.17</v>
      </c>
      <c r="I222" s="13">
        <v>857876</v>
      </c>
      <c r="J222" s="13">
        <v>930572.14</v>
      </c>
      <c r="K222" s="13">
        <v>630699</v>
      </c>
      <c r="L222" s="13">
        <v>10724</v>
      </c>
      <c r="M222" s="13">
        <v>15292.22</v>
      </c>
      <c r="N222" s="13">
        <v>499526</v>
      </c>
      <c r="O222" s="13">
        <v>354133</v>
      </c>
      <c r="P222" s="9">
        <f>SUM(D222:O222)</f>
        <v>4232389.8100000005</v>
      </c>
    </row>
    <row r="223" spans="1:16" ht="15.6" x14ac:dyDescent="0.3">
      <c r="A223" s="656" t="s">
        <v>36</v>
      </c>
      <c r="B223" s="657"/>
      <c r="C223" s="11" t="s">
        <v>31</v>
      </c>
      <c r="D223" s="12">
        <f t="shared" ref="D223:N223" si="184">SUM(D219:D222)</f>
        <v>4447389.0500000007</v>
      </c>
      <c r="E223" s="10">
        <f t="shared" si="184"/>
        <v>7594854.6200000001</v>
      </c>
      <c r="F223" s="10">
        <f t="shared" si="184"/>
        <v>8062053</v>
      </c>
      <c r="G223" s="10">
        <f t="shared" si="184"/>
        <v>7342884</v>
      </c>
      <c r="H223" s="10">
        <f t="shared" si="184"/>
        <v>8341311.3499999996</v>
      </c>
      <c r="I223" s="10">
        <f t="shared" si="184"/>
        <v>9692844</v>
      </c>
      <c r="J223" s="14">
        <f t="shared" si="184"/>
        <v>10239398.279999999</v>
      </c>
      <c r="K223" s="14">
        <f t="shared" si="184"/>
        <v>9381251</v>
      </c>
      <c r="L223" s="14">
        <f t="shared" si="184"/>
        <v>8772401</v>
      </c>
      <c r="M223" s="14">
        <f t="shared" si="184"/>
        <v>9014635.2800000012</v>
      </c>
      <c r="N223" s="14">
        <f t="shared" si="184"/>
        <v>9883755</v>
      </c>
      <c r="O223" s="14">
        <v>8763922</v>
      </c>
      <c r="P223" s="9">
        <f>SUM(D223:O223)</f>
        <v>101536698.58000001</v>
      </c>
    </row>
    <row r="224" spans="1:16" x14ac:dyDescent="0.3">
      <c r="A224" s="595" t="s">
        <v>211</v>
      </c>
      <c r="B224" s="596"/>
      <c r="C224" s="596"/>
      <c r="D224" s="596"/>
      <c r="E224" s="596"/>
      <c r="F224" s="596"/>
      <c r="G224" s="596"/>
      <c r="H224" s="596"/>
      <c r="I224" s="596"/>
      <c r="J224" s="596"/>
      <c r="K224" s="596"/>
      <c r="L224" s="596"/>
      <c r="M224" s="596"/>
      <c r="N224" s="596"/>
      <c r="O224" s="596"/>
      <c r="P224" s="597"/>
    </row>
    <row r="225" spans="1:16" ht="15.6" x14ac:dyDescent="0.3">
      <c r="A225" s="591" t="s">
        <v>35</v>
      </c>
      <c r="B225" s="592"/>
      <c r="C225" s="11" t="s">
        <v>31</v>
      </c>
      <c r="D225" s="55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9">
        <f t="shared" ref="P225:P230" si="185">SUM(D225:O225)</f>
        <v>0</v>
      </c>
    </row>
    <row r="226" spans="1:16" ht="15.6" x14ac:dyDescent="0.3">
      <c r="A226" s="591" t="s">
        <v>34</v>
      </c>
      <c r="B226" s="592"/>
      <c r="C226" s="11" t="s">
        <v>31</v>
      </c>
      <c r="D226" s="55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9">
        <f t="shared" si="185"/>
        <v>0</v>
      </c>
    </row>
    <row r="227" spans="1:16" ht="15.6" x14ac:dyDescent="0.3">
      <c r="A227" s="591" t="s">
        <v>33</v>
      </c>
      <c r="B227" s="592"/>
      <c r="C227" s="11" t="s">
        <v>31</v>
      </c>
      <c r="D227" s="553">
        <v>7650016.3499999996</v>
      </c>
      <c r="E227" s="13">
        <v>7398416.2800000003</v>
      </c>
      <c r="F227" s="13">
        <v>6482049.8899999997</v>
      </c>
      <c r="G227" s="13">
        <v>6929710.0599999996</v>
      </c>
      <c r="H227" s="13">
        <v>15602102.630000001</v>
      </c>
      <c r="I227" s="13">
        <v>9395627.3699999992</v>
      </c>
      <c r="J227" s="13">
        <v>9745722.5</v>
      </c>
      <c r="K227" s="13">
        <v>9715449.0700000003</v>
      </c>
      <c r="L227" s="13">
        <v>11000632.720000001</v>
      </c>
      <c r="M227" s="13">
        <v>12499656.42</v>
      </c>
      <c r="N227" s="13">
        <v>26570512.73</v>
      </c>
      <c r="O227" s="13">
        <v>7085349.1600000001</v>
      </c>
      <c r="P227" s="9">
        <f t="shared" si="185"/>
        <v>130075245.18000001</v>
      </c>
    </row>
    <row r="228" spans="1:16" ht="15.6" x14ac:dyDescent="0.3">
      <c r="A228" s="591" t="s">
        <v>32</v>
      </c>
      <c r="B228" s="592"/>
      <c r="C228" s="11" t="s">
        <v>31</v>
      </c>
      <c r="D228" s="56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9">
        <f t="shared" si="185"/>
        <v>0</v>
      </c>
    </row>
    <row r="229" spans="1:16" ht="15.6" x14ac:dyDescent="0.3">
      <c r="A229" s="656" t="s">
        <v>212</v>
      </c>
      <c r="B229" s="657"/>
      <c r="C229" s="11" t="s">
        <v>31</v>
      </c>
      <c r="D229" s="12">
        <f t="shared" ref="D229:N229" si="186">SUM(D225:D228)</f>
        <v>7650016.3499999996</v>
      </c>
      <c r="E229" s="10">
        <f t="shared" si="186"/>
        <v>7398416.2800000003</v>
      </c>
      <c r="F229" s="10">
        <f t="shared" si="186"/>
        <v>6482049.8899999997</v>
      </c>
      <c r="G229" s="10">
        <f t="shared" si="186"/>
        <v>6929710.0599999996</v>
      </c>
      <c r="H229" s="10">
        <f t="shared" si="186"/>
        <v>15602102.630000001</v>
      </c>
      <c r="I229" s="10">
        <f t="shared" si="186"/>
        <v>9395627.3699999992</v>
      </c>
      <c r="J229" s="14">
        <f t="shared" si="186"/>
        <v>9745722.5</v>
      </c>
      <c r="K229" s="14">
        <f t="shared" si="186"/>
        <v>9715449.0700000003</v>
      </c>
      <c r="L229" s="14">
        <f t="shared" si="186"/>
        <v>11000632.720000001</v>
      </c>
      <c r="M229" s="14">
        <f t="shared" si="186"/>
        <v>12499656.42</v>
      </c>
      <c r="N229" s="14">
        <f t="shared" si="186"/>
        <v>26570512.73</v>
      </c>
      <c r="O229" s="14">
        <v>7085349.1600000001</v>
      </c>
      <c r="P229" s="9">
        <f t="shared" si="185"/>
        <v>130075245.18000001</v>
      </c>
    </row>
    <row r="230" spans="1:16" ht="15.6" x14ac:dyDescent="0.3">
      <c r="A230" s="76" t="s">
        <v>213</v>
      </c>
      <c r="B230" s="120"/>
      <c r="C230" s="11" t="s">
        <v>31</v>
      </c>
      <c r="D230" s="12">
        <f>D223+D229</f>
        <v>12097405.4</v>
      </c>
      <c r="E230" s="12">
        <f t="shared" ref="E230:N230" si="187">E223+E229</f>
        <v>14993270.9</v>
      </c>
      <c r="F230" s="12">
        <f t="shared" si="187"/>
        <v>14544102.890000001</v>
      </c>
      <c r="G230" s="12">
        <f t="shared" si="187"/>
        <v>14272594.059999999</v>
      </c>
      <c r="H230" s="12">
        <f t="shared" si="187"/>
        <v>23943413.98</v>
      </c>
      <c r="I230" s="12">
        <f t="shared" si="187"/>
        <v>19088471.369999997</v>
      </c>
      <c r="J230" s="12">
        <f t="shared" si="187"/>
        <v>19985120.780000001</v>
      </c>
      <c r="K230" s="12">
        <f t="shared" si="187"/>
        <v>19096700.07</v>
      </c>
      <c r="L230" s="12">
        <f t="shared" si="187"/>
        <v>19773033.719999999</v>
      </c>
      <c r="M230" s="12">
        <f t="shared" si="187"/>
        <v>21514291.700000003</v>
      </c>
      <c r="N230" s="12">
        <f t="shared" si="187"/>
        <v>36454267.730000004</v>
      </c>
      <c r="O230" s="12">
        <v>15849271.16</v>
      </c>
      <c r="P230" s="9">
        <f t="shared" si="185"/>
        <v>231611943.76000002</v>
      </c>
    </row>
    <row r="231" spans="1:16" x14ac:dyDescent="0.3">
      <c r="A231" s="595" t="s">
        <v>30</v>
      </c>
      <c r="B231" s="596"/>
      <c r="C231" s="596"/>
      <c r="D231" s="596"/>
      <c r="E231" s="596"/>
      <c r="F231" s="596"/>
      <c r="G231" s="596"/>
      <c r="H231" s="596"/>
      <c r="I231" s="596"/>
      <c r="J231" s="596"/>
      <c r="K231" s="596"/>
      <c r="L231" s="596"/>
      <c r="M231" s="596"/>
      <c r="N231" s="596"/>
      <c r="O231" s="596"/>
      <c r="P231" s="597"/>
    </row>
    <row r="232" spans="1:16" ht="15.6" x14ac:dyDescent="0.3">
      <c r="A232" s="591" t="s">
        <v>29</v>
      </c>
      <c r="B232" s="592"/>
      <c r="C232" s="11" t="s">
        <v>18</v>
      </c>
      <c r="D232" s="562">
        <f>7621.68+42455.14+279730.22</f>
        <v>329807.03999999998</v>
      </c>
      <c r="E232" s="13">
        <f>12125.4+65782.14+432475.47</f>
        <v>510383.00999999995</v>
      </c>
      <c r="F232" s="13">
        <f>13165+68581+446346</f>
        <v>528092</v>
      </c>
      <c r="G232" s="13">
        <f>12818+67882+431485</f>
        <v>512185</v>
      </c>
      <c r="H232" s="13">
        <f>12471.84+67881.57+431484.69</f>
        <v>511838.1</v>
      </c>
      <c r="I232" s="13">
        <f>12472+69281+444860</f>
        <v>526613</v>
      </c>
      <c r="J232" s="13">
        <f>12471.84+69981+454768.02</f>
        <v>537220.86</v>
      </c>
      <c r="K232" s="13">
        <f>12472+69981+467153</f>
        <v>549606</v>
      </c>
      <c r="L232" s="13">
        <v>553521</v>
      </c>
      <c r="M232" s="13">
        <f>11432.52+69981+465171.21</f>
        <v>546584.73</v>
      </c>
      <c r="N232" s="13">
        <v>555062</v>
      </c>
      <c r="O232" s="13">
        <v>567156</v>
      </c>
      <c r="P232" s="9">
        <f>SUM(D232:O232)</f>
        <v>6228068.7400000002</v>
      </c>
    </row>
    <row r="233" spans="1:16" ht="15.6" x14ac:dyDescent="0.3">
      <c r="A233" s="591" t="s">
        <v>28</v>
      </c>
      <c r="B233" s="592"/>
      <c r="C233" s="11" t="s">
        <v>18</v>
      </c>
      <c r="D233" s="562">
        <v>1565.01</v>
      </c>
      <c r="E233" s="13">
        <v>1565.01</v>
      </c>
      <c r="F233" s="13">
        <v>1391</v>
      </c>
      <c r="G233" s="13">
        <v>1391</v>
      </c>
      <c r="H233" s="13">
        <v>1391.12</v>
      </c>
      <c r="I233" s="13">
        <v>1391</v>
      </c>
      <c r="J233" s="13">
        <v>1391.12</v>
      </c>
      <c r="K233" s="13">
        <v>1391</v>
      </c>
      <c r="L233" s="13">
        <v>1391</v>
      </c>
      <c r="M233" s="13">
        <v>1391.12</v>
      </c>
      <c r="N233" s="13">
        <v>1391</v>
      </c>
      <c r="O233" s="13">
        <v>1391</v>
      </c>
      <c r="P233" s="9">
        <f>SUM(D233:O233)</f>
        <v>17040.379999999997</v>
      </c>
    </row>
    <row r="234" spans="1:16" ht="15.6" x14ac:dyDescent="0.3">
      <c r="A234" s="591" t="s">
        <v>27</v>
      </c>
      <c r="B234" s="592"/>
      <c r="C234" s="11" t="s">
        <v>18</v>
      </c>
      <c r="D234" s="562">
        <v>14397.25</v>
      </c>
      <c r="E234" s="13">
        <v>27766.17</v>
      </c>
      <c r="F234" s="13">
        <v>30851</v>
      </c>
      <c r="G234" s="13">
        <v>37022</v>
      </c>
      <c r="H234" s="13">
        <v>43191.82</v>
      </c>
      <c r="I234" s="13">
        <v>43192</v>
      </c>
      <c r="J234" s="13">
        <v>24681.040000000001</v>
      </c>
      <c r="K234" s="13">
        <v>30851</v>
      </c>
      <c r="L234" s="13">
        <v>30851</v>
      </c>
      <c r="M234" s="13">
        <v>37021.56</v>
      </c>
      <c r="N234" s="13">
        <v>37022</v>
      </c>
      <c r="O234" s="13">
        <v>37022</v>
      </c>
      <c r="P234" s="9">
        <f>SUM(D234:O234)</f>
        <v>393868.84</v>
      </c>
    </row>
    <row r="235" spans="1:16" ht="15.6" x14ac:dyDescent="0.3">
      <c r="A235" s="591" t="s">
        <v>26</v>
      </c>
      <c r="B235" s="592"/>
      <c r="C235" s="11" t="s">
        <v>18</v>
      </c>
      <c r="D235" s="562">
        <v>2810.51</v>
      </c>
      <c r="E235" s="13">
        <v>4215.7700000000004</v>
      </c>
      <c r="F235" s="13">
        <v>4216</v>
      </c>
      <c r="G235" s="13">
        <v>8432</v>
      </c>
      <c r="H235" s="13">
        <v>8431.5400000000009</v>
      </c>
      <c r="I235" s="13">
        <v>8432</v>
      </c>
      <c r="J235" s="13">
        <v>8431.5400000000009</v>
      </c>
      <c r="K235" s="13">
        <v>8432</v>
      </c>
      <c r="L235" s="13">
        <v>4216</v>
      </c>
      <c r="M235" s="13">
        <v>8431.5400000000009</v>
      </c>
      <c r="N235" s="13">
        <v>12647</v>
      </c>
      <c r="O235" s="13">
        <v>12647</v>
      </c>
      <c r="P235" s="9">
        <f>SUM(D235:O235)</f>
        <v>91342.9</v>
      </c>
    </row>
    <row r="236" spans="1:16" ht="15.6" x14ac:dyDescent="0.3">
      <c r="A236" s="656" t="s">
        <v>25</v>
      </c>
      <c r="B236" s="657"/>
      <c r="C236" s="11" t="s">
        <v>18</v>
      </c>
      <c r="D236" s="12">
        <f t="shared" ref="D236:N236" si="188">SUM(D232:D235)</f>
        <v>348579.81</v>
      </c>
      <c r="E236" s="12">
        <f t="shared" si="188"/>
        <v>543929.96</v>
      </c>
      <c r="F236" s="12">
        <f t="shared" si="188"/>
        <v>564550</v>
      </c>
      <c r="G236" s="12">
        <f t="shared" si="188"/>
        <v>559030</v>
      </c>
      <c r="H236" s="12">
        <f t="shared" si="188"/>
        <v>564852.57999999996</v>
      </c>
      <c r="I236" s="12">
        <f t="shared" si="188"/>
        <v>579628</v>
      </c>
      <c r="J236" s="12">
        <f t="shared" si="188"/>
        <v>571724.56000000006</v>
      </c>
      <c r="K236" s="12">
        <f t="shared" si="188"/>
        <v>590280</v>
      </c>
      <c r="L236" s="12">
        <f t="shared" si="188"/>
        <v>589979</v>
      </c>
      <c r="M236" s="12">
        <f t="shared" si="188"/>
        <v>593428.94999999995</v>
      </c>
      <c r="N236" s="12">
        <f t="shared" si="188"/>
        <v>606122</v>
      </c>
      <c r="O236" s="12">
        <v>618216</v>
      </c>
      <c r="P236" s="40">
        <f t="shared" ref="P236" si="189">SUM(P232:P235)</f>
        <v>6730320.8600000003</v>
      </c>
    </row>
    <row r="237" spans="1:16" x14ac:dyDescent="0.3">
      <c r="A237" s="595" t="s">
        <v>24</v>
      </c>
      <c r="B237" s="596"/>
      <c r="C237" s="596"/>
      <c r="D237" s="596"/>
      <c r="E237" s="596"/>
      <c r="F237" s="596"/>
      <c r="G237" s="596"/>
      <c r="H237" s="596"/>
      <c r="I237" s="596"/>
      <c r="J237" s="596"/>
      <c r="K237" s="596"/>
      <c r="L237" s="596"/>
      <c r="M237" s="596"/>
      <c r="N237" s="596"/>
      <c r="O237" s="596"/>
      <c r="P237" s="597"/>
    </row>
    <row r="238" spans="1:16" ht="15.6" x14ac:dyDescent="0.3">
      <c r="A238" s="591" t="s">
        <v>23</v>
      </c>
      <c r="B238" s="592"/>
      <c r="C238" s="11" t="s">
        <v>18</v>
      </c>
      <c r="D238" s="551">
        <f>29469+81263+756371</f>
        <v>867103</v>
      </c>
      <c r="E238" s="13">
        <f>31255+83942+779589</f>
        <v>894786</v>
      </c>
      <c r="F238" s="13">
        <f>33934+87514+804593</f>
        <v>926041</v>
      </c>
      <c r="G238" s="13">
        <f>33041+86621+777803</f>
        <v>897465</v>
      </c>
      <c r="H238" s="13">
        <f>32148+86621+777803</f>
        <v>896572</v>
      </c>
      <c r="I238" s="13">
        <f>32148+88407+801914</f>
        <v>922469</v>
      </c>
      <c r="J238" s="13">
        <f>32148+89300+819774</f>
        <v>941222</v>
      </c>
      <c r="K238" s="13">
        <f>32148+89300+842099</f>
        <v>963547</v>
      </c>
      <c r="L238" s="13">
        <v>969798</v>
      </c>
      <c r="M238" s="13">
        <f>29469+89300+838527</f>
        <v>957296</v>
      </c>
      <c r="N238" s="13">
        <f>30362+90193+851922</f>
        <v>972477</v>
      </c>
      <c r="O238" s="13">
        <v>993909</v>
      </c>
      <c r="P238" s="9">
        <f>SUM(D238:O238)</f>
        <v>11202685</v>
      </c>
    </row>
    <row r="239" spans="1:16" ht="15.6" x14ac:dyDescent="0.3">
      <c r="A239" s="591" t="s">
        <v>22</v>
      </c>
      <c r="B239" s="592"/>
      <c r="C239" s="11" t="s">
        <v>18</v>
      </c>
      <c r="D239" s="551">
        <v>8037</v>
      </c>
      <c r="E239" s="15">
        <v>8037</v>
      </c>
      <c r="F239" s="15">
        <v>7144</v>
      </c>
      <c r="G239" s="15">
        <v>7144</v>
      </c>
      <c r="H239" s="15">
        <v>7144</v>
      </c>
      <c r="I239" s="15">
        <v>7144</v>
      </c>
      <c r="J239" s="15">
        <v>7144</v>
      </c>
      <c r="K239" s="15">
        <v>7144</v>
      </c>
      <c r="L239" s="15">
        <v>7144</v>
      </c>
      <c r="M239" s="15">
        <v>7144</v>
      </c>
      <c r="N239" s="15">
        <v>7144</v>
      </c>
      <c r="O239" s="15">
        <v>7144</v>
      </c>
      <c r="P239" s="9">
        <f>SUM(D239:O239)</f>
        <v>87514</v>
      </c>
    </row>
    <row r="240" spans="1:16" ht="15.6" x14ac:dyDescent="0.3">
      <c r="A240" s="591" t="s">
        <v>21</v>
      </c>
      <c r="B240" s="592"/>
      <c r="C240" s="11" t="s">
        <v>18</v>
      </c>
      <c r="D240" s="551">
        <v>6251</v>
      </c>
      <c r="E240" s="15">
        <v>893</v>
      </c>
      <c r="F240" s="15">
        <v>8930</v>
      </c>
      <c r="G240" s="15">
        <v>10716</v>
      </c>
      <c r="H240" s="15">
        <v>12502</v>
      </c>
      <c r="I240" s="15">
        <v>12502</v>
      </c>
      <c r="J240" s="15">
        <v>7144</v>
      </c>
      <c r="K240" s="15">
        <v>8930</v>
      </c>
      <c r="L240" s="15">
        <v>8930</v>
      </c>
      <c r="M240" s="15">
        <v>10716</v>
      </c>
      <c r="N240" s="15">
        <v>10716</v>
      </c>
      <c r="O240" s="15">
        <v>10716</v>
      </c>
      <c r="P240" s="9">
        <f>SUM(D240:O240)</f>
        <v>108946</v>
      </c>
    </row>
    <row r="241" spans="1:16" ht="15.6" x14ac:dyDescent="0.3">
      <c r="A241" s="591" t="s">
        <v>20</v>
      </c>
      <c r="B241" s="592"/>
      <c r="C241" s="11" t="s">
        <v>18</v>
      </c>
      <c r="D241" s="551">
        <v>893</v>
      </c>
      <c r="E241" s="15">
        <v>8037</v>
      </c>
      <c r="F241" s="15">
        <v>893</v>
      </c>
      <c r="G241" s="15">
        <v>1786</v>
      </c>
      <c r="H241" s="15">
        <v>1786</v>
      </c>
      <c r="I241" s="15">
        <v>1786</v>
      </c>
      <c r="J241" s="15">
        <v>1786</v>
      </c>
      <c r="K241" s="15">
        <v>1786</v>
      </c>
      <c r="L241" s="15">
        <v>893</v>
      </c>
      <c r="M241" s="15">
        <v>1786</v>
      </c>
      <c r="N241" s="15">
        <v>2679</v>
      </c>
      <c r="O241" s="15">
        <v>2679</v>
      </c>
      <c r="P241" s="9">
        <f>SUM(D241:O241)</f>
        <v>26790</v>
      </c>
    </row>
    <row r="242" spans="1:16" ht="15.6" x14ac:dyDescent="0.3">
      <c r="A242" s="656" t="s">
        <v>19</v>
      </c>
      <c r="B242" s="657"/>
      <c r="C242" s="11" t="s">
        <v>18</v>
      </c>
      <c r="D242" s="12">
        <f>SUM(D238:D241)</f>
        <v>882284</v>
      </c>
      <c r="E242" s="12">
        <f t="shared" ref="E242:P242" si="190">SUM(E238:E241)</f>
        <v>911753</v>
      </c>
      <c r="F242" s="12">
        <f t="shared" si="190"/>
        <v>943008</v>
      </c>
      <c r="G242" s="12">
        <f t="shared" si="190"/>
        <v>917111</v>
      </c>
      <c r="H242" s="12">
        <f t="shared" si="190"/>
        <v>918004</v>
      </c>
      <c r="I242" s="12">
        <f t="shared" si="190"/>
        <v>943901</v>
      </c>
      <c r="J242" s="12">
        <f t="shared" si="190"/>
        <v>957296</v>
      </c>
      <c r="K242" s="12">
        <f t="shared" si="190"/>
        <v>981407</v>
      </c>
      <c r="L242" s="12">
        <f t="shared" si="190"/>
        <v>986765</v>
      </c>
      <c r="M242" s="12">
        <f t="shared" si="190"/>
        <v>976942</v>
      </c>
      <c r="N242" s="12">
        <f t="shared" si="190"/>
        <v>993016</v>
      </c>
      <c r="O242" s="12">
        <v>1014448</v>
      </c>
      <c r="P242" s="40">
        <f t="shared" si="190"/>
        <v>11425935</v>
      </c>
    </row>
    <row r="243" spans="1:16" ht="15.6" x14ac:dyDescent="0.3">
      <c r="A243" s="656" t="s">
        <v>214</v>
      </c>
      <c r="B243" s="657"/>
      <c r="C243" s="11" t="s">
        <v>18</v>
      </c>
      <c r="D243" s="10">
        <f>D230+D236+D242</f>
        <v>13328269.210000001</v>
      </c>
      <c r="E243" s="10">
        <f t="shared" ref="E243:N243" si="191">E230+E236+E242</f>
        <v>16448953.859999999</v>
      </c>
      <c r="F243" s="10">
        <f t="shared" si="191"/>
        <v>16051660.890000001</v>
      </c>
      <c r="G243" s="10">
        <f t="shared" si="191"/>
        <v>15748735.059999999</v>
      </c>
      <c r="H243" s="10">
        <f t="shared" si="191"/>
        <v>25426270.559999999</v>
      </c>
      <c r="I243" s="10">
        <f t="shared" si="191"/>
        <v>20612000.369999997</v>
      </c>
      <c r="J243" s="10">
        <f t="shared" si="191"/>
        <v>21514141.34</v>
      </c>
      <c r="K243" s="10">
        <f t="shared" si="191"/>
        <v>20668387.07</v>
      </c>
      <c r="L243" s="10">
        <f t="shared" si="191"/>
        <v>21349777.719999999</v>
      </c>
      <c r="M243" s="10">
        <f t="shared" si="191"/>
        <v>23084662.650000002</v>
      </c>
      <c r="N243" s="10">
        <f t="shared" si="191"/>
        <v>38053405.730000004</v>
      </c>
      <c r="O243" s="10">
        <v>17481935.16</v>
      </c>
      <c r="P243" s="40">
        <f t="shared" ref="P243" si="192">P216+P223+P236+P242</f>
        <v>273160679.33000004</v>
      </c>
    </row>
    <row r="244" spans="1:16" x14ac:dyDescent="0.3">
      <c r="A244" s="595" t="s">
        <v>204</v>
      </c>
      <c r="B244" s="596"/>
      <c r="C244" s="596"/>
      <c r="D244" s="596"/>
      <c r="E244" s="596"/>
      <c r="F244" s="596"/>
      <c r="G244" s="596"/>
      <c r="H244" s="596"/>
      <c r="I244" s="596"/>
      <c r="J244" s="596"/>
      <c r="K244" s="596"/>
      <c r="L244" s="596"/>
      <c r="M244" s="596"/>
      <c r="N244" s="596"/>
      <c r="O244" s="596"/>
      <c r="P244" s="597"/>
    </row>
    <row r="245" spans="1:16" ht="15.6" x14ac:dyDescent="0.3">
      <c r="A245" s="663" t="s">
        <v>205</v>
      </c>
      <c r="B245" s="664"/>
      <c r="C245" s="11" t="s">
        <v>18</v>
      </c>
      <c r="D245" s="152">
        <v>20553410.91</v>
      </c>
      <c r="E245" s="152">
        <v>20794094.84</v>
      </c>
      <c r="F245" s="152">
        <v>22992811.989999998</v>
      </c>
      <c r="G245" s="152">
        <v>23305670</v>
      </c>
      <c r="H245" s="152">
        <v>26544472.989999998</v>
      </c>
      <c r="I245" s="152">
        <v>30497161.940000001</v>
      </c>
      <c r="J245" s="152">
        <v>32676465.149999999</v>
      </c>
      <c r="K245" s="152">
        <v>41563455.340000004</v>
      </c>
      <c r="L245" s="154">
        <v>31170801.420000002</v>
      </c>
      <c r="M245" s="152">
        <v>31084910.510000002</v>
      </c>
      <c r="N245" s="154">
        <v>37091981</v>
      </c>
      <c r="O245" s="154">
        <v>38649396.310000002</v>
      </c>
      <c r="P245" s="161">
        <f>O245</f>
        <v>38649396.310000002</v>
      </c>
    </row>
    <row r="246" spans="1:16" ht="15.6" x14ac:dyDescent="0.3">
      <c r="A246" s="663" t="s">
        <v>206</v>
      </c>
      <c r="B246" s="664"/>
      <c r="C246" s="11" t="s">
        <v>18</v>
      </c>
      <c r="D246" s="154"/>
      <c r="E246" s="154"/>
      <c r="F246" s="154"/>
      <c r="G246" s="154"/>
      <c r="H246" s="152"/>
      <c r="I246" s="152"/>
      <c r="J246" s="154"/>
      <c r="K246" s="154"/>
      <c r="L246" s="154"/>
      <c r="M246" s="154"/>
      <c r="N246" s="154"/>
      <c r="O246" s="154"/>
      <c r="P246" s="161">
        <f>O246</f>
        <v>0</v>
      </c>
    </row>
    <row r="247" spans="1:16" ht="15.6" x14ac:dyDescent="0.3">
      <c r="A247" s="665" t="s">
        <v>207</v>
      </c>
      <c r="B247" s="666"/>
      <c r="C247" s="11" t="s">
        <v>18</v>
      </c>
      <c r="D247" s="143">
        <f>D245+D246</f>
        <v>20553410.91</v>
      </c>
      <c r="E247" s="143">
        <f>E245+E246</f>
        <v>20794094.84</v>
      </c>
      <c r="F247" s="143">
        <f t="shared" ref="F247:P247" si="193">F245+F246</f>
        <v>22992811.989999998</v>
      </c>
      <c r="G247" s="143">
        <f t="shared" si="193"/>
        <v>23305670</v>
      </c>
      <c r="H247" s="143">
        <f t="shared" si="193"/>
        <v>26544472.989999998</v>
      </c>
      <c r="I247" s="143">
        <f t="shared" si="193"/>
        <v>30497161.940000001</v>
      </c>
      <c r="J247" s="143">
        <f t="shared" si="193"/>
        <v>32676465.149999999</v>
      </c>
      <c r="K247" s="143">
        <f t="shared" si="193"/>
        <v>41563455.340000004</v>
      </c>
      <c r="L247" s="143">
        <f t="shared" si="193"/>
        <v>31170801.420000002</v>
      </c>
      <c r="M247" s="143">
        <f t="shared" si="193"/>
        <v>31084910.510000002</v>
      </c>
      <c r="N247" s="154">
        <f t="shared" si="193"/>
        <v>37091981</v>
      </c>
      <c r="O247" s="154">
        <v>38649396.310000002</v>
      </c>
      <c r="P247" s="161">
        <f t="shared" si="193"/>
        <v>38649396.310000002</v>
      </c>
    </row>
    <row r="248" spans="1:16" x14ac:dyDescent="0.3">
      <c r="A248" s="595" t="s">
        <v>17</v>
      </c>
      <c r="B248" s="596"/>
      <c r="C248" s="596"/>
      <c r="D248" s="596"/>
      <c r="E248" s="596"/>
      <c r="F248" s="596"/>
      <c r="G248" s="596"/>
      <c r="H248" s="596"/>
      <c r="I248" s="596"/>
      <c r="J248" s="596"/>
      <c r="K248" s="596"/>
      <c r="L248" s="596"/>
      <c r="M248" s="596"/>
      <c r="N248" s="596"/>
      <c r="O248" s="596"/>
      <c r="P248" s="597"/>
    </row>
    <row r="249" spans="1:16" ht="15.6" x14ac:dyDescent="0.3">
      <c r="A249" s="620" t="s">
        <v>16</v>
      </c>
      <c r="B249" s="621"/>
      <c r="C249" s="5" t="s">
        <v>6</v>
      </c>
      <c r="D249" s="8">
        <f>D58/D243%</f>
        <v>53.063192103695499</v>
      </c>
      <c r="E249" s="8">
        <f t="shared" ref="E249:H249" si="194">E58/E243%</f>
        <v>47.083229644368394</v>
      </c>
      <c r="F249" s="8">
        <f t="shared" si="194"/>
        <v>47.38277818800843</v>
      </c>
      <c r="G249" s="8">
        <f t="shared" si="194"/>
        <v>48.709988537327021</v>
      </c>
      <c r="H249" s="8">
        <f t="shared" si="194"/>
        <v>29.968857434355879</v>
      </c>
      <c r="I249" s="8">
        <f t="shared" ref="I249:P249" si="195">I58/I243%</f>
        <v>39.044775097197423</v>
      </c>
      <c r="J249" s="8">
        <f t="shared" si="195"/>
        <v>36.757518973332175</v>
      </c>
      <c r="K249" s="8">
        <f t="shared" si="195"/>
        <v>12.920608814106171</v>
      </c>
      <c r="L249" s="8">
        <f t="shared" si="195"/>
        <v>19.99301416599161</v>
      </c>
      <c r="M249" s="8">
        <f t="shared" si="195"/>
        <v>13.305465523014693</v>
      </c>
      <c r="N249" s="8">
        <f t="shared" si="195"/>
        <v>6.6010597772059114</v>
      </c>
      <c r="O249" s="8">
        <v>16.477568793934367</v>
      </c>
      <c r="P249" s="112">
        <f t="shared" si="195"/>
        <v>25.286568973575307</v>
      </c>
    </row>
    <row r="250" spans="1:16" ht="15.6" x14ac:dyDescent="0.3">
      <c r="A250" s="620" t="s">
        <v>208</v>
      </c>
      <c r="B250" s="621"/>
      <c r="C250" s="5" t="s">
        <v>6</v>
      </c>
      <c r="D250" s="29">
        <f>D210/(D223+D245)%</f>
        <v>16.009316327492424</v>
      </c>
      <c r="E250" s="29">
        <f t="shared" ref="E250:H250" si="196">E210/(E223+E245)%</f>
        <v>31.186310477865774</v>
      </c>
      <c r="F250" s="29">
        <f t="shared" si="196"/>
        <v>22.359781638838164</v>
      </c>
      <c r="G250" s="29">
        <f t="shared" si="196"/>
        <v>21.627372697583059</v>
      </c>
      <c r="H250" s="29">
        <f t="shared" si="196"/>
        <v>9.6299626439759169</v>
      </c>
      <c r="I250" s="29">
        <f t="shared" ref="I250:P250" si="197">I210/(I223+I245)%</f>
        <v>20.650474678680776</v>
      </c>
      <c r="J250" s="29">
        <f t="shared" si="197"/>
        <v>14.934750201296371</v>
      </c>
      <c r="K250" s="29">
        <f t="shared" si="197"/>
        <v>4.3653014410525302</v>
      </c>
      <c r="L250" s="29">
        <f t="shared" si="197"/>
        <v>43.700534615271337</v>
      </c>
      <c r="M250" s="29">
        <f t="shared" si="197"/>
        <v>27.114277196405119</v>
      </c>
      <c r="N250" s="29">
        <f t="shared" si="197"/>
        <v>12.420908104558491</v>
      </c>
      <c r="O250" s="29">
        <v>17.942545055332577</v>
      </c>
      <c r="P250" s="109">
        <f t="shared" si="197"/>
        <v>63.765558303155601</v>
      </c>
    </row>
    <row r="251" spans="1:16" ht="16.2" thickBot="1" x14ac:dyDescent="0.35">
      <c r="A251" s="669" t="s">
        <v>15</v>
      </c>
      <c r="B251" s="670"/>
      <c r="C251" s="5" t="s">
        <v>6</v>
      </c>
      <c r="D251" s="29">
        <f>D210/D223%</f>
        <v>89.99566048758426</v>
      </c>
      <c r="E251" s="29">
        <f t="shared" ref="E251:I251" si="198">E210/E223%</f>
        <v>116.57189456511283</v>
      </c>
      <c r="F251" s="29">
        <f t="shared" si="198"/>
        <v>86.129426338427692</v>
      </c>
      <c r="G251" s="29">
        <f t="shared" si="198"/>
        <v>90.270757375439956</v>
      </c>
      <c r="H251" s="29">
        <f t="shared" si="198"/>
        <v>40.275297960194237</v>
      </c>
      <c r="I251" s="29">
        <f t="shared" si="198"/>
        <v>85.624270853838155</v>
      </c>
      <c r="J251" s="7">
        <f t="shared" ref="J251:P251" si="199">J210/J223%</f>
        <v>62.595250470128214</v>
      </c>
      <c r="K251" s="7">
        <f t="shared" si="199"/>
        <v>23.705687013384463</v>
      </c>
      <c r="L251" s="7">
        <f t="shared" si="199"/>
        <v>198.9807921457307</v>
      </c>
      <c r="M251" s="7">
        <f t="shared" si="199"/>
        <v>120.61166827372742</v>
      </c>
      <c r="N251" s="7">
        <f t="shared" si="199"/>
        <v>59.034375093271734</v>
      </c>
      <c r="O251" s="7">
        <v>97.07019300263056</v>
      </c>
      <c r="P251" s="113">
        <f t="shared" si="199"/>
        <v>88.037573921679083</v>
      </c>
    </row>
    <row r="252" spans="1:16" x14ac:dyDescent="0.3">
      <c r="A252" s="649" t="s">
        <v>14</v>
      </c>
      <c r="B252" s="650"/>
      <c r="C252" s="650"/>
      <c r="D252" s="650"/>
      <c r="E252" s="650"/>
      <c r="F252" s="650"/>
      <c r="G252" s="650"/>
      <c r="H252" s="650"/>
      <c r="I252" s="650"/>
      <c r="J252" s="650"/>
      <c r="K252" s="650"/>
      <c r="L252" s="650"/>
      <c r="M252" s="650"/>
      <c r="N252" s="650"/>
      <c r="O252" s="650"/>
      <c r="P252" s="651"/>
    </row>
    <row r="253" spans="1:16" s="2" customFormat="1" ht="15" customHeight="1" x14ac:dyDescent="0.3">
      <c r="A253" s="620" t="s">
        <v>13</v>
      </c>
      <c r="B253" s="621"/>
      <c r="C253" s="5" t="s">
        <v>3</v>
      </c>
      <c r="D253" s="4">
        <v>21</v>
      </c>
      <c r="E253" s="4">
        <v>19</v>
      </c>
      <c r="F253" s="4">
        <v>12</v>
      </c>
      <c r="G253" s="4">
        <v>28</v>
      </c>
      <c r="H253" s="4">
        <v>20</v>
      </c>
      <c r="I253" s="4">
        <v>16</v>
      </c>
      <c r="J253" s="4">
        <v>11</v>
      </c>
      <c r="K253" s="4">
        <v>13</v>
      </c>
      <c r="L253" s="153">
        <v>8</v>
      </c>
      <c r="M253" s="4">
        <v>10</v>
      </c>
      <c r="N253" s="153">
        <v>5</v>
      </c>
      <c r="O253" s="153">
        <v>7</v>
      </c>
      <c r="P253" s="114">
        <f>SUM(D253:O253)</f>
        <v>170</v>
      </c>
    </row>
    <row r="254" spans="1:16" s="2" customFormat="1" ht="15.6" x14ac:dyDescent="0.3">
      <c r="A254" s="620" t="s">
        <v>12</v>
      </c>
      <c r="B254" s="621"/>
      <c r="C254" s="5" t="s">
        <v>3</v>
      </c>
      <c r="D254" s="4">
        <v>2</v>
      </c>
      <c r="E254" s="4">
        <v>2</v>
      </c>
      <c r="F254" s="4">
        <v>7</v>
      </c>
      <c r="G254" s="4">
        <v>4</v>
      </c>
      <c r="H254" s="4">
        <v>4</v>
      </c>
      <c r="I254" s="4">
        <v>8</v>
      </c>
      <c r="J254" s="4">
        <v>8</v>
      </c>
      <c r="K254" s="4">
        <v>8</v>
      </c>
      <c r="L254" s="153">
        <v>16</v>
      </c>
      <c r="M254" s="4">
        <v>20</v>
      </c>
      <c r="N254" s="153">
        <v>10</v>
      </c>
      <c r="O254" s="153">
        <v>14</v>
      </c>
      <c r="P254" s="114">
        <f>SUM(D254:O254)</f>
        <v>103</v>
      </c>
    </row>
    <row r="255" spans="1:16" ht="15.75" customHeight="1" x14ac:dyDescent="0.3">
      <c r="A255" s="620" t="s">
        <v>11</v>
      </c>
      <c r="B255" s="621"/>
      <c r="C255" s="5" t="s">
        <v>3</v>
      </c>
      <c r="D255" s="4">
        <v>2</v>
      </c>
      <c r="E255" s="4">
        <v>1</v>
      </c>
      <c r="F255" s="4">
        <v>1</v>
      </c>
      <c r="G255" s="4">
        <v>4</v>
      </c>
      <c r="H255" s="4">
        <v>6</v>
      </c>
      <c r="I255" s="4">
        <v>1</v>
      </c>
      <c r="J255" s="4">
        <v>1</v>
      </c>
      <c r="K255" s="4">
        <v>2</v>
      </c>
      <c r="L255" s="153">
        <v>2</v>
      </c>
      <c r="M255" s="153">
        <f t="shared" ref="M255:N255" si="200">M95</f>
        <v>144</v>
      </c>
      <c r="N255" s="153">
        <f t="shared" si="200"/>
        <v>134</v>
      </c>
      <c r="O255" s="153">
        <v>138</v>
      </c>
      <c r="P255" s="114">
        <f>SUM(D255:O255)</f>
        <v>436</v>
      </c>
    </row>
    <row r="256" spans="1:16" ht="15.6" x14ac:dyDescent="0.3">
      <c r="A256" s="620" t="s">
        <v>10</v>
      </c>
      <c r="B256" s="621"/>
      <c r="C256" s="5" t="s">
        <v>3</v>
      </c>
      <c r="D256" s="4">
        <v>29</v>
      </c>
      <c r="E256" s="4">
        <v>17</v>
      </c>
      <c r="F256" s="4">
        <v>16</v>
      </c>
      <c r="G256" s="4">
        <v>20</v>
      </c>
      <c r="H256" s="4">
        <v>18</v>
      </c>
      <c r="I256" s="4">
        <v>17</v>
      </c>
      <c r="J256" s="4">
        <v>18</v>
      </c>
      <c r="K256" s="4">
        <v>14</v>
      </c>
      <c r="L256" s="153">
        <v>60</v>
      </c>
      <c r="M256" s="153">
        <f t="shared" ref="M256:N256" si="201">M91</f>
        <v>10</v>
      </c>
      <c r="N256" s="153">
        <f t="shared" si="201"/>
        <v>5</v>
      </c>
      <c r="O256" s="153">
        <v>17</v>
      </c>
      <c r="P256" s="114">
        <f>SUM(D256:O256)</f>
        <v>241</v>
      </c>
    </row>
    <row r="257" spans="1:16" ht="15.6" customHeight="1" x14ac:dyDescent="0.3">
      <c r="A257" s="620" t="s">
        <v>9</v>
      </c>
      <c r="B257" s="621"/>
      <c r="C257" s="5" t="s">
        <v>3</v>
      </c>
      <c r="D257" s="4">
        <v>60</v>
      </c>
      <c r="E257" s="4">
        <v>60</v>
      </c>
      <c r="F257" s="4">
        <v>60</v>
      </c>
      <c r="G257" s="4">
        <v>75</v>
      </c>
      <c r="H257" s="4">
        <v>70</v>
      </c>
      <c r="I257" s="4">
        <v>60</v>
      </c>
      <c r="J257" s="4">
        <v>180</v>
      </c>
      <c r="K257" s="4">
        <v>120</v>
      </c>
      <c r="L257" s="153">
        <v>150</v>
      </c>
      <c r="M257" s="4">
        <v>90</v>
      </c>
      <c r="N257" s="153">
        <v>60</v>
      </c>
      <c r="O257" s="153">
        <v>93</v>
      </c>
      <c r="P257" s="114">
        <f>SUM(D257:O257)</f>
        <v>1078</v>
      </c>
    </row>
    <row r="258" spans="1:16" ht="15.6" x14ac:dyDescent="0.3">
      <c r="A258" s="656" t="s">
        <v>8</v>
      </c>
      <c r="B258" s="657"/>
      <c r="C258" s="5" t="s">
        <v>3</v>
      </c>
      <c r="D258" s="1">
        <f>D257/D256</f>
        <v>2.0689655172413794</v>
      </c>
      <c r="E258" s="1">
        <f t="shared" ref="E258:G258" si="202">E257/E256</f>
        <v>3.5294117647058822</v>
      </c>
      <c r="F258" s="1">
        <f t="shared" si="202"/>
        <v>3.75</v>
      </c>
      <c r="G258" s="1">
        <f t="shared" si="202"/>
        <v>3.75</v>
      </c>
      <c r="H258" s="3">
        <f t="shared" ref="H258:P258" si="203">H257/H256</f>
        <v>3.8888888888888888</v>
      </c>
      <c r="I258" s="3">
        <f t="shared" si="203"/>
        <v>3.5294117647058822</v>
      </c>
      <c r="J258" s="3">
        <f t="shared" si="203"/>
        <v>10</v>
      </c>
      <c r="K258" s="3">
        <f t="shared" si="203"/>
        <v>8.5714285714285712</v>
      </c>
      <c r="L258" s="3">
        <f t="shared" si="203"/>
        <v>2.5</v>
      </c>
      <c r="M258" s="3">
        <f t="shared" si="203"/>
        <v>9</v>
      </c>
      <c r="N258" s="3">
        <f t="shared" si="203"/>
        <v>12</v>
      </c>
      <c r="O258" s="3">
        <v>5.4705882352941178</v>
      </c>
      <c r="P258" s="114">
        <f t="shared" si="203"/>
        <v>4.4730290456431536</v>
      </c>
    </row>
    <row r="259" spans="1:16" ht="15.6" x14ac:dyDescent="0.3">
      <c r="A259" s="656" t="s">
        <v>7</v>
      </c>
      <c r="B259" s="657"/>
      <c r="C259" s="5" t="s">
        <v>6</v>
      </c>
      <c r="D259" s="1">
        <f>D256/D255*100</f>
        <v>1450</v>
      </c>
      <c r="E259" s="1">
        <f t="shared" ref="E259:I259" si="204">E256/E255*100</f>
        <v>1700</v>
      </c>
      <c r="F259" s="1">
        <f t="shared" si="204"/>
        <v>1600</v>
      </c>
      <c r="G259" s="1">
        <f t="shared" si="204"/>
        <v>500</v>
      </c>
      <c r="H259" s="1">
        <f t="shared" si="204"/>
        <v>300</v>
      </c>
      <c r="I259" s="1">
        <f t="shared" si="204"/>
        <v>1700</v>
      </c>
      <c r="J259" s="6">
        <f t="shared" ref="J259:P259" si="205">J92/J255*100</f>
        <v>2100</v>
      </c>
      <c r="K259" s="6">
        <f t="shared" si="205"/>
        <v>800</v>
      </c>
      <c r="L259" s="6">
        <f t="shared" si="205"/>
        <v>500</v>
      </c>
      <c r="M259" s="6">
        <f t="shared" si="205"/>
        <v>6.25</v>
      </c>
      <c r="N259" s="6">
        <f t="shared" si="205"/>
        <v>11.194029850746269</v>
      </c>
      <c r="O259" s="6">
        <v>9.4202898550724647</v>
      </c>
      <c r="P259" s="115">
        <f t="shared" si="205"/>
        <v>44.036697247706428</v>
      </c>
    </row>
    <row r="260" spans="1:16" x14ac:dyDescent="0.3">
      <c r="A260" s="595" t="s">
        <v>5</v>
      </c>
      <c r="B260" s="596"/>
      <c r="C260" s="596"/>
      <c r="D260" s="596"/>
      <c r="E260" s="596"/>
      <c r="F260" s="596"/>
      <c r="G260" s="596"/>
      <c r="H260" s="596"/>
      <c r="I260" s="596"/>
      <c r="J260" s="596"/>
      <c r="K260" s="596"/>
      <c r="L260" s="596"/>
      <c r="M260" s="596"/>
      <c r="N260" s="596"/>
      <c r="O260" s="596"/>
      <c r="P260" s="597"/>
    </row>
    <row r="261" spans="1:16" s="2" customFormat="1" ht="15" customHeight="1" x14ac:dyDescent="0.3">
      <c r="A261" s="620" t="s">
        <v>4</v>
      </c>
      <c r="B261" s="621"/>
      <c r="C261" s="5" t="s">
        <v>3</v>
      </c>
      <c r="D261" s="4">
        <v>7</v>
      </c>
      <c r="E261" s="4">
        <v>10</v>
      </c>
      <c r="F261" s="4">
        <v>9</v>
      </c>
      <c r="G261" s="4">
        <v>7</v>
      </c>
      <c r="H261" s="4">
        <v>5</v>
      </c>
      <c r="I261" s="4">
        <v>19</v>
      </c>
      <c r="J261" s="4">
        <v>17</v>
      </c>
      <c r="K261" s="4">
        <v>13</v>
      </c>
      <c r="L261" s="4">
        <v>17</v>
      </c>
      <c r="M261" s="4">
        <v>9</v>
      </c>
      <c r="N261" s="4">
        <v>2</v>
      </c>
      <c r="O261" s="4">
        <v>6</v>
      </c>
      <c r="P261" s="40">
        <f>SUM(D261:O261)</f>
        <v>121</v>
      </c>
    </row>
    <row r="262" spans="1:16" s="2" customFormat="1" ht="15.75" customHeight="1" x14ac:dyDescent="0.3">
      <c r="A262" s="620" t="s">
        <v>2</v>
      </c>
      <c r="B262" s="621"/>
      <c r="C262" s="5" t="s">
        <v>0</v>
      </c>
      <c r="D262" s="4">
        <v>14</v>
      </c>
      <c r="E262" s="4">
        <v>20</v>
      </c>
      <c r="F262" s="4">
        <v>18</v>
      </c>
      <c r="G262" s="4">
        <v>14</v>
      </c>
      <c r="H262" s="4">
        <v>11</v>
      </c>
      <c r="I262" s="4">
        <v>38</v>
      </c>
      <c r="J262" s="4">
        <v>34</v>
      </c>
      <c r="K262" s="4">
        <v>26</v>
      </c>
      <c r="L262" s="4">
        <v>34</v>
      </c>
      <c r="M262" s="4">
        <v>18</v>
      </c>
      <c r="N262" s="4">
        <v>4</v>
      </c>
      <c r="O262" s="4">
        <v>12</v>
      </c>
      <c r="P262" s="40">
        <f>SUM(D262:O262)</f>
        <v>243</v>
      </c>
    </row>
    <row r="263" spans="1:16" ht="16.2" thickBot="1" x14ac:dyDescent="0.35">
      <c r="A263" s="667" t="s">
        <v>1</v>
      </c>
      <c r="B263" s="668"/>
      <c r="C263" s="116" t="s">
        <v>0</v>
      </c>
      <c r="D263" s="3">
        <f>D261/D262</f>
        <v>0.5</v>
      </c>
      <c r="E263" s="3">
        <f t="shared" ref="E263:G263" si="206">E261/E262</f>
        <v>0.5</v>
      </c>
      <c r="F263" s="3">
        <f t="shared" si="206"/>
        <v>0.5</v>
      </c>
      <c r="G263" s="15">
        <f t="shared" si="206"/>
        <v>0.5</v>
      </c>
      <c r="H263" s="117">
        <f t="shared" ref="H263:N263" si="207">H261/H262</f>
        <v>0.45454545454545453</v>
      </c>
      <c r="I263" s="117">
        <f t="shared" si="207"/>
        <v>0.5</v>
      </c>
      <c r="J263" s="117">
        <f t="shared" si="207"/>
        <v>0.5</v>
      </c>
      <c r="K263" s="117">
        <f t="shared" si="207"/>
        <v>0.5</v>
      </c>
      <c r="L263" s="117">
        <f t="shared" si="207"/>
        <v>0.5</v>
      </c>
      <c r="M263" s="117">
        <f t="shared" si="207"/>
        <v>0.5</v>
      </c>
      <c r="N263" s="117">
        <f t="shared" si="207"/>
        <v>0.5</v>
      </c>
      <c r="O263" s="117">
        <v>0.5</v>
      </c>
      <c r="P263" s="198">
        <f t="shared" ref="P263" si="208">P261/P262</f>
        <v>0.49794238683127573</v>
      </c>
    </row>
  </sheetData>
  <mergeCells count="15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A37:A38"/>
    <mergeCell ref="A39:A40"/>
    <mergeCell ref="A29:A30"/>
    <mergeCell ref="B29:B30"/>
    <mergeCell ref="A31:A32"/>
    <mergeCell ref="A33:A34"/>
    <mergeCell ref="A20:B20"/>
    <mergeCell ref="A21:B21"/>
    <mergeCell ref="A23:P23"/>
    <mergeCell ref="A24:A25"/>
    <mergeCell ref="A26:P26"/>
    <mergeCell ref="A27:P27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263"/>
  <sheetViews>
    <sheetView workbookViewId="0">
      <pane xSplit="2" ySplit="8" topLeftCell="K9" activePane="bottomRight" state="frozen"/>
      <selection pane="topRight" activeCell="C1" sqref="C1"/>
      <selection pane="bottomLeft" activeCell="A9" sqref="A9"/>
      <selection pane="bottomRight" activeCell="O1" sqref="O1:O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</cols>
  <sheetData>
    <row r="1" spans="1:16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16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16" ht="18" thickBot="1" x14ac:dyDescent="0.35">
      <c r="A3" s="315" t="s">
        <v>217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16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16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3"/>
    </row>
    <row r="6" spans="1:16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16" ht="16.2" thickBot="1" x14ac:dyDescent="0.35">
      <c r="A7" s="589" t="s">
        <v>174</v>
      </c>
      <c r="B7" s="590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6" ht="15" thickBot="1" x14ac:dyDescent="0.35">
      <c r="A8" s="600" t="s">
        <v>159</v>
      </c>
      <c r="B8" s="601"/>
      <c r="C8" s="601"/>
      <c r="D8" s="601"/>
      <c r="E8" s="601"/>
      <c r="F8" s="601"/>
      <c r="G8" s="601"/>
      <c r="H8" s="601"/>
      <c r="I8" s="601"/>
      <c r="J8" s="601"/>
      <c r="K8" s="601"/>
      <c r="L8" s="601"/>
      <c r="M8" s="601"/>
      <c r="N8" s="601"/>
      <c r="O8" s="601"/>
      <c r="P8" s="602"/>
    </row>
    <row r="9" spans="1:16" ht="15.6" x14ac:dyDescent="0.3">
      <c r="A9" s="603" t="s">
        <v>176</v>
      </c>
      <c r="B9" s="604"/>
      <c r="C9" s="58" t="s">
        <v>152</v>
      </c>
      <c r="D9" s="550">
        <v>14129</v>
      </c>
      <c r="E9" s="176">
        <v>20254</v>
      </c>
      <c r="F9" s="176">
        <v>22284</v>
      </c>
      <c r="G9" s="176">
        <v>12150</v>
      </c>
      <c r="H9" s="176">
        <v>12141</v>
      </c>
      <c r="I9" s="176">
        <v>12988</v>
      </c>
      <c r="J9" s="176">
        <v>10612</v>
      </c>
      <c r="K9" s="176">
        <v>15053</v>
      </c>
      <c r="L9" s="57">
        <v>12734</v>
      </c>
      <c r="M9" s="176">
        <v>11668</v>
      </c>
      <c r="N9" s="57">
        <v>13056</v>
      </c>
      <c r="O9" s="57">
        <v>12109</v>
      </c>
      <c r="P9" s="56">
        <f>SUM(D9:O9)</f>
        <v>169178</v>
      </c>
    </row>
    <row r="10" spans="1:16" x14ac:dyDescent="0.3">
      <c r="A10" s="595" t="s">
        <v>177</v>
      </c>
      <c r="B10" s="596"/>
      <c r="C10" s="596"/>
      <c r="D10" s="596"/>
      <c r="E10" s="596"/>
      <c r="F10" s="596"/>
      <c r="G10" s="596"/>
      <c r="H10" s="596"/>
      <c r="I10" s="596"/>
      <c r="J10" s="596"/>
      <c r="K10" s="596"/>
      <c r="L10" s="596"/>
      <c r="M10" s="596"/>
      <c r="N10" s="596"/>
      <c r="O10" s="596"/>
      <c r="P10" s="597"/>
    </row>
    <row r="11" spans="1:16" ht="15.6" x14ac:dyDescent="0.3">
      <c r="A11" s="598" t="s">
        <v>157</v>
      </c>
      <c r="B11" s="599"/>
      <c r="C11" s="11" t="s">
        <v>152</v>
      </c>
      <c r="D11" s="563">
        <f>345+91+4282</f>
        <v>4718</v>
      </c>
      <c r="E11" s="26">
        <f>327+62+4453</f>
        <v>4842</v>
      </c>
      <c r="F11" s="26">
        <f>442+280+6466</f>
        <v>7188</v>
      </c>
      <c r="G11" s="26">
        <f>415+262+5649</f>
        <v>6326</v>
      </c>
      <c r="H11" s="26">
        <f>387+116+4874</f>
        <v>5377</v>
      </c>
      <c r="I11" s="26">
        <f>471+162+5354</f>
        <v>5987</v>
      </c>
      <c r="J11" s="26">
        <v>5422</v>
      </c>
      <c r="K11" s="26">
        <f>437+203+5921</f>
        <v>6561</v>
      </c>
      <c r="L11" s="26">
        <v>5951</v>
      </c>
      <c r="M11" s="26">
        <f>396+145+5155</f>
        <v>5696</v>
      </c>
      <c r="N11" s="26">
        <v>6285</v>
      </c>
      <c r="O11" s="26">
        <v>5843</v>
      </c>
      <c r="P11" s="55">
        <f>SUM(D11:O11)</f>
        <v>70196</v>
      </c>
    </row>
    <row r="12" spans="1:16" ht="15.6" x14ac:dyDescent="0.3">
      <c r="A12" s="598" t="s">
        <v>156</v>
      </c>
      <c r="B12" s="599"/>
      <c r="C12" s="11" t="s">
        <v>152</v>
      </c>
      <c r="D12" s="563">
        <v>902</v>
      </c>
      <c r="E12" s="26">
        <v>855</v>
      </c>
      <c r="F12" s="26">
        <v>1100</v>
      </c>
      <c r="G12" s="26">
        <v>1023</v>
      </c>
      <c r="H12" s="26">
        <v>1197</v>
      </c>
      <c r="I12" s="26">
        <v>1023</v>
      </c>
      <c r="J12" s="26">
        <v>915</v>
      </c>
      <c r="K12" s="26">
        <v>1371</v>
      </c>
      <c r="L12" s="26">
        <v>1207</v>
      </c>
      <c r="M12" s="26">
        <v>982</v>
      </c>
      <c r="N12" s="26">
        <v>1043</v>
      </c>
      <c r="O12" s="26">
        <v>895</v>
      </c>
      <c r="P12" s="55">
        <f>SUM(D12:O12)</f>
        <v>12513</v>
      </c>
    </row>
    <row r="13" spans="1:16" ht="15.6" x14ac:dyDescent="0.3">
      <c r="A13" s="598" t="s">
        <v>155</v>
      </c>
      <c r="B13" s="599"/>
      <c r="C13" s="11" t="s">
        <v>152</v>
      </c>
      <c r="D13" s="563">
        <v>93</v>
      </c>
      <c r="E13" s="26">
        <v>115</v>
      </c>
      <c r="F13" s="26">
        <v>638</v>
      </c>
      <c r="G13" s="26">
        <v>257</v>
      </c>
      <c r="H13" s="26">
        <v>88</v>
      </c>
      <c r="I13" s="26">
        <v>109</v>
      </c>
      <c r="J13" s="26">
        <v>156</v>
      </c>
      <c r="K13" s="26">
        <v>179</v>
      </c>
      <c r="L13" s="26">
        <v>202</v>
      </c>
      <c r="M13" s="26">
        <v>138</v>
      </c>
      <c r="N13" s="26">
        <v>162</v>
      </c>
      <c r="O13" s="26">
        <v>170</v>
      </c>
      <c r="P13" s="55">
        <f>SUM(D13:O13)</f>
        <v>2307</v>
      </c>
    </row>
    <row r="14" spans="1:16" ht="15.6" x14ac:dyDescent="0.3">
      <c r="A14" s="591" t="s">
        <v>154</v>
      </c>
      <c r="B14" s="592"/>
      <c r="C14" s="11" t="s">
        <v>152</v>
      </c>
      <c r="D14" s="563">
        <v>9</v>
      </c>
      <c r="E14" s="26">
        <v>6</v>
      </c>
      <c r="F14" s="26">
        <v>60</v>
      </c>
      <c r="G14" s="26">
        <v>39</v>
      </c>
      <c r="H14" s="26">
        <v>45</v>
      </c>
      <c r="I14" s="26">
        <v>70</v>
      </c>
      <c r="J14" s="26">
        <v>103</v>
      </c>
      <c r="K14" s="26">
        <v>49</v>
      </c>
      <c r="L14" s="26">
        <v>67</v>
      </c>
      <c r="M14" s="26">
        <v>59</v>
      </c>
      <c r="N14" s="26">
        <v>90</v>
      </c>
      <c r="O14" s="26">
        <v>74</v>
      </c>
      <c r="P14" s="55">
        <f>SUM(D14:O14)</f>
        <v>671</v>
      </c>
    </row>
    <row r="15" spans="1:16" s="63" customFormat="1" ht="15.6" x14ac:dyDescent="0.3">
      <c r="A15" s="593" t="s">
        <v>158</v>
      </c>
      <c r="B15" s="594"/>
      <c r="C15" s="62" t="s">
        <v>152</v>
      </c>
      <c r="D15" s="34">
        <f t="shared" ref="D15:P15" si="0">SUM(D11:D14)</f>
        <v>5722</v>
      </c>
      <c r="E15" s="34">
        <f t="shared" si="0"/>
        <v>5818</v>
      </c>
      <c r="F15" s="34">
        <f t="shared" si="0"/>
        <v>8986</v>
      </c>
      <c r="G15" s="34">
        <f t="shared" si="0"/>
        <v>7645</v>
      </c>
      <c r="H15" s="34">
        <f>SUM(H11:H14)</f>
        <v>6707</v>
      </c>
      <c r="I15" s="34">
        <f t="shared" si="0"/>
        <v>7189</v>
      </c>
      <c r="J15" s="34">
        <f t="shared" si="0"/>
        <v>6596</v>
      </c>
      <c r="K15" s="34">
        <f t="shared" si="0"/>
        <v>8160</v>
      </c>
      <c r="L15" s="34">
        <f t="shared" si="0"/>
        <v>7427</v>
      </c>
      <c r="M15" s="34">
        <f t="shared" si="0"/>
        <v>6875</v>
      </c>
      <c r="N15" s="34">
        <f t="shared" si="0"/>
        <v>7580</v>
      </c>
      <c r="O15" s="34">
        <v>6982</v>
      </c>
      <c r="P15" s="55">
        <f t="shared" si="0"/>
        <v>85687</v>
      </c>
    </row>
    <row r="16" spans="1:16" s="2" customFormat="1" x14ac:dyDescent="0.3">
      <c r="A16" s="595" t="s">
        <v>178</v>
      </c>
      <c r="B16" s="596"/>
      <c r="C16" s="596"/>
      <c r="D16" s="596"/>
      <c r="E16" s="596"/>
      <c r="F16" s="596"/>
      <c r="G16" s="596"/>
      <c r="H16" s="596"/>
      <c r="I16" s="596"/>
      <c r="J16" s="596"/>
      <c r="K16" s="596"/>
      <c r="L16" s="596"/>
      <c r="M16" s="596"/>
      <c r="N16" s="596"/>
      <c r="O16" s="596"/>
      <c r="P16" s="597"/>
    </row>
    <row r="17" spans="1:17" s="2" customFormat="1" ht="15.6" x14ac:dyDescent="0.3">
      <c r="A17" s="598" t="s">
        <v>180</v>
      </c>
      <c r="B17" s="599"/>
      <c r="C17" s="11" t="s">
        <v>152</v>
      </c>
      <c r="D17" s="26"/>
      <c r="E17" s="26"/>
      <c r="F17" s="26"/>
      <c r="G17" s="26">
        <v>2164</v>
      </c>
      <c r="H17" s="26"/>
      <c r="I17" s="26">
        <v>2415</v>
      </c>
      <c r="J17" s="26">
        <v>2248</v>
      </c>
      <c r="K17" s="26">
        <v>2900.2</v>
      </c>
      <c r="L17" s="26">
        <v>1506</v>
      </c>
      <c r="M17" s="26">
        <v>1375</v>
      </c>
      <c r="N17" s="26">
        <v>1684</v>
      </c>
      <c r="O17" s="26">
        <v>1494</v>
      </c>
      <c r="P17" s="55">
        <f>SUM(D17:O17)</f>
        <v>15786.2</v>
      </c>
      <c r="Q17" s="169">
        <f>P17/14458%</f>
        <v>109.18660948955595</v>
      </c>
    </row>
    <row r="18" spans="1:17" s="2" customFormat="1" ht="15.6" x14ac:dyDescent="0.3">
      <c r="A18" s="598" t="s">
        <v>181</v>
      </c>
      <c r="B18" s="599"/>
      <c r="C18" s="11" t="s">
        <v>152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55">
        <f>SUM(D18:O18)</f>
        <v>0</v>
      </c>
      <c r="Q18" s="169">
        <f t="shared" ref="Q18:Q20" si="1">P18/14458%</f>
        <v>0</v>
      </c>
    </row>
    <row r="19" spans="1:17" s="2" customFormat="1" ht="15.6" x14ac:dyDescent="0.3">
      <c r="A19" s="598" t="s">
        <v>182</v>
      </c>
      <c r="B19" s="599"/>
      <c r="C19" s="11" t="s">
        <v>152</v>
      </c>
      <c r="D19" s="26">
        <v>2868</v>
      </c>
      <c r="E19" s="26">
        <v>4163</v>
      </c>
      <c r="F19" s="26">
        <v>2634</v>
      </c>
      <c r="G19" s="26">
        <v>633</v>
      </c>
      <c r="H19" s="26">
        <v>4110</v>
      </c>
      <c r="I19" s="26">
        <v>659</v>
      </c>
      <c r="J19" s="26">
        <v>671</v>
      </c>
      <c r="K19" s="26">
        <v>855</v>
      </c>
      <c r="L19" s="26">
        <v>875</v>
      </c>
      <c r="M19" s="26">
        <v>582</v>
      </c>
      <c r="N19" s="26">
        <v>633</v>
      </c>
      <c r="O19" s="26">
        <v>754</v>
      </c>
      <c r="P19" s="55">
        <f>SUM(D19:O19)</f>
        <v>19437</v>
      </c>
      <c r="Q19" s="169">
        <f t="shared" si="1"/>
        <v>134.43768156038178</v>
      </c>
    </row>
    <row r="20" spans="1:17" s="2" customFormat="1" ht="15.6" x14ac:dyDescent="0.3">
      <c r="A20" s="591" t="s">
        <v>183</v>
      </c>
      <c r="B20" s="592"/>
      <c r="C20" s="11" t="s">
        <v>152</v>
      </c>
      <c r="D20" s="563"/>
      <c r="E20" s="26"/>
      <c r="F20" s="26"/>
      <c r="G20" s="26">
        <v>154</v>
      </c>
      <c r="H20" s="26"/>
      <c r="I20" s="26">
        <v>70</v>
      </c>
      <c r="J20" s="26">
        <v>65</v>
      </c>
      <c r="K20" s="26">
        <v>103</v>
      </c>
      <c r="L20" s="26">
        <v>98</v>
      </c>
      <c r="M20" s="26">
        <v>33</v>
      </c>
      <c r="N20" s="26">
        <v>43</v>
      </c>
      <c r="O20" s="26">
        <v>51</v>
      </c>
      <c r="P20" s="55">
        <f>SUM(D20:O20)</f>
        <v>617</v>
      </c>
      <c r="Q20" s="169">
        <f t="shared" si="1"/>
        <v>4.2675335454419692</v>
      </c>
    </row>
    <row r="21" spans="1:17" s="73" customFormat="1" ht="15.6" x14ac:dyDescent="0.3">
      <c r="A21" s="593" t="s">
        <v>184</v>
      </c>
      <c r="B21" s="594"/>
      <c r="C21" s="62" t="s">
        <v>152</v>
      </c>
      <c r="D21" s="34">
        <f>SUM(D17:D20)</f>
        <v>2868</v>
      </c>
      <c r="E21" s="34">
        <f t="shared" ref="E21:P21" si="2">SUM(E17:E20)</f>
        <v>4163</v>
      </c>
      <c r="F21" s="34">
        <f t="shared" si="2"/>
        <v>2634</v>
      </c>
      <c r="G21" s="34">
        <f t="shared" si="2"/>
        <v>2951</v>
      </c>
      <c r="H21" s="34">
        <f t="shared" si="2"/>
        <v>4110</v>
      </c>
      <c r="I21" s="34">
        <f t="shared" si="2"/>
        <v>3144</v>
      </c>
      <c r="J21" s="34">
        <f t="shared" si="2"/>
        <v>2984</v>
      </c>
      <c r="K21" s="34">
        <f t="shared" si="2"/>
        <v>3858.2</v>
      </c>
      <c r="L21" s="34">
        <f t="shared" si="2"/>
        <v>2479</v>
      </c>
      <c r="M21" s="34">
        <f t="shared" si="2"/>
        <v>1990</v>
      </c>
      <c r="N21" s="34">
        <f t="shared" si="2"/>
        <v>2360</v>
      </c>
      <c r="O21" s="34">
        <v>2299</v>
      </c>
      <c r="P21" s="55">
        <f t="shared" si="2"/>
        <v>35840.199999999997</v>
      </c>
      <c r="Q21" s="169">
        <f>P21/14458%</f>
        <v>247.89182459537969</v>
      </c>
    </row>
    <row r="22" spans="1:17" s="2" customFormat="1" ht="15.6" x14ac:dyDescent="0.3">
      <c r="A22" s="75" t="s">
        <v>185</v>
      </c>
      <c r="B22" s="79"/>
      <c r="C22" s="11" t="s">
        <v>152</v>
      </c>
      <c r="D22" s="34">
        <f>D21+D15</f>
        <v>8590</v>
      </c>
      <c r="E22" s="34">
        <f t="shared" ref="E22:P22" si="3">E21+E15</f>
        <v>9981</v>
      </c>
      <c r="F22" s="34">
        <f t="shared" si="3"/>
        <v>11620</v>
      </c>
      <c r="G22" s="34">
        <f t="shared" si="3"/>
        <v>10596</v>
      </c>
      <c r="H22" s="34">
        <f t="shared" si="3"/>
        <v>10817</v>
      </c>
      <c r="I22" s="34">
        <f t="shared" si="3"/>
        <v>10333</v>
      </c>
      <c r="J22" s="34">
        <f t="shared" si="3"/>
        <v>9580</v>
      </c>
      <c r="K22" s="34">
        <f t="shared" si="3"/>
        <v>12018.2</v>
      </c>
      <c r="L22" s="34">
        <f t="shared" si="3"/>
        <v>9906</v>
      </c>
      <c r="M22" s="34">
        <f t="shared" si="3"/>
        <v>8865</v>
      </c>
      <c r="N22" s="34">
        <f t="shared" si="3"/>
        <v>9940</v>
      </c>
      <c r="O22" s="34">
        <v>9281</v>
      </c>
      <c r="P22" s="55">
        <f t="shared" si="3"/>
        <v>121527.2</v>
      </c>
    </row>
    <row r="23" spans="1:17" x14ac:dyDescent="0.3">
      <c r="A23" s="607"/>
      <c r="B23" s="608"/>
      <c r="C23" s="608"/>
      <c r="D23" s="608"/>
      <c r="E23" s="608"/>
      <c r="F23" s="608"/>
      <c r="G23" s="608"/>
      <c r="H23" s="608"/>
      <c r="I23" s="608"/>
      <c r="J23" s="608"/>
      <c r="K23" s="608"/>
      <c r="L23" s="608"/>
      <c r="M23" s="608"/>
      <c r="N23" s="608"/>
      <c r="O23" s="608"/>
      <c r="P23" s="609"/>
    </row>
    <row r="24" spans="1:17" ht="15.6" x14ac:dyDescent="0.3">
      <c r="A24" s="610" t="s">
        <v>179</v>
      </c>
      <c r="B24" s="37" t="s">
        <v>153</v>
      </c>
      <c r="C24" s="5" t="s">
        <v>152</v>
      </c>
      <c r="D24" s="131">
        <f>D9-D22</f>
        <v>5539</v>
      </c>
      <c r="E24" s="131">
        <f>E9-E22</f>
        <v>10273</v>
      </c>
      <c r="F24" s="54">
        <f t="shared" ref="F24:P24" si="4">F9-F22</f>
        <v>10664</v>
      </c>
      <c r="G24" s="54">
        <f t="shared" si="4"/>
        <v>1554</v>
      </c>
      <c r="H24" s="54">
        <f t="shared" si="4"/>
        <v>1324</v>
      </c>
      <c r="I24" s="54">
        <f t="shared" si="4"/>
        <v>2655</v>
      </c>
      <c r="J24" s="54">
        <f t="shared" si="4"/>
        <v>1032</v>
      </c>
      <c r="K24" s="54">
        <f t="shared" si="4"/>
        <v>3034.7999999999993</v>
      </c>
      <c r="L24" s="54">
        <f t="shared" si="4"/>
        <v>2828</v>
      </c>
      <c r="M24" s="54">
        <f t="shared" si="4"/>
        <v>2803</v>
      </c>
      <c r="N24" s="54">
        <f t="shared" si="4"/>
        <v>3116</v>
      </c>
      <c r="O24" s="54">
        <v>2828</v>
      </c>
      <c r="P24" s="100">
        <f t="shared" si="4"/>
        <v>47650.8</v>
      </c>
    </row>
    <row r="25" spans="1:17" ht="15.6" x14ac:dyDescent="0.3">
      <c r="A25" s="611"/>
      <c r="B25" s="53" t="s">
        <v>151</v>
      </c>
      <c r="C25" s="52" t="s">
        <v>6</v>
      </c>
      <c r="D25" s="51">
        <f t="shared" ref="D25:P25" si="5">D24/D9</f>
        <v>0.39203057541227265</v>
      </c>
      <c r="E25" s="51">
        <f t="shared" si="5"/>
        <v>0.50720845265132808</v>
      </c>
      <c r="F25" s="51">
        <f t="shared" si="5"/>
        <v>0.47854963202297612</v>
      </c>
      <c r="G25" s="51">
        <f t="shared" si="5"/>
        <v>0.12790123456790123</v>
      </c>
      <c r="H25" s="51">
        <f t="shared" si="5"/>
        <v>0.1090519726546413</v>
      </c>
      <c r="I25" s="51">
        <f t="shared" si="5"/>
        <v>0.20441946412072681</v>
      </c>
      <c r="J25" s="51">
        <f t="shared" si="5"/>
        <v>9.7248398039954762E-2</v>
      </c>
      <c r="K25" s="51">
        <f t="shared" si="5"/>
        <v>0.20160765295954289</v>
      </c>
      <c r="L25" s="51">
        <f t="shared" si="5"/>
        <v>0.22208261347573424</v>
      </c>
      <c r="M25" s="51">
        <f t="shared" si="5"/>
        <v>0.24022968803565306</v>
      </c>
      <c r="N25" s="51">
        <f t="shared" si="5"/>
        <v>0.23866421568627452</v>
      </c>
      <c r="O25" s="51">
        <v>0.23354529688661327</v>
      </c>
      <c r="P25" s="101">
        <f t="shared" si="5"/>
        <v>0.28166073602950742</v>
      </c>
    </row>
    <row r="26" spans="1:17" x14ac:dyDescent="0.3">
      <c r="A26" s="595" t="s">
        <v>150</v>
      </c>
      <c r="B26" s="596"/>
      <c r="C26" s="596"/>
      <c r="D26" s="596"/>
      <c r="E26" s="596"/>
      <c r="F26" s="596"/>
      <c r="G26" s="596"/>
      <c r="H26" s="596"/>
      <c r="I26" s="596"/>
      <c r="J26" s="596"/>
      <c r="K26" s="596"/>
      <c r="L26" s="596"/>
      <c r="M26" s="596"/>
      <c r="N26" s="596"/>
      <c r="O26" s="596"/>
      <c r="P26" s="597"/>
    </row>
    <row r="27" spans="1:17" x14ac:dyDescent="0.3">
      <c r="A27" s="612" t="s">
        <v>149</v>
      </c>
      <c r="B27" s="613"/>
      <c r="C27" s="613"/>
      <c r="D27" s="613"/>
      <c r="E27" s="613"/>
      <c r="F27" s="613"/>
      <c r="G27" s="613"/>
      <c r="H27" s="613"/>
      <c r="I27" s="613"/>
      <c r="J27" s="613"/>
      <c r="K27" s="613"/>
      <c r="L27" s="613"/>
      <c r="M27" s="613"/>
      <c r="N27" s="613"/>
      <c r="O27" s="613"/>
      <c r="P27" s="614"/>
    </row>
    <row r="28" spans="1:17" ht="15.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7" ht="15.6" x14ac:dyDescent="0.3">
      <c r="A29" s="587" t="s">
        <v>146</v>
      </c>
      <c r="B29" s="585">
        <v>3525.29</v>
      </c>
      <c r="C29" s="5" t="s">
        <v>140</v>
      </c>
      <c r="D29" s="4">
        <v>16</v>
      </c>
      <c r="E29" s="4">
        <v>21</v>
      </c>
      <c r="F29" s="4">
        <v>21</v>
      </c>
      <c r="G29" s="4">
        <v>18</v>
      </c>
      <c r="H29" s="4">
        <v>15</v>
      </c>
      <c r="I29" s="4">
        <v>18</v>
      </c>
      <c r="J29" s="4">
        <v>15</v>
      </c>
      <c r="K29" s="4">
        <v>18</v>
      </c>
      <c r="L29" s="43">
        <v>18</v>
      </c>
      <c r="M29" s="4">
        <v>15</v>
      </c>
      <c r="N29" s="43">
        <v>18</v>
      </c>
      <c r="O29" s="43">
        <v>15</v>
      </c>
      <c r="P29" s="45">
        <f>SUM(D29:O29)</f>
        <v>208</v>
      </c>
    </row>
    <row r="30" spans="1:17" ht="15.6" x14ac:dyDescent="0.3">
      <c r="A30" s="588"/>
      <c r="B30" s="586"/>
      <c r="C30" s="42" t="s">
        <v>139</v>
      </c>
      <c r="D30" s="15">
        <f t="shared" ref="D30:G30" si="6">D29/(D9/1000)</f>
        <v>1.1324226767641021</v>
      </c>
      <c r="E30" s="15">
        <f t="shared" si="6"/>
        <v>1.0368322306704847</v>
      </c>
      <c r="F30" s="15">
        <f t="shared" si="6"/>
        <v>0.94238018309100702</v>
      </c>
      <c r="G30" s="15">
        <f t="shared" si="6"/>
        <v>1.4814814814814814</v>
      </c>
      <c r="H30" s="15">
        <f>H29/(H9/1000)</f>
        <v>1.2354830738818878</v>
      </c>
      <c r="I30" s="15">
        <f t="shared" ref="I30:K30" si="7">I29/(I9/1000)</f>
        <v>1.3858946720049277</v>
      </c>
      <c r="J30" s="15">
        <f t="shared" si="7"/>
        <v>1.413494157557482</v>
      </c>
      <c r="K30" s="15">
        <f t="shared" si="7"/>
        <v>1.195774928585664</v>
      </c>
      <c r="L30" s="15">
        <v>1.4135385581906708</v>
      </c>
      <c r="M30" s="15">
        <f t="shared" ref="M30:P30" si="8">M29/(M9/1000)</f>
        <v>1.2855673637298595</v>
      </c>
      <c r="N30" s="15">
        <f t="shared" si="8"/>
        <v>1.3786764705882353</v>
      </c>
      <c r="O30" s="15">
        <v>1.2387480386489389</v>
      </c>
      <c r="P30" s="103">
        <f t="shared" si="8"/>
        <v>1.2294742815259667</v>
      </c>
    </row>
    <row r="31" spans="1:17" ht="15.6" x14ac:dyDescent="0.3">
      <c r="A31" s="605" t="s">
        <v>145</v>
      </c>
      <c r="B31" s="243"/>
      <c r="C31" s="5" t="s">
        <v>140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5">
        <f>SUM(D31:O31)</f>
        <v>0</v>
      </c>
    </row>
    <row r="32" spans="1:17" ht="15.6" x14ac:dyDescent="0.3">
      <c r="A32" s="606"/>
      <c r="B32" s="244">
        <v>1060.01</v>
      </c>
      <c r="C32" s="42" t="s">
        <v>139</v>
      </c>
      <c r="D32" s="15">
        <f t="shared" ref="D32:G32" si="9">D31/(D9/1000)</f>
        <v>0</v>
      </c>
      <c r="E32" s="15">
        <f t="shared" si="9"/>
        <v>0</v>
      </c>
      <c r="F32" s="15">
        <f t="shared" si="9"/>
        <v>0</v>
      </c>
      <c r="G32" s="15">
        <f t="shared" si="9"/>
        <v>0</v>
      </c>
      <c r="H32" s="15">
        <f t="shared" ref="H32:P32" si="10">H31/(H9/1000)</f>
        <v>0</v>
      </c>
      <c r="I32" s="15">
        <f t="shared" si="10"/>
        <v>0</v>
      </c>
      <c r="J32" s="15">
        <f t="shared" si="10"/>
        <v>0</v>
      </c>
      <c r="K32" s="15">
        <f t="shared" si="10"/>
        <v>0</v>
      </c>
      <c r="L32" s="15">
        <f t="shared" si="10"/>
        <v>0</v>
      </c>
      <c r="M32" s="15">
        <f t="shared" si="10"/>
        <v>0</v>
      </c>
      <c r="N32" s="15">
        <f t="shared" si="10"/>
        <v>0</v>
      </c>
      <c r="O32" s="15">
        <v>0</v>
      </c>
      <c r="P32" s="103">
        <f t="shared" si="10"/>
        <v>0</v>
      </c>
    </row>
    <row r="33" spans="1:16" ht="15.6" x14ac:dyDescent="0.3">
      <c r="A33" s="605" t="s">
        <v>144</v>
      </c>
      <c r="B33" s="243"/>
      <c r="C33" s="5" t="s">
        <v>140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5">
        <f>SUM(D33:O33)</f>
        <v>0</v>
      </c>
    </row>
    <row r="34" spans="1:16" ht="15.6" x14ac:dyDescent="0.3">
      <c r="A34" s="606"/>
      <c r="B34" s="244">
        <v>1228.29</v>
      </c>
      <c r="C34" s="42" t="s">
        <v>139</v>
      </c>
      <c r="D34" s="15">
        <f t="shared" ref="D34:G34" si="11">D33/(D9/1000)</f>
        <v>0</v>
      </c>
      <c r="E34" s="15">
        <f t="shared" si="11"/>
        <v>0</v>
      </c>
      <c r="F34" s="15">
        <f t="shared" si="11"/>
        <v>0</v>
      </c>
      <c r="G34" s="15">
        <f t="shared" si="11"/>
        <v>0</v>
      </c>
      <c r="H34" s="15">
        <f t="shared" ref="H34:P34" si="12">H33/(H9/1000)</f>
        <v>0</v>
      </c>
      <c r="I34" s="15">
        <f t="shared" si="12"/>
        <v>0</v>
      </c>
      <c r="J34" s="15">
        <f t="shared" si="12"/>
        <v>0</v>
      </c>
      <c r="K34" s="15">
        <f t="shared" si="12"/>
        <v>0</v>
      </c>
      <c r="L34" s="15">
        <f t="shared" si="12"/>
        <v>0</v>
      </c>
      <c r="M34" s="15">
        <f t="shared" si="12"/>
        <v>0</v>
      </c>
      <c r="N34" s="15">
        <f t="shared" si="12"/>
        <v>0</v>
      </c>
      <c r="O34" s="15">
        <v>0</v>
      </c>
      <c r="P34" s="103">
        <f t="shared" si="12"/>
        <v>0</v>
      </c>
    </row>
    <row r="35" spans="1:16" ht="15.6" x14ac:dyDescent="0.3">
      <c r="A35" s="605" t="s">
        <v>143</v>
      </c>
      <c r="B35" s="243"/>
      <c r="C35" s="5" t="s">
        <v>126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03"/>
    </row>
    <row r="36" spans="1:16" ht="15.6" x14ac:dyDescent="0.3">
      <c r="A36" s="606"/>
      <c r="B36" s="244">
        <v>3726.73</v>
      </c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03"/>
    </row>
    <row r="37" spans="1:16" ht="15.6" x14ac:dyDescent="0.3">
      <c r="A37" s="605" t="s">
        <v>186</v>
      </c>
      <c r="B37" s="243"/>
      <c r="C37" s="5" t="s">
        <v>126</v>
      </c>
      <c r="D37" s="43"/>
      <c r="E37" s="43"/>
      <c r="F37" s="43"/>
      <c r="G37" s="43"/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5">
        <f>SUM(D37:O37)</f>
        <v>0</v>
      </c>
    </row>
    <row r="38" spans="1:16" ht="15.6" x14ac:dyDescent="0.3">
      <c r="A38" s="606"/>
      <c r="B38" s="244">
        <v>3951.59</v>
      </c>
      <c r="C38" s="5" t="s">
        <v>142</v>
      </c>
      <c r="D38" s="15">
        <f t="shared" ref="D38:G38" si="13">D37/(D9/1000)</f>
        <v>0</v>
      </c>
      <c r="E38" s="15">
        <f t="shared" si="13"/>
        <v>0</v>
      </c>
      <c r="F38" s="15">
        <f t="shared" si="13"/>
        <v>0</v>
      </c>
      <c r="G38" s="15">
        <f t="shared" si="13"/>
        <v>0</v>
      </c>
      <c r="H38" s="15">
        <f t="shared" ref="H38:P38" si="14">H37/(H9/1000)</f>
        <v>0</v>
      </c>
      <c r="I38" s="15">
        <f t="shared" si="14"/>
        <v>0</v>
      </c>
      <c r="J38" s="15">
        <f t="shared" si="14"/>
        <v>0</v>
      </c>
      <c r="K38" s="15">
        <f t="shared" si="14"/>
        <v>0</v>
      </c>
      <c r="L38" s="15">
        <f t="shared" si="14"/>
        <v>0</v>
      </c>
      <c r="M38" s="15">
        <f t="shared" si="14"/>
        <v>0</v>
      </c>
      <c r="N38" s="15">
        <f t="shared" si="14"/>
        <v>0</v>
      </c>
      <c r="O38" s="15">
        <v>0</v>
      </c>
      <c r="P38" s="103">
        <f t="shared" si="14"/>
        <v>0</v>
      </c>
    </row>
    <row r="39" spans="1:16" ht="15.6" x14ac:dyDescent="0.3">
      <c r="A39" s="605" t="s">
        <v>141</v>
      </c>
      <c r="B39" s="243"/>
      <c r="C39" s="5" t="s">
        <v>140</v>
      </c>
      <c r="D39" s="43"/>
      <c r="E39" s="43"/>
      <c r="F39" s="43"/>
      <c r="G39" s="43"/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5">
        <f>SUM(D39:O39)</f>
        <v>0</v>
      </c>
    </row>
    <row r="40" spans="1:16" ht="15.6" x14ac:dyDescent="0.3">
      <c r="A40" s="606"/>
      <c r="B40" s="244">
        <v>1950</v>
      </c>
      <c r="C40" s="42" t="s">
        <v>139</v>
      </c>
      <c r="D40" s="15">
        <f t="shared" ref="D40:G40" si="15">D39/(D9/1000)</f>
        <v>0</v>
      </c>
      <c r="E40" s="15">
        <f t="shared" si="15"/>
        <v>0</v>
      </c>
      <c r="F40" s="15">
        <f t="shared" si="15"/>
        <v>0</v>
      </c>
      <c r="G40" s="15">
        <f t="shared" si="15"/>
        <v>0</v>
      </c>
      <c r="H40" s="15">
        <f t="shared" ref="H40:P40" si="16">H39/(H9/1000)</f>
        <v>0</v>
      </c>
      <c r="I40" s="15">
        <f t="shared" si="16"/>
        <v>0</v>
      </c>
      <c r="J40" s="15">
        <f t="shared" si="16"/>
        <v>0</v>
      </c>
      <c r="K40" s="15">
        <f t="shared" si="16"/>
        <v>0</v>
      </c>
      <c r="L40" s="15">
        <f t="shared" si="16"/>
        <v>0</v>
      </c>
      <c r="M40" s="15">
        <f t="shared" si="16"/>
        <v>0</v>
      </c>
      <c r="N40" s="15">
        <f t="shared" si="16"/>
        <v>0</v>
      </c>
      <c r="O40" s="15">
        <v>0</v>
      </c>
      <c r="P40" s="103">
        <f t="shared" si="16"/>
        <v>0</v>
      </c>
    </row>
    <row r="41" spans="1:16" ht="15.6" x14ac:dyDescent="0.3">
      <c r="A41" s="591" t="s">
        <v>138</v>
      </c>
      <c r="B41" s="592"/>
      <c r="C41" s="11" t="s">
        <v>31</v>
      </c>
      <c r="D41" s="41">
        <f>(D29*$B29)+(D31*$B31)+(D33*$B33)+(D35*$B35)+(D37*$B37)+(D39*$B39)</f>
        <v>56404.639999999999</v>
      </c>
      <c r="E41" s="41">
        <f t="shared" ref="E41:N41" si="17">(E29*$B29)+(E31*$B31)+(E33*$B33)+(E35*$B35)+(E37*$B37)+(E39*$B39)</f>
        <v>74031.09</v>
      </c>
      <c r="F41" s="41">
        <f t="shared" si="17"/>
        <v>74031.09</v>
      </c>
      <c r="G41" s="41">
        <f t="shared" si="17"/>
        <v>63455.22</v>
      </c>
      <c r="H41" s="41">
        <f t="shared" si="17"/>
        <v>52879.35</v>
      </c>
      <c r="I41" s="41">
        <f t="shared" si="17"/>
        <v>63455.22</v>
      </c>
      <c r="J41" s="41">
        <f t="shared" si="17"/>
        <v>52879.35</v>
      </c>
      <c r="K41" s="41">
        <f t="shared" si="17"/>
        <v>63455.22</v>
      </c>
      <c r="L41" s="41">
        <f t="shared" si="17"/>
        <v>63455.22</v>
      </c>
      <c r="M41" s="41">
        <f t="shared" si="17"/>
        <v>52879.35</v>
      </c>
      <c r="N41" s="41">
        <f t="shared" si="17"/>
        <v>63455.22</v>
      </c>
      <c r="O41" s="41">
        <v>52879.35</v>
      </c>
      <c r="P41" s="39">
        <f>SUM(D41:O41)</f>
        <v>733260.31999999983</v>
      </c>
    </row>
    <row r="42" spans="1:16" ht="15.6" x14ac:dyDescent="0.3">
      <c r="A42" s="615" t="s">
        <v>137</v>
      </c>
      <c r="B42" s="616"/>
      <c r="C42" s="42" t="s">
        <v>115</v>
      </c>
      <c r="D42" s="15">
        <f t="shared" ref="D42:P42" si="18">D41/D9</f>
        <v>3.9921183381697216</v>
      </c>
      <c r="E42" s="15">
        <f t="shared" si="18"/>
        <v>3.6551342944603533</v>
      </c>
      <c r="F42" s="15">
        <f t="shared" si="18"/>
        <v>3.3221634356488958</v>
      </c>
      <c r="G42" s="15">
        <f t="shared" si="18"/>
        <v>5.2226518518518521</v>
      </c>
      <c r="H42" s="15">
        <f t="shared" si="18"/>
        <v>4.3554361255250802</v>
      </c>
      <c r="I42" s="15">
        <f t="shared" si="18"/>
        <v>4.8856806282722518</v>
      </c>
      <c r="J42" s="15">
        <f t="shared" si="18"/>
        <v>4.9829768186958159</v>
      </c>
      <c r="K42" s="15">
        <f t="shared" si="18"/>
        <v>4.2154533979937554</v>
      </c>
      <c r="L42" s="15">
        <f t="shared" si="18"/>
        <v>4.9831333438039893</v>
      </c>
      <c r="M42" s="15">
        <f t="shared" si="18"/>
        <v>4.531997771683236</v>
      </c>
      <c r="N42" s="15">
        <f t="shared" si="18"/>
        <v>4.8602343750000001</v>
      </c>
      <c r="O42" s="15">
        <v>4.3669460731687177</v>
      </c>
      <c r="P42" s="44">
        <f t="shared" si="18"/>
        <v>4.3342533899206739</v>
      </c>
    </row>
    <row r="43" spans="1:16" x14ac:dyDescent="0.3">
      <c r="A43" s="617" t="s">
        <v>136</v>
      </c>
      <c r="B43" s="618"/>
      <c r="C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  <c r="P43" s="619"/>
    </row>
    <row r="44" spans="1:16" ht="15.6" x14ac:dyDescent="0.3">
      <c r="A44" s="591" t="s">
        <v>135</v>
      </c>
      <c r="B44" s="592"/>
      <c r="C44" s="11" t="s">
        <v>134</v>
      </c>
      <c r="D44" s="4">
        <v>10967</v>
      </c>
      <c r="E44" s="4">
        <v>7501.99</v>
      </c>
      <c r="F44" s="4">
        <v>12672</v>
      </c>
      <c r="G44" s="4">
        <v>12881.19</v>
      </c>
      <c r="H44" s="4">
        <v>8218.11</v>
      </c>
      <c r="I44" s="4">
        <v>6074</v>
      </c>
      <c r="J44" s="4">
        <v>8314</v>
      </c>
      <c r="K44" s="4">
        <v>10966</v>
      </c>
      <c r="L44" s="43">
        <v>11703</v>
      </c>
      <c r="M44" s="4">
        <v>10756.94</v>
      </c>
      <c r="N44" s="43">
        <v>11143.33</v>
      </c>
      <c r="O44" s="43"/>
      <c r="P44" s="39">
        <f>SUM(D44:O44)</f>
        <v>111197.56000000001</v>
      </c>
    </row>
    <row r="45" spans="1:16" ht="15.6" x14ac:dyDescent="0.3">
      <c r="A45" s="615" t="s">
        <v>133</v>
      </c>
      <c r="B45" s="616"/>
      <c r="C45" s="42" t="s">
        <v>132</v>
      </c>
      <c r="D45" s="15">
        <f t="shared" ref="D45:G45" si="19">D44/D9</f>
        <v>0.77620496850449427</v>
      </c>
      <c r="E45" s="15">
        <f t="shared" si="19"/>
        <v>0.37039547743655571</v>
      </c>
      <c r="F45" s="15">
        <f t="shared" si="19"/>
        <v>0.56865912762520199</v>
      </c>
      <c r="G45" s="15">
        <f t="shared" si="19"/>
        <v>1.0601802469135804</v>
      </c>
      <c r="H45" s="15">
        <f>H44/H9</f>
        <v>0.67688905361996543</v>
      </c>
      <c r="I45" s="15">
        <f t="shared" ref="I45:K45" si="20">I44/I9</f>
        <v>0.46766245765321834</v>
      </c>
      <c r="J45" s="15">
        <f t="shared" si="20"/>
        <v>0.78345269506219373</v>
      </c>
      <c r="K45" s="15">
        <f t="shared" si="20"/>
        <v>0.72849265927057727</v>
      </c>
      <c r="L45" s="15">
        <v>0.9190356525836344</v>
      </c>
      <c r="M45" s="15">
        <f t="shared" ref="M45" si="21">M44/M9</f>
        <v>0.92191806650668495</v>
      </c>
      <c r="N45" s="15">
        <f t="shared" ref="N45:P45" si="22">N44/N9</f>
        <v>0.85350260416666668</v>
      </c>
      <c r="O45" s="15">
        <v>0</v>
      </c>
      <c r="P45" s="103">
        <f t="shared" si="22"/>
        <v>0.65728144321365667</v>
      </c>
    </row>
    <row r="46" spans="1:16" ht="15.6" x14ac:dyDescent="0.3">
      <c r="A46" s="620" t="s">
        <v>131</v>
      </c>
      <c r="B46" s="621"/>
      <c r="C46" s="5" t="s">
        <v>31</v>
      </c>
      <c r="D46" s="41">
        <f>151.1*D44</f>
        <v>1657113.7</v>
      </c>
      <c r="E46" s="41">
        <f t="shared" ref="E46:I46" si="23">151.1*E44</f>
        <v>1133550.689</v>
      </c>
      <c r="F46" s="41">
        <f t="shared" si="23"/>
        <v>1914739.2</v>
      </c>
      <c r="G46" s="41">
        <f t="shared" si="23"/>
        <v>1946347.8089999999</v>
      </c>
      <c r="H46" s="41">
        <f t="shared" si="23"/>
        <v>1241756.4210000001</v>
      </c>
      <c r="I46" s="41">
        <f t="shared" si="23"/>
        <v>917781.4</v>
      </c>
      <c r="J46" s="3">
        <f t="shared" ref="J46:N46" si="24">1.165*(14100+(J44*119.1))</f>
        <v>1170006.4709999999</v>
      </c>
      <c r="K46" s="3">
        <f t="shared" si="24"/>
        <v>1537975.4489999998</v>
      </c>
      <c r="L46" s="3">
        <f t="shared" si="24"/>
        <v>1640235.3045000001</v>
      </c>
      <c r="M46" s="3">
        <f t="shared" si="24"/>
        <v>1508968.0604100002</v>
      </c>
      <c r="N46" s="3">
        <f t="shared" si="24"/>
        <v>1562580.2524949999</v>
      </c>
      <c r="O46" s="3">
        <v>16426.5</v>
      </c>
      <c r="P46" s="39">
        <f>SUM(D46:O46)</f>
        <v>16247481.256405002</v>
      </c>
    </row>
    <row r="47" spans="1:16" s="2" customFormat="1" ht="15.6" x14ac:dyDescent="0.3">
      <c r="A47" s="591" t="s">
        <v>130</v>
      </c>
      <c r="B47" s="592"/>
      <c r="C47" s="11" t="s">
        <v>115</v>
      </c>
      <c r="D47" s="15">
        <f t="shared" ref="D47:G47" si="25">D46/D9</f>
        <v>117.28457074102909</v>
      </c>
      <c r="E47" s="15">
        <f t="shared" si="25"/>
        <v>55.966756640663576</v>
      </c>
      <c r="F47" s="15">
        <f t="shared" si="25"/>
        <v>85.924394184168008</v>
      </c>
      <c r="G47" s="15">
        <f t="shared" si="25"/>
        <v>160.19323530864196</v>
      </c>
      <c r="H47" s="15">
        <f t="shared" ref="H47:P47" si="26">H46/H9</f>
        <v>102.27793600197678</v>
      </c>
      <c r="I47" s="15">
        <f t="shared" si="26"/>
        <v>70.6637973514013</v>
      </c>
      <c r="J47" s="15">
        <f t="shared" si="26"/>
        <v>110.25315407086316</v>
      </c>
      <c r="K47" s="15">
        <f t="shared" si="26"/>
        <v>102.17069348302662</v>
      </c>
      <c r="L47" s="15">
        <f t="shared" si="26"/>
        <v>128.80754707868698</v>
      </c>
      <c r="M47" s="15">
        <f t="shared" si="26"/>
        <v>129.32533942492287</v>
      </c>
      <c r="N47" s="15">
        <f t="shared" si="26"/>
        <v>119.68292375114889</v>
      </c>
      <c r="O47" s="15">
        <v>1.3565529771244529</v>
      </c>
      <c r="P47" s="103">
        <f t="shared" si="26"/>
        <v>96.037790116947832</v>
      </c>
    </row>
    <row r="48" spans="1:16" x14ac:dyDescent="0.3">
      <c r="A48" s="617" t="s">
        <v>129</v>
      </c>
      <c r="B48" s="618"/>
      <c r="C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  <c r="P48" s="619"/>
    </row>
    <row r="49" spans="1:16" ht="15.6" x14ac:dyDescent="0.3">
      <c r="A49" s="591" t="s">
        <v>128</v>
      </c>
      <c r="B49" s="592"/>
      <c r="C49" s="5" t="s">
        <v>127</v>
      </c>
      <c r="D49" s="4">
        <v>1685</v>
      </c>
      <c r="E49" s="4">
        <v>1790</v>
      </c>
      <c r="F49" s="4">
        <v>2653</v>
      </c>
      <c r="G49" s="4">
        <v>2714</v>
      </c>
      <c r="H49" s="4">
        <v>386</v>
      </c>
      <c r="I49" s="4">
        <v>442</v>
      </c>
      <c r="J49" s="4">
        <v>572</v>
      </c>
      <c r="K49" s="4">
        <v>621</v>
      </c>
      <c r="L49" s="4"/>
      <c r="M49" s="4"/>
      <c r="N49" s="4"/>
      <c r="O49" s="4"/>
      <c r="P49" s="39">
        <f>SUM(D49:O49)</f>
        <v>10863</v>
      </c>
    </row>
    <row r="50" spans="1:16" ht="15.6" x14ac:dyDescent="0.3">
      <c r="A50" s="591" t="s">
        <v>187</v>
      </c>
      <c r="B50" s="592"/>
      <c r="C50" s="5" t="s">
        <v>126</v>
      </c>
      <c r="D50" s="4">
        <v>200</v>
      </c>
      <c r="E50" s="4">
        <v>250</v>
      </c>
      <c r="F50" s="4">
        <v>300</v>
      </c>
      <c r="G50" s="4">
        <v>350</v>
      </c>
      <c r="H50" s="4">
        <v>76</v>
      </c>
      <c r="I50" s="4">
        <v>150</v>
      </c>
      <c r="J50" s="4">
        <v>150</v>
      </c>
      <c r="K50" s="4">
        <v>200</v>
      </c>
      <c r="L50" s="4"/>
      <c r="M50" s="4"/>
      <c r="N50" s="4"/>
      <c r="O50" s="4"/>
      <c r="P50" s="39">
        <f>SUM(D50:O50)</f>
        <v>1676</v>
      </c>
    </row>
    <row r="51" spans="1:16" ht="15.6" x14ac:dyDescent="0.3">
      <c r="A51" s="620" t="s">
        <v>125</v>
      </c>
      <c r="B51" s="621"/>
      <c r="C51" s="5" t="s">
        <v>31</v>
      </c>
      <c r="D51" s="13">
        <f t="shared" ref="D51:I51" si="27">D50*1920</f>
        <v>384000</v>
      </c>
      <c r="E51" s="13">
        <f t="shared" si="27"/>
        <v>480000</v>
      </c>
      <c r="F51" s="13">
        <f t="shared" si="27"/>
        <v>576000</v>
      </c>
      <c r="G51" s="13">
        <f t="shared" si="27"/>
        <v>672000</v>
      </c>
      <c r="H51" s="13">
        <f t="shared" si="27"/>
        <v>145920</v>
      </c>
      <c r="I51" s="13">
        <f t="shared" si="27"/>
        <v>288000</v>
      </c>
      <c r="J51" s="13">
        <f>J50*1920</f>
        <v>288000</v>
      </c>
      <c r="K51" s="13">
        <f t="shared" ref="K51" si="28">K50*1920</f>
        <v>384000</v>
      </c>
      <c r="L51" s="13"/>
      <c r="M51" s="13"/>
      <c r="N51" s="13"/>
      <c r="O51" s="13"/>
      <c r="P51" s="40">
        <f>SUM(D51:O51)</f>
        <v>3217920</v>
      </c>
    </row>
    <row r="52" spans="1:16" ht="15.6" x14ac:dyDescent="0.3">
      <c r="A52" s="591" t="s">
        <v>124</v>
      </c>
      <c r="B52" s="592"/>
      <c r="C52" s="5" t="s">
        <v>31</v>
      </c>
      <c r="D52" s="13"/>
      <c r="E52" s="13"/>
      <c r="F52" s="13"/>
      <c r="G52" s="13"/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40">
        <f>SUM(D52:O52)</f>
        <v>0</v>
      </c>
    </row>
    <row r="53" spans="1:16" x14ac:dyDescent="0.3">
      <c r="A53" s="617" t="s">
        <v>123</v>
      </c>
      <c r="B53" s="618"/>
      <c r="C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  <c r="P53" s="619"/>
    </row>
    <row r="54" spans="1:16" ht="15.6" x14ac:dyDescent="0.3">
      <c r="A54" s="591" t="s">
        <v>122</v>
      </c>
      <c r="B54" s="592"/>
      <c r="C54" s="11" t="s">
        <v>18</v>
      </c>
      <c r="D54" s="551">
        <v>1665809.068</v>
      </c>
      <c r="E54" s="551">
        <v>1665809.068</v>
      </c>
      <c r="F54" s="551">
        <v>1665809.068</v>
      </c>
      <c r="G54" s="551">
        <v>1665809.068</v>
      </c>
      <c r="H54" s="551">
        <v>1665809.068</v>
      </c>
      <c r="I54" s="551">
        <v>1665809.068</v>
      </c>
      <c r="J54" s="551">
        <v>1665809.068</v>
      </c>
      <c r="K54" s="551">
        <v>1665809.068</v>
      </c>
      <c r="L54" s="13"/>
      <c r="M54" s="13"/>
      <c r="N54" s="13"/>
      <c r="O54" s="13"/>
      <c r="P54" s="39">
        <f>SUM(D54:O54)</f>
        <v>13326472.544</v>
      </c>
    </row>
    <row r="55" spans="1:16" ht="15.6" x14ac:dyDescent="0.3">
      <c r="A55" s="78" t="s">
        <v>121</v>
      </c>
      <c r="B55" s="79"/>
      <c r="C55" s="11" t="s">
        <v>18</v>
      </c>
      <c r="D55" s="551">
        <v>241154.4</v>
      </c>
      <c r="E55" s="551">
        <v>241154.4</v>
      </c>
      <c r="F55" s="551">
        <v>241154.4</v>
      </c>
      <c r="G55" s="551">
        <v>241154.4</v>
      </c>
      <c r="H55" s="551">
        <v>241154.4</v>
      </c>
      <c r="I55" s="551">
        <v>241154.4</v>
      </c>
      <c r="J55" s="551">
        <v>241154.4</v>
      </c>
      <c r="K55" s="551">
        <v>241154.4</v>
      </c>
      <c r="L55" s="13"/>
      <c r="M55" s="13"/>
      <c r="N55" s="13"/>
      <c r="O55" s="13"/>
      <c r="P55" s="39">
        <f>SUM(D55:O55)</f>
        <v>1929235.1999999997</v>
      </c>
    </row>
    <row r="56" spans="1:16" ht="15.6" x14ac:dyDescent="0.3">
      <c r="A56" s="591" t="s">
        <v>120</v>
      </c>
      <c r="B56" s="592"/>
      <c r="C56" s="5" t="s">
        <v>18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39">
        <f>SUM(D56:O56)</f>
        <v>0</v>
      </c>
    </row>
    <row r="57" spans="1:16" x14ac:dyDescent="0.3">
      <c r="A57" s="617" t="s">
        <v>119</v>
      </c>
      <c r="B57" s="618"/>
      <c r="C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  <c r="P57" s="619"/>
    </row>
    <row r="58" spans="1:16" ht="15.6" x14ac:dyDescent="0.3">
      <c r="A58" s="620" t="s">
        <v>118</v>
      </c>
      <c r="B58" s="621"/>
      <c r="C58" s="5" t="s">
        <v>18</v>
      </c>
      <c r="D58" s="13">
        <f>D41+D46+D51+D52+D54+D55+D56</f>
        <v>4004481.8079999997</v>
      </c>
      <c r="E58" s="13">
        <f t="shared" ref="E58:G58" si="29">E41+E46+E51+E52+E54+E55+E56</f>
        <v>3594545.247</v>
      </c>
      <c r="F58" s="13">
        <f t="shared" si="29"/>
        <v>4471733.7580000004</v>
      </c>
      <c r="G58" s="13">
        <f t="shared" si="29"/>
        <v>4588766.4970000004</v>
      </c>
      <c r="H58" s="13">
        <f t="shared" ref="H58:N58" si="30">H41+H46+H51+H52+H54+H55+H56</f>
        <v>3347519.2390000001</v>
      </c>
      <c r="I58" s="13">
        <f t="shared" si="30"/>
        <v>3176200.088</v>
      </c>
      <c r="J58" s="13">
        <f>J41+J46+J51+J52+J54+J55+J56</f>
        <v>3417849.2889999999</v>
      </c>
      <c r="K58" s="13">
        <f t="shared" si="30"/>
        <v>3892394.1369999996</v>
      </c>
      <c r="L58" s="13">
        <f t="shared" si="30"/>
        <v>1703690.5245000001</v>
      </c>
      <c r="M58" s="13">
        <f t="shared" si="30"/>
        <v>1561847.4104100002</v>
      </c>
      <c r="N58" s="13">
        <f t="shared" si="30"/>
        <v>1626035.4724949999</v>
      </c>
      <c r="O58" s="13">
        <v>69305.850000000006</v>
      </c>
      <c r="P58" s="64">
        <f>SUM(D58:O58)</f>
        <v>35454369.320404999</v>
      </c>
    </row>
    <row r="59" spans="1:16" ht="15.6" x14ac:dyDescent="0.3">
      <c r="A59" s="620" t="s">
        <v>117</v>
      </c>
      <c r="B59" s="621"/>
      <c r="C59" s="5" t="s">
        <v>115</v>
      </c>
      <c r="D59" s="15">
        <f t="shared" ref="D59:G59" si="31">D58/D9</f>
        <v>283.42287550428193</v>
      </c>
      <c r="E59" s="15">
        <f t="shared" si="31"/>
        <v>177.47335079490472</v>
      </c>
      <c r="F59" s="15">
        <f t="shared" si="31"/>
        <v>200.67015607610844</v>
      </c>
      <c r="G59" s="15">
        <f t="shared" si="31"/>
        <v>377.67625489711935</v>
      </c>
      <c r="H59" s="15">
        <f t="shared" ref="H59:P59" si="32">H58/H9</f>
        <v>275.7202239518985</v>
      </c>
      <c r="I59" s="15">
        <f t="shared" si="32"/>
        <v>244.54882106559901</v>
      </c>
      <c r="J59" s="15">
        <f t="shared" si="32"/>
        <v>322.07400009423293</v>
      </c>
      <c r="K59" s="15">
        <f t="shared" si="32"/>
        <v>258.57929562213508</v>
      </c>
      <c r="L59" s="15">
        <f t="shared" si="32"/>
        <v>133.79068042249096</v>
      </c>
      <c r="M59" s="15">
        <f t="shared" si="32"/>
        <v>133.85733719660612</v>
      </c>
      <c r="N59" s="15">
        <f t="shared" si="32"/>
        <v>124.54315812614888</v>
      </c>
      <c r="O59" s="15">
        <v>5.7234990502931709</v>
      </c>
      <c r="P59" s="103">
        <f t="shared" si="32"/>
        <v>209.56843868827505</v>
      </c>
    </row>
    <row r="60" spans="1:16" ht="15.6" x14ac:dyDescent="0.3">
      <c r="A60" s="620" t="s">
        <v>116</v>
      </c>
      <c r="B60" s="621"/>
      <c r="C60" s="5" t="s">
        <v>115</v>
      </c>
      <c r="D60" s="15">
        <f>D58/D22</f>
        <v>466.17948870779975</v>
      </c>
      <c r="E60" s="15">
        <f t="shared" ref="E60:G60" si="33">E58/E22</f>
        <v>360.13878839795609</v>
      </c>
      <c r="F60" s="15">
        <f t="shared" si="33"/>
        <v>384.83078812392432</v>
      </c>
      <c r="G60" s="15">
        <f t="shared" si="33"/>
        <v>433.06592081917711</v>
      </c>
      <c r="H60" s="15">
        <f t="shared" ref="H60:N60" si="34">H58/H22</f>
        <v>309.46835897198855</v>
      </c>
      <c r="I60" s="15">
        <f t="shared" si="34"/>
        <v>307.38411768121551</v>
      </c>
      <c r="J60" s="15">
        <f t="shared" si="34"/>
        <v>356.76923684759913</v>
      </c>
      <c r="K60" s="15">
        <f t="shared" si="34"/>
        <v>323.87496771563121</v>
      </c>
      <c r="L60" s="15">
        <f t="shared" si="34"/>
        <v>171.98571820109026</v>
      </c>
      <c r="M60" s="15">
        <f t="shared" si="34"/>
        <v>176.18132097123521</v>
      </c>
      <c r="N60" s="15">
        <f t="shared" si="34"/>
        <v>163.58505759507042</v>
      </c>
      <c r="O60" s="15">
        <v>7.4674981144273254</v>
      </c>
      <c r="P60" s="104">
        <f>P58/P22</f>
        <v>291.74019742415692</v>
      </c>
    </row>
    <row r="61" spans="1:16" ht="15.6" x14ac:dyDescent="0.3">
      <c r="A61" s="591" t="s">
        <v>114</v>
      </c>
      <c r="B61" s="592"/>
      <c r="C61" s="5" t="s">
        <v>3</v>
      </c>
      <c r="D61" s="4">
        <v>7</v>
      </c>
      <c r="E61" s="4">
        <v>7</v>
      </c>
      <c r="F61" s="4">
        <v>7</v>
      </c>
      <c r="G61" s="4">
        <v>7</v>
      </c>
      <c r="H61" s="4">
        <v>7</v>
      </c>
      <c r="I61" s="4">
        <v>7</v>
      </c>
      <c r="J61" s="4">
        <v>7</v>
      </c>
      <c r="K61" s="4">
        <v>7</v>
      </c>
      <c r="L61" s="4">
        <v>7</v>
      </c>
      <c r="M61" s="4">
        <v>7</v>
      </c>
      <c r="N61" s="4">
        <v>7</v>
      </c>
      <c r="O61" s="4">
        <v>7</v>
      </c>
      <c r="P61" s="9">
        <f>O61</f>
        <v>7</v>
      </c>
    </row>
    <row r="62" spans="1:16" ht="15.6" customHeight="1" x14ac:dyDescent="0.3">
      <c r="A62" s="620" t="s">
        <v>113</v>
      </c>
      <c r="B62" s="621"/>
      <c r="C62" s="5" t="s">
        <v>112</v>
      </c>
      <c r="D62" s="15">
        <f t="shared" ref="D62:G62" si="35">(D61*1000*31)/D9</f>
        <v>15.358482553613136</v>
      </c>
      <c r="E62" s="15">
        <f t="shared" si="35"/>
        <v>10.713933050261677</v>
      </c>
      <c r="F62" s="15">
        <f t="shared" si="35"/>
        <v>9.7379285586070718</v>
      </c>
      <c r="G62" s="15">
        <f t="shared" si="35"/>
        <v>17.860082304526749</v>
      </c>
      <c r="H62" s="15">
        <f>(H61*1000*31)/H9</f>
        <v>17.873321802157978</v>
      </c>
      <c r="I62" s="15">
        <f t="shared" ref="I62" si="36">(I61*1000*31)/I9</f>
        <v>16.707730212503851</v>
      </c>
      <c r="J62" s="15">
        <f t="shared" ref="J62:P62" si="37">(J61*1000*31)/J9</f>
        <v>20.448548812664907</v>
      </c>
      <c r="K62" s="15">
        <f t="shared" si="37"/>
        <v>14.41573108350495</v>
      </c>
      <c r="L62" s="15">
        <f t="shared" si="37"/>
        <v>17.040992618187531</v>
      </c>
      <c r="M62" s="15">
        <f t="shared" si="37"/>
        <v>18.597874528625301</v>
      </c>
      <c r="N62" s="15">
        <f t="shared" si="37"/>
        <v>16.620710784313726</v>
      </c>
      <c r="O62" s="15">
        <v>17.920554959121315</v>
      </c>
      <c r="P62" s="103">
        <f t="shared" si="37"/>
        <v>1.282672687938148</v>
      </c>
    </row>
    <row r="63" spans="1:16" ht="15.6" x14ac:dyDescent="0.3">
      <c r="A63" s="634" t="s">
        <v>111</v>
      </c>
      <c r="B63" s="635"/>
      <c r="C63" s="38" t="s">
        <v>3</v>
      </c>
      <c r="D63" s="4">
        <v>6</v>
      </c>
      <c r="E63" s="4">
        <v>6</v>
      </c>
      <c r="F63" s="4">
        <v>6</v>
      </c>
      <c r="G63" s="4">
        <v>6</v>
      </c>
      <c r="H63" s="4">
        <v>6</v>
      </c>
      <c r="I63" s="4">
        <v>6</v>
      </c>
      <c r="J63" s="4">
        <v>6</v>
      </c>
      <c r="K63" s="4">
        <v>6</v>
      </c>
      <c r="L63" s="4">
        <v>6</v>
      </c>
      <c r="M63" s="4">
        <v>6</v>
      </c>
      <c r="N63" s="4">
        <v>6</v>
      </c>
      <c r="O63" s="4">
        <v>6</v>
      </c>
      <c r="P63" s="9">
        <f>SUM(D63:O63)</f>
        <v>72</v>
      </c>
    </row>
    <row r="64" spans="1:16" x14ac:dyDescent="0.3">
      <c r="A64" s="636"/>
      <c r="B64" s="637"/>
      <c r="C64" s="637"/>
      <c r="D64" s="637"/>
      <c r="E64" s="637"/>
      <c r="F64" s="637"/>
      <c r="G64" s="637"/>
      <c r="H64" s="637"/>
      <c r="I64" s="637"/>
      <c r="J64" s="637"/>
      <c r="K64" s="637"/>
      <c r="L64" s="637"/>
      <c r="M64" s="637"/>
      <c r="N64" s="637"/>
      <c r="O64" s="637"/>
      <c r="P64" s="638"/>
    </row>
    <row r="65" spans="1:16" ht="14.4" customHeight="1" x14ac:dyDescent="0.3">
      <c r="A65" s="617" t="s">
        <v>110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9"/>
    </row>
    <row r="66" spans="1:16" ht="15.6" x14ac:dyDescent="0.3">
      <c r="A66" s="622" t="s">
        <v>109</v>
      </c>
      <c r="B66" s="37" t="s">
        <v>85</v>
      </c>
      <c r="C66" s="5" t="s">
        <v>3</v>
      </c>
      <c r="D66" s="4">
        <v>134</v>
      </c>
      <c r="E66" s="4">
        <f>D71</f>
        <v>136</v>
      </c>
      <c r="F66" s="4">
        <f t="shared" ref="F66:K66" si="38">E71</f>
        <v>135</v>
      </c>
      <c r="G66" s="4">
        <f t="shared" si="38"/>
        <v>124</v>
      </c>
      <c r="H66" s="4">
        <f t="shared" si="38"/>
        <v>113</v>
      </c>
      <c r="I66" s="4">
        <f t="shared" si="38"/>
        <v>107</v>
      </c>
      <c r="J66" s="4">
        <f t="shared" si="38"/>
        <v>86</v>
      </c>
      <c r="K66" s="4">
        <f t="shared" si="38"/>
        <v>81</v>
      </c>
      <c r="L66" s="155">
        <v>71</v>
      </c>
      <c r="M66" s="4">
        <f t="shared" ref="M66" si="39">L71</f>
        <v>64</v>
      </c>
      <c r="N66" s="155">
        <v>58</v>
      </c>
      <c r="O66" s="155">
        <v>50</v>
      </c>
      <c r="P66" s="35">
        <f>D66</f>
        <v>134</v>
      </c>
    </row>
    <row r="67" spans="1:16" ht="15.6" x14ac:dyDescent="0.3">
      <c r="A67" s="623"/>
      <c r="B67" s="24" t="s">
        <v>104</v>
      </c>
      <c r="C67" s="5" t="s">
        <v>3</v>
      </c>
      <c r="D67" s="551">
        <v>9</v>
      </c>
      <c r="E67" s="4">
        <v>8</v>
      </c>
      <c r="F67" s="4"/>
      <c r="G67" s="4"/>
      <c r="H67" s="4">
        <v>1</v>
      </c>
      <c r="I67" s="4"/>
      <c r="J67" s="4">
        <v>5</v>
      </c>
      <c r="K67" s="4">
        <v>1</v>
      </c>
      <c r="L67" s="153"/>
      <c r="M67" s="4"/>
      <c r="N67" s="153"/>
      <c r="O67" s="153"/>
      <c r="P67" s="35">
        <f>SUM(D67:O67)</f>
        <v>24</v>
      </c>
    </row>
    <row r="68" spans="1:16" ht="27" x14ac:dyDescent="0.3">
      <c r="A68" s="623"/>
      <c r="B68" s="24" t="s">
        <v>103</v>
      </c>
      <c r="C68" s="5" t="s">
        <v>3</v>
      </c>
      <c r="D68" s="551">
        <v>7</v>
      </c>
      <c r="E68" s="4">
        <v>9</v>
      </c>
      <c r="F68" s="4">
        <v>11</v>
      </c>
      <c r="G68" s="4">
        <v>11</v>
      </c>
      <c r="H68" s="4">
        <v>7</v>
      </c>
      <c r="I68" s="4">
        <v>2</v>
      </c>
      <c r="J68" s="4">
        <v>10</v>
      </c>
      <c r="K68" s="4">
        <v>5</v>
      </c>
      <c r="L68" s="153">
        <v>4</v>
      </c>
      <c r="M68" s="4">
        <v>6</v>
      </c>
      <c r="N68" s="153">
        <v>8</v>
      </c>
      <c r="O68" s="153">
        <v>7</v>
      </c>
      <c r="P68" s="35">
        <f t="shared" ref="P68:P69" si="40">SUM(D68:O68)</f>
        <v>87</v>
      </c>
    </row>
    <row r="69" spans="1:16" s="2" customFormat="1" ht="27" x14ac:dyDescent="0.3">
      <c r="A69" s="623"/>
      <c r="B69" s="24" t="s">
        <v>102</v>
      </c>
      <c r="C69" s="11" t="s">
        <v>3</v>
      </c>
      <c r="D69" s="551"/>
      <c r="E69" s="4"/>
      <c r="F69" s="4"/>
      <c r="G69" s="4"/>
      <c r="H69" s="4"/>
      <c r="I69" s="4">
        <v>19</v>
      </c>
      <c r="J69" s="153"/>
      <c r="K69" s="4">
        <v>6</v>
      </c>
      <c r="L69" s="153">
        <v>3</v>
      </c>
      <c r="M69" s="4"/>
      <c r="N69" s="153"/>
      <c r="O69" s="153"/>
      <c r="P69" s="74">
        <f t="shared" si="40"/>
        <v>28</v>
      </c>
    </row>
    <row r="70" spans="1:16" s="2" customFormat="1" ht="15.6" x14ac:dyDescent="0.3">
      <c r="A70" s="623"/>
      <c r="B70" s="24" t="s">
        <v>188</v>
      </c>
      <c r="C70" s="11" t="s">
        <v>3</v>
      </c>
      <c r="D70" s="4">
        <f>D68+D69</f>
        <v>7</v>
      </c>
      <c r="E70" s="4">
        <f t="shared" ref="E70:I70" si="41">E68+E69</f>
        <v>9</v>
      </c>
      <c r="F70" s="4">
        <f t="shared" si="41"/>
        <v>11</v>
      </c>
      <c r="G70" s="4">
        <f t="shared" si="41"/>
        <v>11</v>
      </c>
      <c r="H70" s="4">
        <f t="shared" si="41"/>
        <v>7</v>
      </c>
      <c r="I70" s="4">
        <f t="shared" si="41"/>
        <v>21</v>
      </c>
      <c r="J70" s="153">
        <f t="shared" ref="J70:K70" si="42">J68+J69</f>
        <v>10</v>
      </c>
      <c r="K70" s="4">
        <f t="shared" si="42"/>
        <v>11</v>
      </c>
      <c r="L70" s="153">
        <v>7</v>
      </c>
      <c r="M70" s="4">
        <f t="shared" ref="M70" si="43">M68+M69</f>
        <v>6</v>
      </c>
      <c r="N70" s="153">
        <v>8</v>
      </c>
      <c r="O70" s="153">
        <v>7</v>
      </c>
      <c r="P70" s="200">
        <f t="shared" ref="P70" si="44">P68+P69</f>
        <v>115</v>
      </c>
    </row>
    <row r="71" spans="1:16" ht="15.6" x14ac:dyDescent="0.3">
      <c r="A71" s="624"/>
      <c r="B71" s="37" t="s">
        <v>81</v>
      </c>
      <c r="C71" s="5" t="s">
        <v>3</v>
      </c>
      <c r="D71" s="26">
        <f>D66+D67-D70</f>
        <v>136</v>
      </c>
      <c r="E71" s="26">
        <f t="shared" ref="E71:I71" si="45">E66+E67-E70</f>
        <v>135</v>
      </c>
      <c r="F71" s="26">
        <f t="shared" si="45"/>
        <v>124</v>
      </c>
      <c r="G71" s="26">
        <f t="shared" si="45"/>
        <v>113</v>
      </c>
      <c r="H71" s="26">
        <f t="shared" si="45"/>
        <v>107</v>
      </c>
      <c r="I71" s="26">
        <f t="shared" si="45"/>
        <v>86</v>
      </c>
      <c r="J71" s="156">
        <f t="shared" ref="J71:K71" si="46">J66+J67-J70</f>
        <v>81</v>
      </c>
      <c r="K71" s="26">
        <f t="shared" si="46"/>
        <v>71</v>
      </c>
      <c r="L71" s="156">
        <v>64</v>
      </c>
      <c r="M71" s="156">
        <f t="shared" ref="M71" si="47">M66+M67-M70</f>
        <v>58</v>
      </c>
      <c r="N71" s="156">
        <v>50</v>
      </c>
      <c r="O71" s="156">
        <v>43</v>
      </c>
      <c r="P71" s="157">
        <f>P66+P67-P70</f>
        <v>43</v>
      </c>
    </row>
    <row r="72" spans="1:16" ht="15.6" x14ac:dyDescent="0.3">
      <c r="A72" s="622" t="s">
        <v>108</v>
      </c>
      <c r="B72" s="37" t="s">
        <v>85</v>
      </c>
      <c r="C72" s="5" t="s">
        <v>3</v>
      </c>
      <c r="D72" s="4"/>
      <c r="E72" s="4">
        <f>D77</f>
        <v>0</v>
      </c>
      <c r="F72" s="4">
        <f t="shared" ref="F72:G72" si="48">E77</f>
        <v>0</v>
      </c>
      <c r="G72" s="4">
        <f t="shared" si="48"/>
        <v>0</v>
      </c>
      <c r="H72" s="155"/>
      <c r="I72" s="155"/>
      <c r="J72" s="155"/>
      <c r="K72" s="155"/>
      <c r="L72" s="155"/>
      <c r="M72" s="155"/>
      <c r="N72" s="155"/>
      <c r="O72" s="155"/>
      <c r="P72" s="35">
        <f>D72</f>
        <v>0</v>
      </c>
    </row>
    <row r="73" spans="1:16" ht="15.6" x14ac:dyDescent="0.3">
      <c r="A73" s="623"/>
      <c r="B73" s="24" t="s">
        <v>104</v>
      </c>
      <c r="C73" s="5" t="s">
        <v>3</v>
      </c>
      <c r="D73" s="551"/>
      <c r="E73" s="4"/>
      <c r="F73" s="4"/>
      <c r="G73" s="4"/>
      <c r="H73" s="153"/>
      <c r="I73" s="153"/>
      <c r="J73" s="153"/>
      <c r="K73" s="153"/>
      <c r="L73" s="153"/>
      <c r="M73" s="153"/>
      <c r="N73" s="153"/>
      <c r="O73" s="153"/>
      <c r="P73" s="35">
        <f>SUM(D73:O73)</f>
        <v>0</v>
      </c>
    </row>
    <row r="74" spans="1:16" ht="27" x14ac:dyDescent="0.3">
      <c r="A74" s="623"/>
      <c r="B74" s="24" t="s">
        <v>103</v>
      </c>
      <c r="C74" s="5" t="s">
        <v>3</v>
      </c>
      <c r="D74" s="551"/>
      <c r="E74" s="4"/>
      <c r="F74" s="4"/>
      <c r="G74" s="4"/>
      <c r="H74" s="153"/>
      <c r="I74" s="153"/>
      <c r="J74" s="153"/>
      <c r="K74" s="153"/>
      <c r="L74" s="153"/>
      <c r="M74" s="153"/>
      <c r="N74" s="153"/>
      <c r="O74" s="153"/>
      <c r="P74" s="35">
        <f>SUM(D74:O74)</f>
        <v>0</v>
      </c>
    </row>
    <row r="75" spans="1:16" s="2" customFormat="1" ht="27" x14ac:dyDescent="0.3">
      <c r="A75" s="623"/>
      <c r="B75" s="24" t="s">
        <v>102</v>
      </c>
      <c r="C75" s="11" t="s">
        <v>3</v>
      </c>
      <c r="D75" s="551"/>
      <c r="E75" s="4"/>
      <c r="F75" s="4"/>
      <c r="G75" s="4"/>
      <c r="H75" s="153"/>
      <c r="I75" s="153"/>
      <c r="J75" s="153"/>
      <c r="K75" s="153"/>
      <c r="L75" s="153"/>
      <c r="M75" s="153"/>
      <c r="N75" s="153"/>
      <c r="O75" s="153"/>
      <c r="P75" s="35">
        <f>SUM(D75:O75)</f>
        <v>0</v>
      </c>
    </row>
    <row r="76" spans="1:16" s="2" customFormat="1" ht="15.6" x14ac:dyDescent="0.3">
      <c r="A76" s="623"/>
      <c r="B76" s="24" t="s">
        <v>188</v>
      </c>
      <c r="C76" s="11" t="s">
        <v>3</v>
      </c>
      <c r="D76" s="4">
        <f>D74+D75</f>
        <v>0</v>
      </c>
      <c r="E76" s="4">
        <f t="shared" ref="E76:G76" si="49">E74+E75</f>
        <v>0</v>
      </c>
      <c r="F76" s="4">
        <f t="shared" si="49"/>
        <v>0</v>
      </c>
      <c r="G76" s="4">
        <f t="shared" si="49"/>
        <v>0</v>
      </c>
      <c r="H76" s="153">
        <f t="shared" ref="H76:I76" si="50">H74+H75</f>
        <v>0</v>
      </c>
      <c r="I76" s="153">
        <f t="shared" si="50"/>
        <v>0</v>
      </c>
      <c r="J76" s="153">
        <f t="shared" ref="J76:K76" si="51">J74+J75</f>
        <v>0</v>
      </c>
      <c r="K76" s="153">
        <f t="shared" si="51"/>
        <v>0</v>
      </c>
      <c r="L76" s="153">
        <f t="shared" ref="L76:M76" si="52">L74+L75</f>
        <v>0</v>
      </c>
      <c r="M76" s="153">
        <f t="shared" si="52"/>
        <v>0</v>
      </c>
      <c r="N76" s="153">
        <f t="shared" ref="N76" si="53">N74+N75</f>
        <v>0</v>
      </c>
      <c r="O76" s="153">
        <v>0</v>
      </c>
      <c r="P76" s="159">
        <f t="shared" ref="P76" si="54">P74+P75</f>
        <v>0</v>
      </c>
    </row>
    <row r="77" spans="1:16" ht="15.6" x14ac:dyDescent="0.3">
      <c r="A77" s="624"/>
      <c r="B77" s="37" t="s">
        <v>81</v>
      </c>
      <c r="C77" s="5" t="s">
        <v>3</v>
      </c>
      <c r="D77" s="26">
        <f>D72+D73-D76</f>
        <v>0</v>
      </c>
      <c r="E77" s="26">
        <f t="shared" ref="E77:G77" si="55">E72+E73-E76</f>
        <v>0</v>
      </c>
      <c r="F77" s="26">
        <f t="shared" si="55"/>
        <v>0</v>
      </c>
      <c r="G77" s="26">
        <f t="shared" si="55"/>
        <v>0</v>
      </c>
      <c r="H77" s="156">
        <f t="shared" ref="H77:P77" si="56">H72+H73-H76</f>
        <v>0</v>
      </c>
      <c r="I77" s="156">
        <f t="shared" si="56"/>
        <v>0</v>
      </c>
      <c r="J77" s="156">
        <f t="shared" si="56"/>
        <v>0</v>
      </c>
      <c r="K77" s="156">
        <f t="shared" si="56"/>
        <v>0</v>
      </c>
      <c r="L77" s="156">
        <f t="shared" si="56"/>
        <v>0</v>
      </c>
      <c r="M77" s="156">
        <f t="shared" si="56"/>
        <v>0</v>
      </c>
      <c r="N77" s="156">
        <f t="shared" si="56"/>
        <v>0</v>
      </c>
      <c r="O77" s="156">
        <v>0</v>
      </c>
      <c r="P77" s="156">
        <f t="shared" si="56"/>
        <v>0</v>
      </c>
    </row>
    <row r="78" spans="1:16" ht="15.6" customHeight="1" x14ac:dyDescent="0.3">
      <c r="A78" s="622" t="s">
        <v>107</v>
      </c>
      <c r="B78" s="37" t="s">
        <v>85</v>
      </c>
      <c r="C78" s="5" t="s">
        <v>3</v>
      </c>
      <c r="D78" s="4"/>
      <c r="E78" s="4">
        <f>D83</f>
        <v>0</v>
      </c>
      <c r="F78" s="4">
        <f t="shared" ref="F78:G78" si="57">E83</f>
        <v>0</v>
      </c>
      <c r="G78" s="4">
        <f t="shared" si="57"/>
        <v>0</v>
      </c>
      <c r="H78" s="155"/>
      <c r="I78" s="155"/>
      <c r="J78" s="155"/>
      <c r="K78" s="155"/>
      <c r="L78" s="155"/>
      <c r="M78" s="155"/>
      <c r="N78" s="155"/>
      <c r="O78" s="155"/>
      <c r="P78" s="35">
        <f>D78</f>
        <v>0</v>
      </c>
    </row>
    <row r="79" spans="1:16" ht="15.6" x14ac:dyDescent="0.3">
      <c r="A79" s="623"/>
      <c r="B79" s="24" t="s">
        <v>104</v>
      </c>
      <c r="C79" s="5" t="s">
        <v>3</v>
      </c>
      <c r="D79" s="551"/>
      <c r="E79" s="4"/>
      <c r="F79" s="4"/>
      <c r="G79" s="4"/>
      <c r="H79" s="153"/>
      <c r="I79" s="153"/>
      <c r="J79" s="153"/>
      <c r="K79" s="153"/>
      <c r="L79" s="153"/>
      <c r="M79" s="153"/>
      <c r="N79" s="153"/>
      <c r="O79" s="153"/>
      <c r="P79" s="35">
        <f>SUM(D79:O79)</f>
        <v>0</v>
      </c>
    </row>
    <row r="80" spans="1:16" ht="27" x14ac:dyDescent="0.3">
      <c r="A80" s="623"/>
      <c r="B80" s="24" t="s">
        <v>103</v>
      </c>
      <c r="C80" s="5" t="s">
        <v>3</v>
      </c>
      <c r="D80" s="551"/>
      <c r="E80" s="4"/>
      <c r="F80" s="4"/>
      <c r="G80" s="4"/>
      <c r="H80" s="153"/>
      <c r="I80" s="153"/>
      <c r="J80" s="153"/>
      <c r="K80" s="153"/>
      <c r="L80" s="153"/>
      <c r="M80" s="153"/>
      <c r="N80" s="153"/>
      <c r="O80" s="153"/>
      <c r="P80" s="35">
        <f>SUM(D80:O80)</f>
        <v>0</v>
      </c>
    </row>
    <row r="81" spans="1:16" s="2" customFormat="1" ht="27" x14ac:dyDescent="0.3">
      <c r="A81" s="623"/>
      <c r="B81" s="24" t="s">
        <v>102</v>
      </c>
      <c r="C81" s="11" t="s">
        <v>3</v>
      </c>
      <c r="D81" s="551"/>
      <c r="E81" s="4"/>
      <c r="F81" s="4"/>
      <c r="G81" s="4"/>
      <c r="H81" s="153"/>
      <c r="I81" s="153"/>
      <c r="J81" s="153"/>
      <c r="K81" s="153"/>
      <c r="L81" s="153"/>
      <c r="M81" s="153"/>
      <c r="N81" s="153"/>
      <c r="O81" s="153"/>
      <c r="P81" s="74">
        <f>SUM(D81:O81)</f>
        <v>0</v>
      </c>
    </row>
    <row r="82" spans="1:16" s="2" customFormat="1" ht="15.6" x14ac:dyDescent="0.3">
      <c r="A82" s="623"/>
      <c r="B82" s="24" t="s">
        <v>188</v>
      </c>
      <c r="C82" s="11" t="s">
        <v>3</v>
      </c>
      <c r="D82" s="4">
        <f>D80+D81</f>
        <v>0</v>
      </c>
      <c r="E82" s="4">
        <f t="shared" ref="E82:G82" si="58">E80+E81</f>
        <v>0</v>
      </c>
      <c r="F82" s="4">
        <f t="shared" si="58"/>
        <v>0</v>
      </c>
      <c r="G82" s="4">
        <f t="shared" si="58"/>
        <v>0</v>
      </c>
      <c r="H82" s="153">
        <f t="shared" ref="H82:I82" si="59">H81+H80</f>
        <v>0</v>
      </c>
      <c r="I82" s="153">
        <f t="shared" si="59"/>
        <v>0</v>
      </c>
      <c r="J82" s="153">
        <f t="shared" ref="J82:K82" si="60">J81+J80</f>
        <v>0</v>
      </c>
      <c r="K82" s="153">
        <f t="shared" si="60"/>
        <v>0</v>
      </c>
      <c r="L82" s="153">
        <f t="shared" ref="L82:M82" si="61">L81+L80</f>
        <v>0</v>
      </c>
      <c r="M82" s="153">
        <f t="shared" si="61"/>
        <v>0</v>
      </c>
      <c r="N82" s="153">
        <f t="shared" ref="N82" si="62">N81+N80</f>
        <v>0</v>
      </c>
      <c r="O82" s="153">
        <v>0</v>
      </c>
      <c r="P82" s="159">
        <f t="shared" ref="P82" si="63">P81+P80</f>
        <v>0</v>
      </c>
    </row>
    <row r="83" spans="1:16" ht="15.6" x14ac:dyDescent="0.3">
      <c r="A83" s="624"/>
      <c r="B83" s="37" t="s">
        <v>81</v>
      </c>
      <c r="C83" s="5" t="s">
        <v>3</v>
      </c>
      <c r="D83" s="26">
        <f>D78+D79-D82</f>
        <v>0</v>
      </c>
      <c r="E83" s="26">
        <f t="shared" ref="E83:G83" si="64">E78+E79-E82</f>
        <v>0</v>
      </c>
      <c r="F83" s="26">
        <f t="shared" si="64"/>
        <v>0</v>
      </c>
      <c r="G83" s="26">
        <f t="shared" si="64"/>
        <v>0</v>
      </c>
      <c r="H83" s="132">
        <f t="shared" ref="H83:I83" si="65">H78+H79-H82</f>
        <v>0</v>
      </c>
      <c r="I83" s="132">
        <f t="shared" si="65"/>
        <v>0</v>
      </c>
      <c r="J83" s="132">
        <f t="shared" ref="J83:K83" si="66">J78+J79-J82</f>
        <v>0</v>
      </c>
      <c r="K83" s="132">
        <f t="shared" si="66"/>
        <v>0</v>
      </c>
      <c r="L83" s="132">
        <f t="shared" ref="L83:M83" si="67">L78+L79-L82</f>
        <v>0</v>
      </c>
      <c r="M83" s="132">
        <f t="shared" si="67"/>
        <v>0</v>
      </c>
      <c r="N83" s="132">
        <f t="shared" ref="N83" si="68">N78+N79-N82</f>
        <v>0</v>
      </c>
      <c r="O83" s="132">
        <v>0</v>
      </c>
      <c r="P83" s="158">
        <f t="shared" ref="P83" si="69">P78+P79-P82</f>
        <v>0</v>
      </c>
    </row>
    <row r="84" spans="1:16" ht="15.6" x14ac:dyDescent="0.3">
      <c r="A84" s="625" t="s">
        <v>106</v>
      </c>
      <c r="B84" s="37" t="s">
        <v>85</v>
      </c>
      <c r="C84" s="5" t="s">
        <v>3</v>
      </c>
      <c r="D84" s="4"/>
      <c r="E84" s="4">
        <f>D89</f>
        <v>0</v>
      </c>
      <c r="F84" s="4">
        <f t="shared" ref="F84:G84" si="70">E89</f>
        <v>0</v>
      </c>
      <c r="G84" s="4">
        <f t="shared" si="70"/>
        <v>0</v>
      </c>
      <c r="H84" s="155"/>
      <c r="I84" s="155"/>
      <c r="J84" s="155"/>
      <c r="K84" s="155"/>
      <c r="L84" s="155"/>
      <c r="M84" s="155"/>
      <c r="N84" s="155"/>
      <c r="O84" s="155"/>
      <c r="P84" s="35">
        <f>D84</f>
        <v>0</v>
      </c>
    </row>
    <row r="85" spans="1:16" ht="15.6" x14ac:dyDescent="0.3">
      <c r="A85" s="626"/>
      <c r="B85" s="37" t="s">
        <v>104</v>
      </c>
      <c r="C85" s="5" t="s">
        <v>3</v>
      </c>
      <c r="D85" s="551"/>
      <c r="E85" s="4"/>
      <c r="F85" s="4"/>
      <c r="G85" s="4"/>
      <c r="H85" s="153"/>
      <c r="I85" s="153"/>
      <c r="J85" s="153"/>
      <c r="K85" s="153"/>
      <c r="L85" s="153"/>
      <c r="M85" s="153"/>
      <c r="N85" s="153"/>
      <c r="O85" s="153"/>
      <c r="P85" s="35">
        <f>SUM(D85:O85)</f>
        <v>0</v>
      </c>
    </row>
    <row r="86" spans="1:16" ht="27" x14ac:dyDescent="0.3">
      <c r="A86" s="626"/>
      <c r="B86" s="37" t="s">
        <v>103</v>
      </c>
      <c r="C86" s="5" t="s">
        <v>3</v>
      </c>
      <c r="D86" s="551"/>
      <c r="E86" s="4"/>
      <c r="F86" s="4"/>
      <c r="G86" s="4"/>
      <c r="H86" s="153"/>
      <c r="I86" s="153"/>
      <c r="J86" s="153"/>
      <c r="K86" s="153"/>
      <c r="L86" s="153"/>
      <c r="M86" s="153"/>
      <c r="N86" s="153"/>
      <c r="O86" s="153"/>
      <c r="P86" s="35">
        <f>SUM(D86:O86)</f>
        <v>0</v>
      </c>
    </row>
    <row r="87" spans="1:16" s="2" customFormat="1" ht="27" x14ac:dyDescent="0.3">
      <c r="A87" s="626"/>
      <c r="B87" s="24" t="s">
        <v>102</v>
      </c>
      <c r="C87" s="11" t="s">
        <v>3</v>
      </c>
      <c r="D87" s="551"/>
      <c r="E87" s="4"/>
      <c r="F87" s="4"/>
      <c r="G87" s="4"/>
      <c r="H87" s="153"/>
      <c r="I87" s="153"/>
      <c r="J87" s="153"/>
      <c r="K87" s="153"/>
      <c r="L87" s="153"/>
      <c r="M87" s="153"/>
      <c r="N87" s="153"/>
      <c r="O87" s="153"/>
      <c r="P87" s="74">
        <f>SUM(D87:O87)</f>
        <v>0</v>
      </c>
    </row>
    <row r="88" spans="1:16" s="2" customFormat="1" ht="15.6" x14ac:dyDescent="0.3">
      <c r="A88" s="626"/>
      <c r="B88" s="24" t="s">
        <v>188</v>
      </c>
      <c r="C88" s="11" t="s">
        <v>3</v>
      </c>
      <c r="D88" s="4">
        <f>D86+D87</f>
        <v>0</v>
      </c>
      <c r="E88" s="4">
        <f t="shared" ref="E88:G88" si="71">E86+E87</f>
        <v>0</v>
      </c>
      <c r="F88" s="4">
        <f t="shared" si="71"/>
        <v>0</v>
      </c>
      <c r="G88" s="4">
        <f t="shared" si="71"/>
        <v>0</v>
      </c>
      <c r="H88" s="153">
        <v>0</v>
      </c>
      <c r="I88" s="153">
        <v>0</v>
      </c>
      <c r="J88" s="153">
        <v>0</v>
      </c>
      <c r="K88" s="153">
        <v>0</v>
      </c>
      <c r="L88" s="153">
        <v>0</v>
      </c>
      <c r="M88" s="153">
        <v>0</v>
      </c>
      <c r="N88" s="153">
        <v>0</v>
      </c>
      <c r="O88" s="153">
        <v>0</v>
      </c>
      <c r="P88" s="74">
        <f>SUM(D88:O88)</f>
        <v>0</v>
      </c>
    </row>
    <row r="89" spans="1:16" ht="15.6" x14ac:dyDescent="0.3">
      <c r="A89" s="627"/>
      <c r="B89" s="36" t="s">
        <v>81</v>
      </c>
      <c r="C89" s="5" t="s">
        <v>3</v>
      </c>
      <c r="D89" s="26">
        <f>D84+D85-D88</f>
        <v>0</v>
      </c>
      <c r="E89" s="26">
        <f t="shared" ref="E89:G89" si="72">E84+E85-E88</f>
        <v>0</v>
      </c>
      <c r="F89" s="26">
        <f t="shared" si="72"/>
        <v>0</v>
      </c>
      <c r="G89" s="26">
        <f t="shared" si="72"/>
        <v>0</v>
      </c>
      <c r="H89" s="156">
        <f t="shared" ref="H89:P89" si="73">H84+H85-H88</f>
        <v>0</v>
      </c>
      <c r="I89" s="156">
        <f t="shared" si="73"/>
        <v>0</v>
      </c>
      <c r="J89" s="156">
        <f t="shared" si="73"/>
        <v>0</v>
      </c>
      <c r="K89" s="156">
        <f t="shared" si="73"/>
        <v>0</v>
      </c>
      <c r="L89" s="156">
        <f t="shared" si="73"/>
        <v>0</v>
      </c>
      <c r="M89" s="156">
        <f t="shared" si="73"/>
        <v>0</v>
      </c>
      <c r="N89" s="156">
        <f t="shared" si="73"/>
        <v>0</v>
      </c>
      <c r="O89" s="156">
        <v>0</v>
      </c>
      <c r="P89" s="156">
        <f t="shared" si="73"/>
        <v>0</v>
      </c>
    </row>
    <row r="90" spans="1:16" ht="15.6" x14ac:dyDescent="0.3">
      <c r="A90" s="628" t="s">
        <v>105</v>
      </c>
      <c r="B90" s="24" t="s">
        <v>85</v>
      </c>
      <c r="C90" s="11" t="s">
        <v>3</v>
      </c>
      <c r="D90" s="558">
        <f>D66+D72+D78+D84</f>
        <v>134</v>
      </c>
      <c r="E90" s="558">
        <f t="shared" ref="E90:G95" si="74">E66+E72+E78+E84</f>
        <v>136</v>
      </c>
      <c r="F90" s="558">
        <f t="shared" si="74"/>
        <v>135</v>
      </c>
      <c r="G90" s="558">
        <f t="shared" si="74"/>
        <v>124</v>
      </c>
      <c r="H90" s="136">
        <f t="shared" ref="H90:I90" si="75">H66+H72+H78+H84</f>
        <v>113</v>
      </c>
      <c r="I90" s="136">
        <f t="shared" si="75"/>
        <v>107</v>
      </c>
      <c r="J90" s="136">
        <f t="shared" ref="J90:K90" si="76">J66+J72+J78+J84</f>
        <v>86</v>
      </c>
      <c r="K90" s="136">
        <f t="shared" si="76"/>
        <v>81</v>
      </c>
      <c r="L90" s="136">
        <f t="shared" ref="L90:M90" si="77">L66+L72+L78+L84</f>
        <v>71</v>
      </c>
      <c r="M90" s="136">
        <f t="shared" si="77"/>
        <v>64</v>
      </c>
      <c r="N90" s="136">
        <f t="shared" ref="N90" si="78">N66+N72+N78+N84</f>
        <v>58</v>
      </c>
      <c r="O90" s="136">
        <v>50</v>
      </c>
      <c r="P90" s="35">
        <f>D90</f>
        <v>134</v>
      </c>
    </row>
    <row r="91" spans="1:16" ht="15.6" x14ac:dyDescent="0.3">
      <c r="A91" s="629"/>
      <c r="B91" s="24" t="s">
        <v>104</v>
      </c>
      <c r="C91" s="11" t="s">
        <v>3</v>
      </c>
      <c r="D91" s="558">
        <f t="shared" ref="D91:D95" si="79">D67+D73+D79+D85</f>
        <v>9</v>
      </c>
      <c r="E91" s="558">
        <f t="shared" si="74"/>
        <v>8</v>
      </c>
      <c r="F91" s="558">
        <f t="shared" si="74"/>
        <v>0</v>
      </c>
      <c r="G91" s="558">
        <f t="shared" si="74"/>
        <v>0</v>
      </c>
      <c r="H91" s="136">
        <f t="shared" ref="H91" si="80">H67+H73+H79+H85</f>
        <v>1</v>
      </c>
      <c r="I91" s="136">
        <f t="shared" ref="I91:J91" si="81">I67+I73+I79+I85</f>
        <v>0</v>
      </c>
      <c r="J91" s="136">
        <f t="shared" si="81"/>
        <v>5</v>
      </c>
      <c r="K91" s="136">
        <f t="shared" ref="K91:L91" si="82">K67+K73+K79+K85</f>
        <v>1</v>
      </c>
      <c r="L91" s="136">
        <f t="shared" si="82"/>
        <v>0</v>
      </c>
      <c r="M91" s="136">
        <f t="shared" ref="M91:N91" si="83">M67+M73+M79+M85</f>
        <v>0</v>
      </c>
      <c r="N91" s="136">
        <f t="shared" si="83"/>
        <v>0</v>
      </c>
      <c r="O91" s="136">
        <v>0</v>
      </c>
      <c r="P91" s="35">
        <f>SUM(D91:O91)</f>
        <v>24</v>
      </c>
    </row>
    <row r="92" spans="1:16" ht="27" x14ac:dyDescent="0.3">
      <c r="A92" s="629"/>
      <c r="B92" s="24" t="s">
        <v>103</v>
      </c>
      <c r="C92" s="11" t="s">
        <v>3</v>
      </c>
      <c r="D92" s="558">
        <f t="shared" si="79"/>
        <v>7</v>
      </c>
      <c r="E92" s="558">
        <f t="shared" si="74"/>
        <v>9</v>
      </c>
      <c r="F92" s="558">
        <f t="shared" si="74"/>
        <v>11</v>
      </c>
      <c r="G92" s="558">
        <f t="shared" si="74"/>
        <v>11</v>
      </c>
      <c r="H92" s="136">
        <f t="shared" ref="H92" si="84">H68+H74+H80+H86</f>
        <v>7</v>
      </c>
      <c r="I92" s="136">
        <f t="shared" ref="I92:J92" si="85">I68+I74+I80+I86</f>
        <v>2</v>
      </c>
      <c r="J92" s="136">
        <f t="shared" si="85"/>
        <v>10</v>
      </c>
      <c r="K92" s="136">
        <f t="shared" ref="K92:L92" si="86">K68+K74+K80+K86</f>
        <v>5</v>
      </c>
      <c r="L92" s="136">
        <f t="shared" si="86"/>
        <v>4</v>
      </c>
      <c r="M92" s="136">
        <f t="shared" ref="M92:N92" si="87">M68+M74+M80+M86</f>
        <v>6</v>
      </c>
      <c r="N92" s="136">
        <f t="shared" si="87"/>
        <v>8</v>
      </c>
      <c r="O92" s="136">
        <v>7</v>
      </c>
      <c r="P92" s="35">
        <f>SUM(D92:O92)</f>
        <v>87</v>
      </c>
    </row>
    <row r="93" spans="1:16" s="2" customFormat="1" ht="27" x14ac:dyDescent="0.3">
      <c r="A93" s="629"/>
      <c r="B93" s="24" t="s">
        <v>102</v>
      </c>
      <c r="C93" s="11"/>
      <c r="D93" s="558">
        <f t="shared" si="79"/>
        <v>0</v>
      </c>
      <c r="E93" s="558">
        <f t="shared" si="74"/>
        <v>0</v>
      </c>
      <c r="F93" s="558">
        <f t="shared" si="74"/>
        <v>0</v>
      </c>
      <c r="G93" s="558">
        <f t="shared" si="74"/>
        <v>0</v>
      </c>
      <c r="H93" s="136">
        <f t="shared" ref="H93" si="88">H69+H75+H81+H87</f>
        <v>0</v>
      </c>
      <c r="I93" s="136">
        <f t="shared" ref="I93:J93" si="89">I69+I75+I81+I87</f>
        <v>19</v>
      </c>
      <c r="J93" s="136">
        <f t="shared" si="89"/>
        <v>0</v>
      </c>
      <c r="K93" s="136">
        <f t="shared" ref="K93:L93" si="90">K69+K75+K81+K87</f>
        <v>6</v>
      </c>
      <c r="L93" s="136">
        <f t="shared" si="90"/>
        <v>3</v>
      </c>
      <c r="M93" s="136">
        <f t="shared" ref="M93:N93" si="91">M69+M75+M81+M87</f>
        <v>0</v>
      </c>
      <c r="N93" s="136">
        <f t="shared" si="91"/>
        <v>0</v>
      </c>
      <c r="O93" s="136">
        <v>0</v>
      </c>
      <c r="P93" s="35">
        <f>SUM(D93:O93)</f>
        <v>28</v>
      </c>
    </row>
    <row r="94" spans="1:16" s="2" customFormat="1" ht="15.6" x14ac:dyDescent="0.3">
      <c r="A94" s="629"/>
      <c r="B94" s="24" t="s">
        <v>188</v>
      </c>
      <c r="C94" s="11" t="s">
        <v>3</v>
      </c>
      <c r="D94" s="558">
        <f t="shared" si="79"/>
        <v>7</v>
      </c>
      <c r="E94" s="558">
        <f t="shared" si="74"/>
        <v>9</v>
      </c>
      <c r="F94" s="558">
        <f t="shared" si="74"/>
        <v>11</v>
      </c>
      <c r="G94" s="558">
        <f t="shared" si="74"/>
        <v>11</v>
      </c>
      <c r="H94" s="137">
        <f t="shared" ref="H94:I94" si="92">H93+H92</f>
        <v>7</v>
      </c>
      <c r="I94" s="137">
        <f t="shared" si="92"/>
        <v>21</v>
      </c>
      <c r="J94" s="137">
        <f t="shared" ref="J94:K94" si="93">J93+J92</f>
        <v>10</v>
      </c>
      <c r="K94" s="137">
        <f t="shared" si="93"/>
        <v>11</v>
      </c>
      <c r="L94" s="137">
        <f t="shared" ref="L94:M94" si="94">L93+L92</f>
        <v>7</v>
      </c>
      <c r="M94" s="137">
        <f t="shared" si="94"/>
        <v>6</v>
      </c>
      <c r="N94" s="137">
        <f t="shared" ref="N94" si="95">N93+N92</f>
        <v>8</v>
      </c>
      <c r="O94" s="137">
        <v>7</v>
      </c>
      <c r="P94" s="107">
        <f t="shared" ref="P94" si="96">P93+P92</f>
        <v>115</v>
      </c>
    </row>
    <row r="95" spans="1:16" ht="16.2" thickBot="1" x14ac:dyDescent="0.35">
      <c r="A95" s="630"/>
      <c r="B95" s="24" t="s">
        <v>81</v>
      </c>
      <c r="C95" s="11" t="s">
        <v>3</v>
      </c>
      <c r="D95" s="558">
        <f t="shared" si="79"/>
        <v>136</v>
      </c>
      <c r="E95" s="558">
        <f t="shared" si="74"/>
        <v>135</v>
      </c>
      <c r="F95" s="558">
        <f t="shared" si="74"/>
        <v>124</v>
      </c>
      <c r="G95" s="558">
        <f t="shared" si="74"/>
        <v>113</v>
      </c>
      <c r="H95" s="138">
        <f t="shared" ref="H95:I95" si="97">H90+H91-H94</f>
        <v>107</v>
      </c>
      <c r="I95" s="138">
        <f t="shared" si="97"/>
        <v>86</v>
      </c>
      <c r="J95" s="138">
        <f t="shared" ref="J95:K95" si="98">J90+J91-J94</f>
        <v>81</v>
      </c>
      <c r="K95" s="138">
        <f t="shared" si="98"/>
        <v>71</v>
      </c>
      <c r="L95" s="138">
        <f t="shared" ref="L95:M95" si="99">L90+L91-L94</f>
        <v>64</v>
      </c>
      <c r="M95" s="138">
        <f t="shared" si="99"/>
        <v>58</v>
      </c>
      <c r="N95" s="138">
        <f t="shared" ref="N95" si="100">N90+N91-N94</f>
        <v>50</v>
      </c>
      <c r="O95" s="138">
        <v>43</v>
      </c>
      <c r="P95" s="145">
        <f t="shared" ref="P95" si="101">P90+P91-P94</f>
        <v>43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7"/>
    </row>
    <row r="97" spans="1:16" s="2" customFormat="1" ht="15.75" customHeight="1" thickBot="1" x14ac:dyDescent="0.35">
      <c r="A97" s="631" t="s">
        <v>189</v>
      </c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2"/>
      <c r="P97" s="633"/>
    </row>
    <row r="98" spans="1:16" ht="15.6" x14ac:dyDescent="0.3">
      <c r="A98" s="88" t="s">
        <v>190</v>
      </c>
      <c r="B98" s="69"/>
      <c r="C98" s="11" t="s">
        <v>3</v>
      </c>
      <c r="D98" s="70">
        <v>0</v>
      </c>
      <c r="E98" s="70"/>
      <c r="F98" s="70"/>
      <c r="G98" s="70"/>
      <c r="H98" s="70"/>
      <c r="I98" s="70"/>
      <c r="J98" s="71"/>
      <c r="K98" s="71"/>
      <c r="L98" s="71"/>
      <c r="M98" s="71"/>
      <c r="N98" s="71"/>
      <c r="O98" s="71"/>
      <c r="P98" s="108">
        <f>SUM(D98:O98)</f>
        <v>0</v>
      </c>
    </row>
    <row r="99" spans="1:16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7"/>
    </row>
    <row r="100" spans="1:16" s="2" customFormat="1" x14ac:dyDescent="0.3">
      <c r="A100" s="642" t="s">
        <v>101</v>
      </c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43"/>
      <c r="P100" s="644"/>
    </row>
    <row r="101" spans="1:16" ht="15.6" x14ac:dyDescent="0.3">
      <c r="A101" s="591" t="s">
        <v>100</v>
      </c>
      <c r="B101" s="592"/>
      <c r="C101" s="11" t="s">
        <v>3</v>
      </c>
      <c r="D101" s="551">
        <f>187+262+5</f>
        <v>454</v>
      </c>
      <c r="E101" s="4">
        <v>453</v>
      </c>
      <c r="F101" s="4">
        <v>487</v>
      </c>
      <c r="G101" s="4">
        <v>487</v>
      </c>
      <c r="H101" s="4">
        <v>498</v>
      </c>
      <c r="I101" s="4">
        <v>511</v>
      </c>
      <c r="J101" s="153">
        <v>521</v>
      </c>
      <c r="K101" s="4">
        <v>525</v>
      </c>
      <c r="L101" s="4">
        <v>598</v>
      </c>
      <c r="M101" s="4">
        <v>583</v>
      </c>
      <c r="N101" s="4">
        <v>571</v>
      </c>
      <c r="O101" s="4">
        <v>558</v>
      </c>
      <c r="P101" s="32">
        <f t="shared" ref="P101:P116" si="102">O101</f>
        <v>558</v>
      </c>
    </row>
    <row r="102" spans="1:16" ht="15.6" x14ac:dyDescent="0.3">
      <c r="A102" s="591" t="s">
        <v>99</v>
      </c>
      <c r="B102" s="592"/>
      <c r="C102" s="11" t="s">
        <v>3</v>
      </c>
      <c r="D102" s="551">
        <v>15</v>
      </c>
      <c r="E102" s="4">
        <v>10</v>
      </c>
      <c r="F102" s="4">
        <v>10</v>
      </c>
      <c r="G102" s="4">
        <v>10</v>
      </c>
      <c r="H102" s="4">
        <v>10</v>
      </c>
      <c r="I102" s="4">
        <v>10</v>
      </c>
      <c r="J102" s="153">
        <v>10</v>
      </c>
      <c r="K102" s="4">
        <v>10</v>
      </c>
      <c r="L102" s="4">
        <v>10</v>
      </c>
      <c r="M102" s="4">
        <v>10</v>
      </c>
      <c r="N102" s="4">
        <v>37</v>
      </c>
      <c r="O102" s="4">
        <v>42</v>
      </c>
      <c r="P102" s="32">
        <f t="shared" si="102"/>
        <v>42</v>
      </c>
    </row>
    <row r="103" spans="1:16" ht="15.6" customHeight="1" x14ac:dyDescent="0.3">
      <c r="A103" s="598" t="s">
        <v>98</v>
      </c>
      <c r="B103" s="599"/>
      <c r="C103" s="11" t="s">
        <v>3</v>
      </c>
      <c r="D103" s="551">
        <v>13</v>
      </c>
      <c r="E103" s="4">
        <v>12</v>
      </c>
      <c r="F103" s="4">
        <v>12</v>
      </c>
      <c r="G103" s="4">
        <v>12</v>
      </c>
      <c r="H103" s="4">
        <v>12</v>
      </c>
      <c r="I103" s="4">
        <v>12</v>
      </c>
      <c r="J103" s="153">
        <v>12</v>
      </c>
      <c r="K103" s="4">
        <v>12</v>
      </c>
      <c r="L103" s="4">
        <v>12</v>
      </c>
      <c r="M103" s="4">
        <v>12</v>
      </c>
      <c r="N103" s="4">
        <v>41</v>
      </c>
      <c r="O103" s="4">
        <v>56</v>
      </c>
      <c r="P103" s="32">
        <f t="shared" si="102"/>
        <v>56</v>
      </c>
    </row>
    <row r="104" spans="1:16" ht="15.6" x14ac:dyDescent="0.3">
      <c r="A104" s="598" t="s">
        <v>97</v>
      </c>
      <c r="B104" s="599"/>
      <c r="C104" s="11" t="s">
        <v>3</v>
      </c>
      <c r="D104" s="551">
        <v>16</v>
      </c>
      <c r="E104" s="4">
        <v>20</v>
      </c>
      <c r="F104" s="4">
        <v>20</v>
      </c>
      <c r="G104" s="4">
        <v>20</v>
      </c>
      <c r="H104" s="4">
        <v>20</v>
      </c>
      <c r="I104" s="4">
        <v>20</v>
      </c>
      <c r="J104" s="153">
        <v>20</v>
      </c>
      <c r="K104" s="4">
        <v>20</v>
      </c>
      <c r="L104" s="4">
        <v>20</v>
      </c>
      <c r="M104" s="4">
        <v>19</v>
      </c>
      <c r="N104" s="4">
        <v>19</v>
      </c>
      <c r="O104" s="4">
        <v>19</v>
      </c>
      <c r="P104" s="32">
        <f t="shared" si="102"/>
        <v>19</v>
      </c>
    </row>
    <row r="105" spans="1:16" ht="15.6" x14ac:dyDescent="0.3">
      <c r="A105" s="645" t="s">
        <v>96</v>
      </c>
      <c r="B105" s="646"/>
      <c r="C105" s="11" t="s">
        <v>3</v>
      </c>
      <c r="D105" s="33">
        <f>SUM(D101:D104)</f>
        <v>498</v>
      </c>
      <c r="E105" s="33">
        <f t="shared" ref="E105:N105" si="103">SUM(E101:E104)</f>
        <v>495</v>
      </c>
      <c r="F105" s="33">
        <f t="shared" si="103"/>
        <v>529</v>
      </c>
      <c r="G105" s="33">
        <f t="shared" si="103"/>
        <v>529</v>
      </c>
      <c r="H105" s="33">
        <f t="shared" si="103"/>
        <v>540</v>
      </c>
      <c r="I105" s="166">
        <f t="shared" si="103"/>
        <v>553</v>
      </c>
      <c r="J105" s="166">
        <f t="shared" si="103"/>
        <v>563</v>
      </c>
      <c r="K105" s="33">
        <f t="shared" si="103"/>
        <v>567</v>
      </c>
      <c r="L105" s="33">
        <f t="shared" si="103"/>
        <v>640</v>
      </c>
      <c r="M105" s="33">
        <f t="shared" si="103"/>
        <v>624</v>
      </c>
      <c r="N105" s="33">
        <f t="shared" si="103"/>
        <v>668</v>
      </c>
      <c r="O105" s="33">
        <v>675</v>
      </c>
      <c r="P105" s="32">
        <f t="shared" si="102"/>
        <v>675</v>
      </c>
    </row>
    <row r="106" spans="1:16" s="2" customFormat="1" ht="15.6" customHeight="1" x14ac:dyDescent="0.3">
      <c r="A106" s="639" t="s">
        <v>210</v>
      </c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40"/>
      <c r="P106" s="641"/>
    </row>
    <row r="107" spans="1:16" ht="15.6" x14ac:dyDescent="0.3">
      <c r="A107" s="591" t="s">
        <v>193</v>
      </c>
      <c r="B107" s="592"/>
      <c r="C107" s="11" t="s">
        <v>3</v>
      </c>
      <c r="D107" s="551">
        <f>57+6+693</f>
        <v>756</v>
      </c>
      <c r="E107" s="4">
        <f>D107+E69+D106-E106</f>
        <v>756</v>
      </c>
      <c r="F107" s="4">
        <f t="shared" ref="F107:G107" si="104">E107+F69+E106-F106</f>
        <v>756</v>
      </c>
      <c r="G107" s="4">
        <f t="shared" si="104"/>
        <v>756</v>
      </c>
      <c r="H107" s="4">
        <v>752</v>
      </c>
      <c r="I107" s="4">
        <v>741</v>
      </c>
      <c r="J107" s="4">
        <f t="shared" ref="J107" si="105">I107+J69+I106-J106</f>
        <v>741</v>
      </c>
      <c r="K107" s="4">
        <v>742</v>
      </c>
      <c r="L107" s="133">
        <v>673</v>
      </c>
      <c r="M107" s="4">
        <v>695</v>
      </c>
      <c r="N107" s="153">
        <v>659</v>
      </c>
      <c r="O107" s="153">
        <v>659</v>
      </c>
      <c r="P107" s="32">
        <f t="shared" si="102"/>
        <v>659</v>
      </c>
    </row>
    <row r="108" spans="1:16" ht="15.6" x14ac:dyDescent="0.3">
      <c r="A108" s="591" t="s">
        <v>194</v>
      </c>
      <c r="B108" s="592"/>
      <c r="C108" s="11" t="s">
        <v>3</v>
      </c>
      <c r="D108" s="551">
        <v>9</v>
      </c>
      <c r="E108" s="4">
        <f>D108+E75</f>
        <v>9</v>
      </c>
      <c r="F108" s="4">
        <f t="shared" ref="F108:G108" si="106">E108+F75</f>
        <v>9</v>
      </c>
      <c r="G108" s="4">
        <f t="shared" si="106"/>
        <v>9</v>
      </c>
      <c r="H108" s="4">
        <v>9</v>
      </c>
      <c r="I108" s="4">
        <v>9</v>
      </c>
      <c r="J108" s="4">
        <f t="shared" ref="J108" si="107">I108+J75</f>
        <v>9</v>
      </c>
      <c r="K108" s="4">
        <v>9</v>
      </c>
      <c r="L108" s="133">
        <v>9</v>
      </c>
      <c r="M108" s="4">
        <v>9</v>
      </c>
      <c r="N108" s="153">
        <v>9</v>
      </c>
      <c r="O108" s="153">
        <v>9</v>
      </c>
      <c r="P108" s="32">
        <f t="shared" si="102"/>
        <v>9</v>
      </c>
    </row>
    <row r="109" spans="1:16" ht="15.6" x14ac:dyDescent="0.3">
      <c r="A109" s="591" t="s">
        <v>195</v>
      </c>
      <c r="B109" s="592"/>
      <c r="C109" s="11" t="s">
        <v>3</v>
      </c>
      <c r="D109" s="551">
        <v>3</v>
      </c>
      <c r="E109" s="4">
        <f>D109+E81</f>
        <v>3</v>
      </c>
      <c r="F109" s="4">
        <f t="shared" ref="F109:G109" si="108">E109+F81</f>
        <v>3</v>
      </c>
      <c r="G109" s="4">
        <f t="shared" si="108"/>
        <v>3</v>
      </c>
      <c r="H109" s="4">
        <v>3</v>
      </c>
      <c r="I109" s="4">
        <v>3</v>
      </c>
      <c r="J109" s="4">
        <f t="shared" ref="J109" si="109">I109+J81</f>
        <v>3</v>
      </c>
      <c r="K109" s="4">
        <v>3</v>
      </c>
      <c r="L109" s="133">
        <v>3</v>
      </c>
      <c r="M109" s="4">
        <v>3</v>
      </c>
      <c r="N109" s="153">
        <v>3</v>
      </c>
      <c r="O109" s="153">
        <v>3</v>
      </c>
      <c r="P109" s="32">
        <f t="shared" si="102"/>
        <v>3</v>
      </c>
    </row>
    <row r="110" spans="1:16" ht="15.6" x14ac:dyDescent="0.3">
      <c r="A110" s="591" t="s">
        <v>196</v>
      </c>
      <c r="B110" s="592"/>
      <c r="C110" s="11" t="s">
        <v>3</v>
      </c>
      <c r="D110" s="551">
        <v>19</v>
      </c>
      <c r="E110" s="4">
        <f>D110+E87</f>
        <v>19</v>
      </c>
      <c r="F110" s="4">
        <f t="shared" ref="F110:G110" si="110">E110+F87</f>
        <v>19</v>
      </c>
      <c r="G110" s="4">
        <f t="shared" si="110"/>
        <v>19</v>
      </c>
      <c r="H110" s="4">
        <v>19</v>
      </c>
      <c r="I110" s="4">
        <v>19</v>
      </c>
      <c r="J110" s="4">
        <f t="shared" ref="J110" si="111">I110+J87</f>
        <v>19</v>
      </c>
      <c r="K110" s="4">
        <v>19</v>
      </c>
      <c r="L110" s="133">
        <v>19</v>
      </c>
      <c r="M110" s="4">
        <v>19</v>
      </c>
      <c r="N110" s="153">
        <v>19</v>
      </c>
      <c r="O110" s="153">
        <v>19</v>
      </c>
      <c r="P110" s="32">
        <f t="shared" si="102"/>
        <v>19</v>
      </c>
    </row>
    <row r="111" spans="1:16" ht="15.6" x14ac:dyDescent="0.3">
      <c r="A111" s="593" t="s">
        <v>95</v>
      </c>
      <c r="B111" s="594"/>
      <c r="C111" s="11" t="s">
        <v>3</v>
      </c>
      <c r="D111" s="33">
        <f>SUM(D107:D110)</f>
        <v>787</v>
      </c>
      <c r="E111" s="33">
        <f t="shared" ref="E111:N111" si="112">SUM(E107:E110)</f>
        <v>787</v>
      </c>
      <c r="F111" s="33">
        <f t="shared" si="112"/>
        <v>787</v>
      </c>
      <c r="G111" s="33">
        <f t="shared" si="112"/>
        <v>787</v>
      </c>
      <c r="H111" s="33">
        <f t="shared" si="112"/>
        <v>783</v>
      </c>
      <c r="I111" s="33">
        <f t="shared" si="112"/>
        <v>772</v>
      </c>
      <c r="J111" s="166">
        <f t="shared" si="112"/>
        <v>772</v>
      </c>
      <c r="K111" s="33">
        <f t="shared" si="112"/>
        <v>773</v>
      </c>
      <c r="L111" s="135">
        <f t="shared" si="112"/>
        <v>704</v>
      </c>
      <c r="M111" s="166">
        <f t="shared" si="112"/>
        <v>726</v>
      </c>
      <c r="N111" s="166">
        <f t="shared" si="112"/>
        <v>690</v>
      </c>
      <c r="O111" s="166">
        <v>690</v>
      </c>
      <c r="P111" s="32">
        <f t="shared" si="102"/>
        <v>690</v>
      </c>
    </row>
    <row r="112" spans="1:16" s="2" customFormat="1" ht="15.6" customHeight="1" x14ac:dyDescent="0.3">
      <c r="A112" s="642" t="s">
        <v>210</v>
      </c>
      <c r="B112" s="643"/>
      <c r="C112" s="643"/>
      <c r="D112" s="643"/>
      <c r="E112" s="643"/>
      <c r="F112" s="643"/>
      <c r="G112" s="643"/>
      <c r="H112" s="643"/>
      <c r="I112" s="643"/>
      <c r="J112" s="643"/>
      <c r="K112" s="643"/>
      <c r="L112" s="643"/>
      <c r="M112" s="643"/>
      <c r="N112" s="643"/>
      <c r="O112" s="643"/>
      <c r="P112" s="644"/>
    </row>
    <row r="113" spans="1:16" ht="15.6" x14ac:dyDescent="0.3">
      <c r="A113" s="591" t="s">
        <v>197</v>
      </c>
      <c r="B113" s="592"/>
      <c r="C113" s="11" t="s">
        <v>3</v>
      </c>
      <c r="D113" s="130">
        <v>316</v>
      </c>
      <c r="E113" s="130">
        <v>316</v>
      </c>
      <c r="F113" s="130">
        <v>316</v>
      </c>
      <c r="G113" s="128">
        <v>316</v>
      </c>
      <c r="H113" s="4">
        <v>316</v>
      </c>
      <c r="I113" s="4">
        <v>335</v>
      </c>
      <c r="J113" s="4">
        <v>335</v>
      </c>
      <c r="K113" s="4">
        <v>341</v>
      </c>
      <c r="L113" s="130">
        <v>344</v>
      </c>
      <c r="M113" s="130">
        <v>344</v>
      </c>
      <c r="N113" s="130">
        <v>344</v>
      </c>
      <c r="O113" s="130">
        <v>344</v>
      </c>
      <c r="P113" s="32">
        <f t="shared" si="102"/>
        <v>344</v>
      </c>
    </row>
    <row r="114" spans="1:16" ht="15.6" x14ac:dyDescent="0.3">
      <c r="A114" s="591" t="s">
        <v>198</v>
      </c>
      <c r="B114" s="592"/>
      <c r="C114" s="11" t="s">
        <v>3</v>
      </c>
      <c r="D114" s="130">
        <v>25</v>
      </c>
      <c r="E114" s="130">
        <v>25</v>
      </c>
      <c r="F114" s="130">
        <v>25</v>
      </c>
      <c r="G114" s="128">
        <v>25</v>
      </c>
      <c r="H114" s="4">
        <v>25</v>
      </c>
      <c r="I114" s="4">
        <v>25</v>
      </c>
      <c r="J114" s="4">
        <v>25</v>
      </c>
      <c r="K114" s="4">
        <v>25</v>
      </c>
      <c r="L114" s="130">
        <v>25</v>
      </c>
      <c r="M114" s="130">
        <v>25</v>
      </c>
      <c r="N114" s="130">
        <v>25</v>
      </c>
      <c r="O114" s="130">
        <v>25</v>
      </c>
      <c r="P114" s="32">
        <f t="shared" si="102"/>
        <v>25</v>
      </c>
    </row>
    <row r="115" spans="1:16" ht="15.6" x14ac:dyDescent="0.3">
      <c r="A115" s="591" t="s">
        <v>199</v>
      </c>
      <c r="B115" s="592"/>
      <c r="C115" s="11" t="s">
        <v>3</v>
      </c>
      <c r="D115" s="130">
        <v>34</v>
      </c>
      <c r="E115" s="130">
        <v>34</v>
      </c>
      <c r="F115" s="130">
        <v>34</v>
      </c>
      <c r="G115" s="128">
        <v>34</v>
      </c>
      <c r="H115" s="4">
        <v>34</v>
      </c>
      <c r="I115" s="4">
        <v>34</v>
      </c>
      <c r="J115" s="4">
        <v>34</v>
      </c>
      <c r="K115" s="4">
        <v>34</v>
      </c>
      <c r="L115" s="130">
        <v>34</v>
      </c>
      <c r="M115" s="130">
        <v>34</v>
      </c>
      <c r="N115" s="130">
        <v>34</v>
      </c>
      <c r="O115" s="130">
        <v>34</v>
      </c>
      <c r="P115" s="32">
        <f t="shared" si="102"/>
        <v>34</v>
      </c>
    </row>
    <row r="116" spans="1:16" ht="15.6" x14ac:dyDescent="0.3">
      <c r="A116" s="591" t="s">
        <v>200</v>
      </c>
      <c r="B116" s="592"/>
      <c r="C116" s="11" t="s">
        <v>3</v>
      </c>
      <c r="D116" s="130">
        <v>1</v>
      </c>
      <c r="E116" s="130">
        <v>1</v>
      </c>
      <c r="F116" s="130">
        <v>1</v>
      </c>
      <c r="G116" s="128">
        <v>1</v>
      </c>
      <c r="H116" s="4">
        <v>1</v>
      </c>
      <c r="I116" s="4">
        <v>1</v>
      </c>
      <c r="J116" s="4">
        <v>1</v>
      </c>
      <c r="K116" s="4">
        <v>1</v>
      </c>
      <c r="L116" s="130">
        <v>1</v>
      </c>
      <c r="M116" s="130">
        <v>1</v>
      </c>
      <c r="N116" s="130">
        <v>1</v>
      </c>
      <c r="O116" s="130">
        <v>1</v>
      </c>
      <c r="P116" s="32">
        <f t="shared" si="102"/>
        <v>1</v>
      </c>
    </row>
    <row r="117" spans="1:16" ht="15.6" x14ac:dyDescent="0.3">
      <c r="A117" s="593" t="s">
        <v>94</v>
      </c>
      <c r="B117" s="594"/>
      <c r="C117" s="11" t="s">
        <v>3</v>
      </c>
      <c r="D117" s="33">
        <f>SUM(D113:D116)</f>
        <v>376</v>
      </c>
      <c r="E117" s="33">
        <f t="shared" ref="E117:P117" si="113">SUM(E113:E116)</f>
        <v>376</v>
      </c>
      <c r="F117" s="33">
        <f t="shared" si="113"/>
        <v>376</v>
      </c>
      <c r="G117" s="33">
        <f t="shared" si="113"/>
        <v>376</v>
      </c>
      <c r="H117" s="33">
        <f t="shared" ref="H117" si="114">SUM(H113:H116)</f>
        <v>376</v>
      </c>
      <c r="I117" s="166">
        <f t="shared" si="113"/>
        <v>395</v>
      </c>
      <c r="J117" s="166">
        <f t="shared" ref="J117:K117" si="115">SUM(J113:J116)</f>
        <v>395</v>
      </c>
      <c r="K117" s="166">
        <f t="shared" si="115"/>
        <v>401</v>
      </c>
      <c r="L117" s="33">
        <f t="shared" si="113"/>
        <v>404</v>
      </c>
      <c r="M117" s="33">
        <f t="shared" ref="M117:N117" si="116">SUM(M113:M116)</f>
        <v>404</v>
      </c>
      <c r="N117" s="33">
        <f t="shared" si="116"/>
        <v>404</v>
      </c>
      <c r="O117" s="33">
        <v>404</v>
      </c>
      <c r="P117" s="55">
        <f t="shared" si="113"/>
        <v>404</v>
      </c>
    </row>
    <row r="118" spans="1:16" s="2" customFormat="1" ht="15.6" x14ac:dyDescent="0.3">
      <c r="A118" s="80" t="s">
        <v>191</v>
      </c>
      <c r="B118" s="81"/>
      <c r="C118" s="11" t="s">
        <v>3</v>
      </c>
      <c r="D118" s="33">
        <f t="shared" ref="D118:I118" si="117">D111+D117</f>
        <v>1163</v>
      </c>
      <c r="E118" s="33">
        <f t="shared" si="117"/>
        <v>1163</v>
      </c>
      <c r="F118" s="33">
        <f t="shared" si="117"/>
        <v>1163</v>
      </c>
      <c r="G118" s="33">
        <f t="shared" si="117"/>
        <v>1163</v>
      </c>
      <c r="H118" s="33">
        <f t="shared" si="117"/>
        <v>1159</v>
      </c>
      <c r="I118" s="166">
        <f t="shared" si="117"/>
        <v>1167</v>
      </c>
      <c r="J118" s="166">
        <f t="shared" ref="J118:K118" si="118">J111+J117</f>
        <v>1167</v>
      </c>
      <c r="K118" s="166">
        <f t="shared" si="118"/>
        <v>1174</v>
      </c>
      <c r="L118" s="166">
        <f t="shared" ref="L118:M118" si="119">L111+L117</f>
        <v>1108</v>
      </c>
      <c r="M118" s="166">
        <f t="shared" si="119"/>
        <v>1130</v>
      </c>
      <c r="N118" s="166">
        <f t="shared" ref="N118" si="120">N111+N117</f>
        <v>1094</v>
      </c>
      <c r="O118" s="166">
        <v>1094</v>
      </c>
      <c r="P118" s="166">
        <f t="shared" ref="P118" si="121">P111+P117</f>
        <v>1094</v>
      </c>
    </row>
    <row r="119" spans="1:16" ht="15.6" x14ac:dyDescent="0.3">
      <c r="A119" s="593" t="s">
        <v>192</v>
      </c>
      <c r="B119" s="594"/>
      <c r="C119" s="11" t="s">
        <v>3</v>
      </c>
      <c r="D119" s="33">
        <f t="shared" ref="D119:I119" si="122">D118+D105</f>
        <v>1661</v>
      </c>
      <c r="E119" s="33">
        <f t="shared" si="122"/>
        <v>1658</v>
      </c>
      <c r="F119" s="33">
        <f t="shared" si="122"/>
        <v>1692</v>
      </c>
      <c r="G119" s="33">
        <f t="shared" si="122"/>
        <v>1692</v>
      </c>
      <c r="H119" s="33">
        <f t="shared" si="122"/>
        <v>1699</v>
      </c>
      <c r="I119" s="166">
        <f t="shared" si="122"/>
        <v>1720</v>
      </c>
      <c r="J119" s="166">
        <f t="shared" ref="J119:K119" si="123">J118+J105</f>
        <v>1730</v>
      </c>
      <c r="K119" s="166">
        <f t="shared" si="123"/>
        <v>1741</v>
      </c>
      <c r="L119" s="166">
        <f t="shared" ref="L119:M119" si="124">L118+L105</f>
        <v>1748</v>
      </c>
      <c r="M119" s="166">
        <f t="shared" si="124"/>
        <v>1754</v>
      </c>
      <c r="N119" s="166">
        <f t="shared" ref="N119" si="125">N118+N105</f>
        <v>1762</v>
      </c>
      <c r="O119" s="166">
        <v>1769</v>
      </c>
      <c r="P119" s="166">
        <f t="shared" ref="P119" si="126">P118+P105</f>
        <v>1769</v>
      </c>
    </row>
    <row r="120" spans="1:16" x14ac:dyDescent="0.3">
      <c r="A120" s="595" t="s">
        <v>201</v>
      </c>
      <c r="B120" s="596"/>
      <c r="C120" s="596"/>
      <c r="D120" s="596"/>
      <c r="E120" s="596"/>
      <c r="F120" s="596"/>
      <c r="G120" s="596"/>
      <c r="H120" s="596"/>
      <c r="I120" s="596"/>
      <c r="J120" s="596"/>
      <c r="K120" s="596"/>
      <c r="L120" s="596"/>
      <c r="M120" s="596"/>
      <c r="N120" s="596"/>
      <c r="O120" s="596"/>
      <c r="P120" s="597"/>
    </row>
    <row r="121" spans="1:16" ht="15.6" x14ac:dyDescent="0.3">
      <c r="A121" s="591" t="s">
        <v>93</v>
      </c>
      <c r="B121" s="592"/>
      <c r="C121" s="5" t="s">
        <v>3</v>
      </c>
      <c r="D121" s="4">
        <v>18325</v>
      </c>
      <c r="E121" s="4">
        <f>D121*1.002</f>
        <v>18361.650000000001</v>
      </c>
      <c r="F121" s="4">
        <f t="shared" ref="F121:K121" si="127">E121*1.002</f>
        <v>18398.373300000003</v>
      </c>
      <c r="G121" s="4">
        <f t="shared" si="127"/>
        <v>18435.170046600004</v>
      </c>
      <c r="H121" s="4">
        <f t="shared" si="127"/>
        <v>18472.040386693203</v>
      </c>
      <c r="I121" s="4">
        <f t="shared" si="127"/>
        <v>18508.984467466591</v>
      </c>
      <c r="J121" s="4">
        <f t="shared" si="127"/>
        <v>18546.002436401523</v>
      </c>
      <c r="K121" s="4">
        <f t="shared" si="127"/>
        <v>18583.094441274327</v>
      </c>
      <c r="L121" s="129">
        <v>18620.260630156874</v>
      </c>
      <c r="M121" s="4">
        <f t="shared" ref="M121:N121" si="128">L121*1.002</f>
        <v>18657.501151417189</v>
      </c>
      <c r="N121" s="4">
        <f t="shared" si="128"/>
        <v>18694.816153720025</v>
      </c>
      <c r="O121" s="129">
        <v>18732.205786027465</v>
      </c>
      <c r="P121" s="31">
        <f>O121</f>
        <v>18732.205786027465</v>
      </c>
    </row>
    <row r="122" spans="1:16" ht="15.6" x14ac:dyDescent="0.3">
      <c r="A122" s="591" t="s">
        <v>92</v>
      </c>
      <c r="B122" s="592"/>
      <c r="C122" s="5" t="s">
        <v>3</v>
      </c>
      <c r="D122" s="4">
        <v>11567</v>
      </c>
      <c r="E122" s="4">
        <f>D122+(E96*2)</f>
        <v>11567</v>
      </c>
      <c r="F122" s="4">
        <f t="shared" ref="F122:K122" si="129">E122+(F96*2)</f>
        <v>11567</v>
      </c>
      <c r="G122" s="4">
        <f t="shared" si="129"/>
        <v>11567</v>
      </c>
      <c r="H122" s="4">
        <f t="shared" si="129"/>
        <v>11567</v>
      </c>
      <c r="I122" s="4">
        <f t="shared" si="129"/>
        <v>11567</v>
      </c>
      <c r="J122" s="4">
        <f t="shared" si="129"/>
        <v>11567</v>
      </c>
      <c r="K122" s="4">
        <f t="shared" si="129"/>
        <v>11567</v>
      </c>
      <c r="L122" s="129">
        <v>11741</v>
      </c>
      <c r="M122" s="4">
        <f t="shared" ref="M122:N122" si="130">L122+(M96*2)</f>
        <v>11741</v>
      </c>
      <c r="N122" s="4">
        <f t="shared" si="130"/>
        <v>11741</v>
      </c>
      <c r="O122" s="129">
        <v>11783</v>
      </c>
      <c r="P122" s="31">
        <f>O122</f>
        <v>11783</v>
      </c>
    </row>
    <row r="123" spans="1:16" ht="15.6" x14ac:dyDescent="0.3">
      <c r="A123" s="647" t="s">
        <v>91</v>
      </c>
      <c r="B123" s="648"/>
      <c r="C123" s="30" t="s">
        <v>6</v>
      </c>
      <c r="D123" s="29">
        <f t="shared" ref="D123:F123" si="131">D122/D121</f>
        <v>0.63121418826739428</v>
      </c>
      <c r="E123" s="29">
        <f t="shared" si="131"/>
        <v>0.62995427970797824</v>
      </c>
      <c r="F123" s="29">
        <f t="shared" si="131"/>
        <v>0.62869688593610595</v>
      </c>
      <c r="G123" s="29">
        <f>G122/G121</f>
        <v>0.62744200193224153</v>
      </c>
      <c r="H123" s="29">
        <f t="shared" ref="H123:P123" si="132">H122/H121</f>
        <v>0.62618962268686773</v>
      </c>
      <c r="I123" s="29">
        <f t="shared" si="132"/>
        <v>0.62493974320046675</v>
      </c>
      <c r="J123" s="29">
        <f t="shared" si="132"/>
        <v>0.6236923584834998</v>
      </c>
      <c r="K123" s="29">
        <f t="shared" si="132"/>
        <v>0.62244746355638703</v>
      </c>
      <c r="L123" s="29">
        <f t="shared" si="132"/>
        <v>0.6305497131970641</v>
      </c>
      <c r="M123" s="29">
        <f t="shared" si="132"/>
        <v>0.62929113093519362</v>
      </c>
      <c r="N123" s="29">
        <f t="shared" si="132"/>
        <v>0.62803506081356641</v>
      </c>
      <c r="O123" s="29">
        <v>0.62902362565272774</v>
      </c>
      <c r="P123" s="109">
        <f t="shared" si="132"/>
        <v>0.62902362565272774</v>
      </c>
    </row>
    <row r="124" spans="1:16" x14ac:dyDescent="0.3">
      <c r="A124" s="649" t="s">
        <v>90</v>
      </c>
      <c r="B124" s="650"/>
      <c r="C124" s="650"/>
      <c r="D124" s="650"/>
      <c r="E124" s="650"/>
      <c r="F124" s="650"/>
      <c r="G124" s="650"/>
      <c r="H124" s="650"/>
      <c r="I124" s="650"/>
      <c r="J124" s="650"/>
      <c r="K124" s="650"/>
      <c r="L124" s="650"/>
      <c r="M124" s="650"/>
      <c r="N124" s="650"/>
      <c r="O124" s="650"/>
      <c r="P124" s="651"/>
    </row>
    <row r="125" spans="1:16" ht="15.6" x14ac:dyDescent="0.3">
      <c r="A125" s="605" t="s">
        <v>227</v>
      </c>
      <c r="B125" s="24" t="s">
        <v>85</v>
      </c>
      <c r="C125" s="11" t="s">
        <v>3</v>
      </c>
      <c r="D125" s="4">
        <v>1</v>
      </c>
      <c r="E125" s="4">
        <f>D129</f>
        <v>1</v>
      </c>
      <c r="F125" s="4">
        <f t="shared" ref="F125:K125" si="133">E129</f>
        <v>1</v>
      </c>
      <c r="G125" s="4">
        <f t="shared" si="133"/>
        <v>1</v>
      </c>
      <c r="H125" s="4">
        <f t="shared" si="133"/>
        <v>1</v>
      </c>
      <c r="I125" s="4">
        <f t="shared" si="133"/>
        <v>1</v>
      </c>
      <c r="J125" s="4">
        <f t="shared" si="133"/>
        <v>1</v>
      </c>
      <c r="K125" s="4">
        <f t="shared" si="133"/>
        <v>1</v>
      </c>
      <c r="L125" s="155">
        <v>1</v>
      </c>
      <c r="M125" s="4">
        <f t="shared" ref="M125" si="134">L129</f>
        <v>1</v>
      </c>
      <c r="N125" s="155">
        <v>1</v>
      </c>
      <c r="O125" s="155">
        <v>1</v>
      </c>
      <c r="P125" s="25">
        <f>D125</f>
        <v>1</v>
      </c>
    </row>
    <row r="126" spans="1:16" ht="15.6" x14ac:dyDescent="0.3">
      <c r="A126" s="655"/>
      <c r="B126" s="24" t="s">
        <v>84</v>
      </c>
      <c r="C126" s="11" t="s">
        <v>3</v>
      </c>
      <c r="D126" s="4"/>
      <c r="E126" s="4"/>
      <c r="F126" s="4"/>
      <c r="G126" s="4"/>
      <c r="H126" s="4"/>
      <c r="I126" s="153"/>
      <c r="J126" s="153"/>
      <c r="K126" s="153"/>
      <c r="L126" s="153"/>
      <c r="M126" s="153"/>
      <c r="N126" s="153"/>
      <c r="O126" s="153"/>
      <c r="P126" s="18">
        <f>SUM(D126:O126)</f>
        <v>0</v>
      </c>
    </row>
    <row r="127" spans="1:16" ht="15.6" x14ac:dyDescent="0.3">
      <c r="A127" s="655"/>
      <c r="B127" s="82" t="s">
        <v>88</v>
      </c>
      <c r="C127" s="11" t="s">
        <v>3</v>
      </c>
      <c r="D127" s="4"/>
      <c r="E127" s="4"/>
      <c r="F127" s="4"/>
      <c r="G127" s="4"/>
      <c r="H127" s="4"/>
      <c r="I127" s="153"/>
      <c r="J127" s="153"/>
      <c r="K127" s="153"/>
      <c r="L127" s="153"/>
      <c r="M127" s="153"/>
      <c r="N127" s="153"/>
      <c r="O127" s="153"/>
      <c r="P127" s="18">
        <f>SUM(D127:O127)</f>
        <v>0</v>
      </c>
    </row>
    <row r="128" spans="1:16" ht="15.6" x14ac:dyDescent="0.3">
      <c r="A128" s="655"/>
      <c r="B128" s="24" t="s">
        <v>82</v>
      </c>
      <c r="C128" s="11" t="s">
        <v>3</v>
      </c>
      <c r="D128" s="4"/>
      <c r="E128" s="4"/>
      <c r="F128" s="4"/>
      <c r="G128" s="4"/>
      <c r="H128" s="4"/>
      <c r="I128" s="153"/>
      <c r="J128" s="153"/>
      <c r="K128" s="153"/>
      <c r="L128" s="153"/>
      <c r="M128" s="153"/>
      <c r="N128" s="153"/>
      <c r="O128" s="153"/>
      <c r="P128" s="18">
        <f>SUM(D128:O128)</f>
        <v>0</v>
      </c>
    </row>
    <row r="129" spans="1:16" ht="15.6" x14ac:dyDescent="0.3">
      <c r="A129" s="606"/>
      <c r="B129" s="24" t="s">
        <v>81</v>
      </c>
      <c r="C129" s="11" t="s">
        <v>3</v>
      </c>
      <c r="D129" s="4">
        <f>D125+D126-D127-D128</f>
        <v>1</v>
      </c>
      <c r="E129" s="4">
        <f t="shared" ref="E129:H129" si="135">E125+E126-E127-E128</f>
        <v>1</v>
      </c>
      <c r="F129" s="4">
        <f t="shared" si="135"/>
        <v>1</v>
      </c>
      <c r="G129" s="4">
        <f t="shared" si="135"/>
        <v>1</v>
      </c>
      <c r="H129" s="4">
        <f t="shared" si="135"/>
        <v>1</v>
      </c>
      <c r="I129" s="155">
        <f t="shared" ref="I129" si="136">I125+I126-I127-I128</f>
        <v>1</v>
      </c>
      <c r="J129" s="155">
        <f t="shared" ref="J129:K129" si="137">J125+J126-J127-J128</f>
        <v>1</v>
      </c>
      <c r="K129" s="155">
        <f t="shared" si="137"/>
        <v>1</v>
      </c>
      <c r="L129" s="155">
        <v>1</v>
      </c>
      <c r="M129" s="155">
        <f t="shared" ref="M129" si="138">M125+M126-M127-M128</f>
        <v>1</v>
      </c>
      <c r="N129" s="155">
        <v>1</v>
      </c>
      <c r="O129" s="155">
        <v>1</v>
      </c>
      <c r="P129" s="25">
        <f>P125+P126-P127-P128</f>
        <v>1</v>
      </c>
    </row>
    <row r="130" spans="1:16" ht="15.6" x14ac:dyDescent="0.3">
      <c r="A130" s="605" t="s">
        <v>228</v>
      </c>
      <c r="B130" s="28" t="s">
        <v>85</v>
      </c>
      <c r="C130" s="27" t="s">
        <v>3</v>
      </c>
      <c r="D130" s="4"/>
      <c r="E130" s="4">
        <f>D134</f>
        <v>0</v>
      </c>
      <c r="F130" s="4">
        <f t="shared" ref="F130:G130" si="139">E134</f>
        <v>0</v>
      </c>
      <c r="G130" s="4">
        <f t="shared" si="139"/>
        <v>0</v>
      </c>
      <c r="H130" s="153"/>
      <c r="I130" s="155"/>
      <c r="J130" s="155"/>
      <c r="K130" s="155"/>
      <c r="L130" s="155"/>
      <c r="M130" s="155"/>
      <c r="N130" s="155"/>
      <c r="O130" s="155"/>
      <c r="P130" s="25">
        <f>D130</f>
        <v>0</v>
      </c>
    </row>
    <row r="131" spans="1:16" ht="15.6" x14ac:dyDescent="0.3">
      <c r="A131" s="655"/>
      <c r="B131" s="24" t="s">
        <v>84</v>
      </c>
      <c r="C131" s="11" t="s">
        <v>3</v>
      </c>
      <c r="D131" s="4"/>
      <c r="E131" s="4"/>
      <c r="F131" s="4"/>
      <c r="G131" s="4"/>
      <c r="H131" s="153"/>
      <c r="I131" s="153"/>
      <c r="J131" s="153"/>
      <c r="K131" s="153"/>
      <c r="L131" s="153"/>
      <c r="M131" s="153"/>
      <c r="N131" s="153"/>
      <c r="O131" s="153"/>
      <c r="P131" s="18">
        <f>SUM(D131:O131)</f>
        <v>0</v>
      </c>
    </row>
    <row r="132" spans="1:16" ht="15.6" x14ac:dyDescent="0.3">
      <c r="A132" s="655"/>
      <c r="B132" s="82" t="s">
        <v>88</v>
      </c>
      <c r="C132" s="11" t="s">
        <v>3</v>
      </c>
      <c r="D132" s="4"/>
      <c r="E132" s="4"/>
      <c r="F132" s="4"/>
      <c r="G132" s="4"/>
      <c r="H132" s="153"/>
      <c r="I132" s="153"/>
      <c r="J132" s="153"/>
      <c r="K132" s="153"/>
      <c r="L132" s="153"/>
      <c r="M132" s="153"/>
      <c r="N132" s="153"/>
      <c r="O132" s="153"/>
      <c r="P132" s="18">
        <f>SUM(D132:O132)</f>
        <v>0</v>
      </c>
    </row>
    <row r="133" spans="1:16" ht="15.6" x14ac:dyDescent="0.3">
      <c r="A133" s="655"/>
      <c r="B133" s="24" t="s">
        <v>82</v>
      </c>
      <c r="C133" s="11" t="s">
        <v>3</v>
      </c>
      <c r="D133" s="4"/>
      <c r="E133" s="4"/>
      <c r="F133" s="4"/>
      <c r="G133" s="4"/>
      <c r="H133" s="153"/>
      <c r="I133" s="153"/>
      <c r="J133" s="153"/>
      <c r="K133" s="153"/>
      <c r="L133" s="153"/>
      <c r="M133" s="153"/>
      <c r="N133" s="153"/>
      <c r="O133" s="153"/>
      <c r="P133" s="18">
        <f>SUM(D133:O133)</f>
        <v>0</v>
      </c>
    </row>
    <row r="134" spans="1:16" ht="15.6" x14ac:dyDescent="0.3">
      <c r="A134" s="606"/>
      <c r="B134" s="24" t="s">
        <v>81</v>
      </c>
      <c r="C134" s="11" t="s">
        <v>3</v>
      </c>
      <c r="D134" s="4">
        <f>D130+D131-D132-D133</f>
        <v>0</v>
      </c>
      <c r="E134" s="4">
        <f t="shared" ref="E134:G134" si="140">E130+E131-E132-E133</f>
        <v>0</v>
      </c>
      <c r="F134" s="4">
        <f t="shared" si="140"/>
        <v>0</v>
      </c>
      <c r="G134" s="4">
        <f t="shared" si="140"/>
        <v>0</v>
      </c>
      <c r="H134" s="155">
        <f t="shared" ref="H134" si="141">H130+H131-H132-H133</f>
        <v>0</v>
      </c>
      <c r="I134" s="4">
        <v>1</v>
      </c>
      <c r="J134" s="155">
        <f t="shared" ref="J134:K134" si="142">J130+J131-J132-J133</f>
        <v>0</v>
      </c>
      <c r="K134" s="155">
        <f t="shared" si="142"/>
        <v>0</v>
      </c>
      <c r="L134" s="155">
        <f t="shared" ref="L134:M134" si="143">L130+L131-L132-L133</f>
        <v>0</v>
      </c>
      <c r="M134" s="155">
        <f t="shared" si="143"/>
        <v>0</v>
      </c>
      <c r="N134" s="155">
        <f t="shared" ref="N134" si="144">N130+N131-N132-N133</f>
        <v>0</v>
      </c>
      <c r="O134" s="155">
        <v>0</v>
      </c>
      <c r="P134" s="25">
        <f>P130+P131-P132-P133</f>
        <v>0</v>
      </c>
    </row>
    <row r="135" spans="1:16" ht="15.6" x14ac:dyDescent="0.3">
      <c r="A135" s="605" t="s">
        <v>89</v>
      </c>
      <c r="B135" s="24" t="s">
        <v>85</v>
      </c>
      <c r="C135" s="11" t="s">
        <v>3</v>
      </c>
      <c r="D135" s="4">
        <v>1</v>
      </c>
      <c r="E135" s="4">
        <f>D139</f>
        <v>1</v>
      </c>
      <c r="F135" s="4">
        <f t="shared" ref="F135:H135" si="145">E139</f>
        <v>1</v>
      </c>
      <c r="G135" s="4">
        <f t="shared" si="145"/>
        <v>1</v>
      </c>
      <c r="H135" s="4">
        <f t="shared" si="145"/>
        <v>1</v>
      </c>
      <c r="I135" s="153"/>
      <c r="J135" s="153">
        <v>1</v>
      </c>
      <c r="K135" s="4">
        <f t="shared" ref="K135" si="146">J139</f>
        <v>1</v>
      </c>
      <c r="L135" s="153">
        <v>1</v>
      </c>
      <c r="M135" s="4">
        <f t="shared" ref="M135" si="147">L139</f>
        <v>1</v>
      </c>
      <c r="N135" s="153">
        <v>1</v>
      </c>
      <c r="O135" s="153">
        <v>1</v>
      </c>
      <c r="P135" s="25">
        <f>D135</f>
        <v>1</v>
      </c>
    </row>
    <row r="136" spans="1:16" ht="15.6" x14ac:dyDescent="0.3">
      <c r="A136" s="655"/>
      <c r="B136" s="24" t="s">
        <v>84</v>
      </c>
      <c r="C136" s="11" t="s">
        <v>3</v>
      </c>
      <c r="D136" s="4"/>
      <c r="E136" s="4"/>
      <c r="F136" s="4"/>
      <c r="G136" s="4"/>
      <c r="H136" s="4"/>
      <c r="I136" s="153"/>
      <c r="J136" s="153"/>
      <c r="K136" s="153"/>
      <c r="L136" s="153"/>
      <c r="M136" s="153"/>
      <c r="N136" s="153"/>
      <c r="O136" s="153"/>
      <c r="P136" s="18">
        <f>SUM(D136:O136)</f>
        <v>0</v>
      </c>
    </row>
    <row r="137" spans="1:16" ht="15.6" x14ac:dyDescent="0.3">
      <c r="A137" s="655"/>
      <c r="B137" s="82" t="s">
        <v>88</v>
      </c>
      <c r="C137" s="11" t="s">
        <v>3</v>
      </c>
      <c r="D137" s="4"/>
      <c r="E137" s="4"/>
      <c r="F137" s="4"/>
      <c r="G137" s="4"/>
      <c r="H137" s="4"/>
      <c r="I137" s="153"/>
      <c r="J137" s="153"/>
      <c r="K137" s="153"/>
      <c r="L137" s="153"/>
      <c r="M137" s="153"/>
      <c r="N137" s="153"/>
      <c r="O137" s="153"/>
      <c r="P137" s="18">
        <f>SUM(D137:O137)</f>
        <v>0</v>
      </c>
    </row>
    <row r="138" spans="1:16" ht="15.6" x14ac:dyDescent="0.3">
      <c r="A138" s="655"/>
      <c r="B138" s="24" t="s">
        <v>82</v>
      </c>
      <c r="C138" s="11" t="s">
        <v>3</v>
      </c>
      <c r="D138" s="4"/>
      <c r="E138" s="4"/>
      <c r="F138" s="4"/>
      <c r="G138" s="4"/>
      <c r="H138" s="4"/>
      <c r="I138" s="153"/>
      <c r="J138" s="153"/>
      <c r="K138" s="153"/>
      <c r="L138" s="153"/>
      <c r="M138" s="153"/>
      <c r="N138" s="153"/>
      <c r="O138" s="153"/>
      <c r="P138" s="18">
        <f>SUM(D138:O138)</f>
        <v>0</v>
      </c>
    </row>
    <row r="139" spans="1:16" ht="15.6" x14ac:dyDescent="0.3">
      <c r="A139" s="606"/>
      <c r="B139" s="24" t="s">
        <v>81</v>
      </c>
      <c r="C139" s="11" t="s">
        <v>3</v>
      </c>
      <c r="D139" s="4">
        <f>D135+D136-D137-D138</f>
        <v>1</v>
      </c>
      <c r="E139" s="4">
        <f t="shared" ref="E139:H139" si="148">E135+E136-E137-E138</f>
        <v>1</v>
      </c>
      <c r="F139" s="4">
        <f t="shared" si="148"/>
        <v>1</v>
      </c>
      <c r="G139" s="4">
        <f t="shared" si="148"/>
        <v>1</v>
      </c>
      <c r="H139" s="4">
        <f t="shared" si="148"/>
        <v>1</v>
      </c>
      <c r="I139" s="155">
        <v>1</v>
      </c>
      <c r="J139" s="155">
        <f t="shared" ref="J139:K139" si="149">J135+J136-J137-J138</f>
        <v>1</v>
      </c>
      <c r="K139" s="155">
        <f t="shared" si="149"/>
        <v>1</v>
      </c>
      <c r="L139" s="155">
        <v>1</v>
      </c>
      <c r="M139" s="155">
        <f t="shared" ref="M139" si="150">M135+M136-M137-M138</f>
        <v>1</v>
      </c>
      <c r="N139" s="155">
        <v>1</v>
      </c>
      <c r="O139" s="155">
        <v>1</v>
      </c>
      <c r="P139" s="25">
        <f>P135+P136-P137-P138</f>
        <v>1</v>
      </c>
    </row>
    <row r="140" spans="1:16" ht="15.6" x14ac:dyDescent="0.3">
      <c r="A140" s="605" t="s">
        <v>87</v>
      </c>
      <c r="B140" s="24" t="s">
        <v>85</v>
      </c>
      <c r="C140" s="11" t="s">
        <v>3</v>
      </c>
      <c r="D140" s="4">
        <v>72</v>
      </c>
      <c r="E140" s="4">
        <f>D144</f>
        <v>67</v>
      </c>
      <c r="F140" s="4">
        <f t="shared" ref="F140:K140" si="151">E144</f>
        <v>62</v>
      </c>
      <c r="G140" s="4">
        <f t="shared" si="151"/>
        <v>62</v>
      </c>
      <c r="H140" s="4">
        <f t="shared" si="151"/>
        <v>56</v>
      </c>
      <c r="I140" s="4">
        <f t="shared" si="151"/>
        <v>42</v>
      </c>
      <c r="J140" s="4">
        <f t="shared" si="151"/>
        <v>38</v>
      </c>
      <c r="K140" s="4">
        <f t="shared" si="151"/>
        <v>41</v>
      </c>
      <c r="L140" s="155">
        <v>41</v>
      </c>
      <c r="M140" s="4">
        <v>96</v>
      </c>
      <c r="N140" s="155">
        <v>2</v>
      </c>
      <c r="O140" s="155">
        <v>62</v>
      </c>
      <c r="P140" s="25">
        <f>D140</f>
        <v>72</v>
      </c>
    </row>
    <row r="141" spans="1:16" ht="15.6" x14ac:dyDescent="0.3">
      <c r="A141" s="655"/>
      <c r="B141" s="24" t="s">
        <v>84</v>
      </c>
      <c r="C141" s="11" t="s">
        <v>3</v>
      </c>
      <c r="D141" s="4">
        <v>6</v>
      </c>
      <c r="E141" s="4">
        <v>4</v>
      </c>
      <c r="F141" s="4"/>
      <c r="G141" s="4"/>
      <c r="H141" s="4"/>
      <c r="I141" s="153"/>
      <c r="J141" s="153">
        <v>3</v>
      </c>
      <c r="K141" s="153"/>
      <c r="L141" s="153">
        <v>6</v>
      </c>
      <c r="M141" s="4">
        <v>6</v>
      </c>
      <c r="N141" s="153">
        <v>60</v>
      </c>
      <c r="O141" s="153"/>
      <c r="P141" s="18">
        <f>SUM(D141:O141)</f>
        <v>85</v>
      </c>
    </row>
    <row r="142" spans="1:16" ht="15.6" x14ac:dyDescent="0.3">
      <c r="A142" s="655"/>
      <c r="B142" s="24" t="s">
        <v>83</v>
      </c>
      <c r="C142" s="11" t="s">
        <v>3</v>
      </c>
      <c r="D142" s="4">
        <v>11</v>
      </c>
      <c r="E142" s="4">
        <v>9</v>
      </c>
      <c r="F142" s="4"/>
      <c r="G142" s="4">
        <v>6</v>
      </c>
      <c r="H142" s="4"/>
      <c r="I142" s="153"/>
      <c r="J142" s="153"/>
      <c r="K142" s="153"/>
      <c r="L142" s="153"/>
      <c r="M142" s="4"/>
      <c r="N142" s="153"/>
      <c r="O142" s="153"/>
      <c r="P142" s="18">
        <f>SUM(D142:O142)</f>
        <v>26</v>
      </c>
    </row>
    <row r="143" spans="1:16" ht="15.6" x14ac:dyDescent="0.3">
      <c r="A143" s="655"/>
      <c r="B143" s="24" t="s">
        <v>82</v>
      </c>
      <c r="C143" s="11" t="s">
        <v>3</v>
      </c>
      <c r="D143" s="4"/>
      <c r="E143" s="4"/>
      <c r="F143" s="4"/>
      <c r="G143" s="4"/>
      <c r="H143" s="4">
        <v>14</v>
      </c>
      <c r="I143" s="153">
        <v>4</v>
      </c>
      <c r="J143" s="153"/>
      <c r="K143" s="153"/>
      <c r="L143" s="153">
        <v>40</v>
      </c>
      <c r="M143" s="4">
        <v>100</v>
      </c>
      <c r="N143" s="153"/>
      <c r="O143" s="153"/>
      <c r="P143" s="18">
        <f>SUM(D143:O143)</f>
        <v>158</v>
      </c>
    </row>
    <row r="144" spans="1:16" ht="15.6" x14ac:dyDescent="0.3">
      <c r="A144" s="606"/>
      <c r="B144" s="24" t="s">
        <v>81</v>
      </c>
      <c r="C144" s="11" t="s">
        <v>3</v>
      </c>
      <c r="D144" s="4">
        <f>D140+D141-D142-D143</f>
        <v>67</v>
      </c>
      <c r="E144" s="4">
        <f t="shared" ref="E144:H144" si="152">E140+E141-E142-E143</f>
        <v>62</v>
      </c>
      <c r="F144" s="4">
        <f t="shared" si="152"/>
        <v>62</v>
      </c>
      <c r="G144" s="4">
        <f t="shared" si="152"/>
        <v>56</v>
      </c>
      <c r="H144" s="4">
        <f t="shared" si="152"/>
        <v>42</v>
      </c>
      <c r="I144" s="155">
        <v>38</v>
      </c>
      <c r="J144" s="155">
        <f t="shared" ref="J144:K144" si="153">J140+J141-J142-J143</f>
        <v>41</v>
      </c>
      <c r="K144" s="155">
        <f t="shared" si="153"/>
        <v>41</v>
      </c>
      <c r="L144" s="155">
        <f t="shared" ref="L144:M144" si="154">L140+L141-L142-L143</f>
        <v>7</v>
      </c>
      <c r="M144" s="4">
        <f t="shared" si="154"/>
        <v>2</v>
      </c>
      <c r="N144" s="155">
        <v>62</v>
      </c>
      <c r="O144" s="155">
        <v>62</v>
      </c>
      <c r="P144" s="25">
        <f>P140+P141-P142-P143</f>
        <v>-27</v>
      </c>
    </row>
    <row r="145" spans="1:16" s="2" customFormat="1" ht="15.6" x14ac:dyDescent="0.3">
      <c r="A145" s="605" t="s">
        <v>86</v>
      </c>
      <c r="B145" s="24" t="s">
        <v>85</v>
      </c>
      <c r="C145" s="11" t="s">
        <v>3</v>
      </c>
      <c r="D145" s="23">
        <f t="shared" ref="D145:H145" si="155">D125+D130+D135+D140</f>
        <v>74</v>
      </c>
      <c r="E145" s="23">
        <f t="shared" si="155"/>
        <v>69</v>
      </c>
      <c r="F145" s="23">
        <f t="shared" si="155"/>
        <v>64</v>
      </c>
      <c r="G145" s="23">
        <f t="shared" si="155"/>
        <v>64</v>
      </c>
      <c r="H145" s="23">
        <f t="shared" si="155"/>
        <v>58</v>
      </c>
      <c r="I145" s="23">
        <v>44</v>
      </c>
      <c r="J145" s="23">
        <f t="shared" ref="J145:K145" si="156">J125+J130+J135+J140</f>
        <v>40</v>
      </c>
      <c r="K145" s="23">
        <f t="shared" si="156"/>
        <v>43</v>
      </c>
      <c r="L145" s="23">
        <f t="shared" ref="L145:M145" si="157">L125+L130+L135+L140</f>
        <v>43</v>
      </c>
      <c r="M145" s="23">
        <f t="shared" si="157"/>
        <v>98</v>
      </c>
      <c r="N145" s="23">
        <f t="shared" ref="N145" si="158">N125+N130+N135+N140</f>
        <v>4</v>
      </c>
      <c r="O145" s="23">
        <v>64</v>
      </c>
      <c r="P145" s="110">
        <f t="shared" ref="P145:P149" si="159">P125+P130+P135+P140</f>
        <v>74</v>
      </c>
    </row>
    <row r="146" spans="1:16" ht="15.6" x14ac:dyDescent="0.3">
      <c r="A146" s="655"/>
      <c r="B146" s="24" t="s">
        <v>84</v>
      </c>
      <c r="C146" s="11" t="s">
        <v>3</v>
      </c>
      <c r="D146" s="23">
        <f t="shared" ref="D146:E148" si="160">D126+D131+D136+D141</f>
        <v>6</v>
      </c>
      <c r="E146" s="23">
        <f t="shared" si="160"/>
        <v>4</v>
      </c>
      <c r="F146" s="23">
        <f t="shared" ref="F146:G146" si="161">F126+F131+F136+F141</f>
        <v>0</v>
      </c>
      <c r="G146" s="23">
        <f t="shared" si="161"/>
        <v>0</v>
      </c>
      <c r="H146" s="23">
        <f t="shared" ref="H146:I146" si="162">H126+H131+H136+H141</f>
        <v>0</v>
      </c>
      <c r="I146" s="23">
        <f t="shared" si="162"/>
        <v>0</v>
      </c>
      <c r="J146" s="23">
        <f t="shared" ref="J146:K146" si="163">J126+J131+J136+J141</f>
        <v>3</v>
      </c>
      <c r="K146" s="23">
        <f t="shared" si="163"/>
        <v>0</v>
      </c>
      <c r="L146" s="23">
        <f t="shared" ref="L146:M146" si="164">L126+L131+L136+L141</f>
        <v>6</v>
      </c>
      <c r="M146" s="23">
        <f t="shared" si="164"/>
        <v>6</v>
      </c>
      <c r="N146" s="23">
        <f t="shared" ref="N146" si="165">N126+N131+N136+N141</f>
        <v>60</v>
      </c>
      <c r="O146" s="23">
        <v>0</v>
      </c>
      <c r="P146" s="110">
        <f t="shared" si="159"/>
        <v>85</v>
      </c>
    </row>
    <row r="147" spans="1:16" ht="15.6" x14ac:dyDescent="0.3">
      <c r="A147" s="655"/>
      <c r="B147" s="24" t="s">
        <v>83</v>
      </c>
      <c r="C147" s="11" t="s">
        <v>3</v>
      </c>
      <c r="D147" s="23">
        <f t="shared" si="160"/>
        <v>11</v>
      </c>
      <c r="E147" s="23">
        <f t="shared" si="160"/>
        <v>9</v>
      </c>
      <c r="F147" s="23">
        <f t="shared" ref="F147:G147" si="166">F127+F132+F137+F142</f>
        <v>0</v>
      </c>
      <c r="G147" s="23">
        <f t="shared" si="166"/>
        <v>6</v>
      </c>
      <c r="H147" s="23">
        <f t="shared" ref="H147:I147" si="167">H127+H132+H137+H142</f>
        <v>0</v>
      </c>
      <c r="I147" s="23">
        <f t="shared" si="167"/>
        <v>0</v>
      </c>
      <c r="J147" s="23">
        <f t="shared" ref="J147:K147" si="168">J127+J132+J137+J142</f>
        <v>0</v>
      </c>
      <c r="K147" s="23">
        <f t="shared" si="168"/>
        <v>0</v>
      </c>
      <c r="L147" s="23">
        <f t="shared" ref="L147:M147" si="169">L127+L132+L137+L142</f>
        <v>0</v>
      </c>
      <c r="M147" s="23">
        <f t="shared" si="169"/>
        <v>0</v>
      </c>
      <c r="N147" s="23">
        <f t="shared" ref="N147" si="170">N127+N132+N137+N142</f>
        <v>0</v>
      </c>
      <c r="O147" s="23">
        <v>0</v>
      </c>
      <c r="P147" s="110">
        <f t="shared" si="159"/>
        <v>26</v>
      </c>
    </row>
    <row r="148" spans="1:16" ht="15.6" x14ac:dyDescent="0.3">
      <c r="A148" s="655"/>
      <c r="B148" s="24" t="s">
        <v>82</v>
      </c>
      <c r="C148" s="11" t="s">
        <v>3</v>
      </c>
      <c r="D148" s="23">
        <f t="shared" si="160"/>
        <v>0</v>
      </c>
      <c r="E148" s="23">
        <f t="shared" si="160"/>
        <v>0</v>
      </c>
      <c r="F148" s="23">
        <f t="shared" ref="F148:G148" si="171">F128+F133+F138+F143</f>
        <v>0</v>
      </c>
      <c r="G148" s="23">
        <f t="shared" si="171"/>
        <v>0</v>
      </c>
      <c r="H148" s="23">
        <f t="shared" ref="H148:I148" si="172">H128+H133+H138+H143</f>
        <v>14</v>
      </c>
      <c r="I148" s="23">
        <f t="shared" si="172"/>
        <v>4</v>
      </c>
      <c r="J148" s="23">
        <f t="shared" ref="J148:K148" si="173">J128+J133+J138+J143</f>
        <v>0</v>
      </c>
      <c r="K148" s="23">
        <f t="shared" si="173"/>
        <v>0</v>
      </c>
      <c r="L148" s="23">
        <f t="shared" ref="L148:M148" si="174">L128+L133+L138+L143</f>
        <v>40</v>
      </c>
      <c r="M148" s="23">
        <f t="shared" si="174"/>
        <v>100</v>
      </c>
      <c r="N148" s="23">
        <f t="shared" ref="N148" si="175">N128+N133+N138+N143</f>
        <v>0</v>
      </c>
      <c r="O148" s="23">
        <v>0</v>
      </c>
      <c r="P148" s="110">
        <f t="shared" si="159"/>
        <v>158</v>
      </c>
    </row>
    <row r="149" spans="1:16" ht="15.6" x14ac:dyDescent="0.3">
      <c r="A149" s="606"/>
      <c r="B149" s="24" t="s">
        <v>81</v>
      </c>
      <c r="C149" s="11" t="s">
        <v>3</v>
      </c>
      <c r="D149" s="155">
        <f t="shared" ref="D149:I149" si="176">D145+D146-D147-D148</f>
        <v>69</v>
      </c>
      <c r="E149" s="155">
        <f t="shared" si="176"/>
        <v>64</v>
      </c>
      <c r="F149" s="155">
        <f t="shared" si="176"/>
        <v>64</v>
      </c>
      <c r="G149" s="155">
        <f t="shared" si="176"/>
        <v>58</v>
      </c>
      <c r="H149" s="155">
        <f t="shared" si="176"/>
        <v>44</v>
      </c>
      <c r="I149" s="155">
        <f t="shared" si="176"/>
        <v>40</v>
      </c>
      <c r="J149" s="155">
        <f t="shared" ref="J149:K149" si="177">J145+J146-J147-J148</f>
        <v>43</v>
      </c>
      <c r="K149" s="155">
        <f t="shared" si="177"/>
        <v>43</v>
      </c>
      <c r="L149" s="155">
        <f t="shared" ref="L149:M149" si="178">L145+L146-L147-L148</f>
        <v>9</v>
      </c>
      <c r="M149" s="155">
        <f t="shared" si="178"/>
        <v>4</v>
      </c>
      <c r="N149" s="155">
        <f t="shared" ref="N149" si="179">N145+N146-N147-N148</f>
        <v>64</v>
      </c>
      <c r="O149" s="155">
        <v>64</v>
      </c>
      <c r="P149" s="110">
        <f t="shared" si="159"/>
        <v>-25</v>
      </c>
    </row>
    <row r="150" spans="1:16" x14ac:dyDescent="0.3">
      <c r="A150" s="595" t="s">
        <v>80</v>
      </c>
      <c r="B150" s="596"/>
      <c r="C150" s="596"/>
      <c r="D150" s="596"/>
      <c r="E150" s="596"/>
      <c r="F150" s="596"/>
      <c r="G150" s="596"/>
      <c r="H150" s="596"/>
      <c r="I150" s="596"/>
      <c r="J150" s="596"/>
      <c r="K150" s="596"/>
      <c r="L150" s="596"/>
      <c r="M150" s="596"/>
      <c r="N150" s="596"/>
      <c r="O150" s="596"/>
      <c r="P150" s="597"/>
    </row>
    <row r="151" spans="1:16" ht="15.6" x14ac:dyDescent="0.3">
      <c r="A151" s="591" t="s">
        <v>79</v>
      </c>
      <c r="B151" s="592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9"/>
    </row>
    <row r="152" spans="1:16" ht="15.6" x14ac:dyDescent="0.3">
      <c r="A152" s="652" t="s">
        <v>78</v>
      </c>
      <c r="B152" s="92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9"/>
    </row>
    <row r="153" spans="1:16" ht="15.6" x14ac:dyDescent="0.3">
      <c r="A153" s="653"/>
      <c r="B153" s="19" t="s">
        <v>73</v>
      </c>
      <c r="C153" s="11" t="s">
        <v>57</v>
      </c>
      <c r="D153" s="551">
        <v>35</v>
      </c>
      <c r="E153" s="4">
        <v>17</v>
      </c>
      <c r="F153" s="4">
        <v>16</v>
      </c>
      <c r="G153" s="4">
        <v>19</v>
      </c>
      <c r="H153" s="4">
        <v>15</v>
      </c>
      <c r="I153" s="4">
        <v>10</v>
      </c>
      <c r="J153" s="4">
        <v>15</v>
      </c>
      <c r="K153" s="4">
        <v>5</v>
      </c>
      <c r="L153" s="133">
        <v>20</v>
      </c>
      <c r="M153" s="4">
        <v>13</v>
      </c>
      <c r="N153" s="4">
        <v>24</v>
      </c>
      <c r="O153" s="153">
        <v>16</v>
      </c>
      <c r="P153" s="18">
        <f t="shared" ref="P153:P165" si="180">SUM(D153:O153)</f>
        <v>205</v>
      </c>
    </row>
    <row r="154" spans="1:16" ht="15.6" x14ac:dyDescent="0.3">
      <c r="A154" s="653"/>
      <c r="B154" s="19" t="s">
        <v>72</v>
      </c>
      <c r="C154" s="11" t="s">
        <v>57</v>
      </c>
      <c r="D154" s="551">
        <v>4</v>
      </c>
      <c r="E154" s="4">
        <v>8</v>
      </c>
      <c r="F154" s="4">
        <v>6</v>
      </c>
      <c r="G154" s="4">
        <v>5</v>
      </c>
      <c r="H154" s="4">
        <v>8</v>
      </c>
      <c r="I154" s="4">
        <v>12</v>
      </c>
      <c r="J154" s="4">
        <v>5</v>
      </c>
      <c r="K154" s="4">
        <v>6</v>
      </c>
      <c r="L154" s="133">
        <v>7</v>
      </c>
      <c r="M154" s="4">
        <v>7</v>
      </c>
      <c r="N154" s="4">
        <v>4</v>
      </c>
      <c r="O154" s="153">
        <v>10</v>
      </c>
      <c r="P154" s="18">
        <f t="shared" si="180"/>
        <v>82</v>
      </c>
    </row>
    <row r="155" spans="1:16" ht="15.6" x14ac:dyDescent="0.3">
      <c r="A155" s="653"/>
      <c r="B155" s="19" t="s">
        <v>53</v>
      </c>
      <c r="C155" s="11" t="s">
        <v>57</v>
      </c>
      <c r="D155" s="551">
        <v>3</v>
      </c>
      <c r="E155" s="4">
        <v>2</v>
      </c>
      <c r="F155" s="4">
        <v>5</v>
      </c>
      <c r="G155" s="4">
        <v>3</v>
      </c>
      <c r="H155" s="4">
        <v>8</v>
      </c>
      <c r="I155" s="4">
        <v>4</v>
      </c>
      <c r="J155" s="4">
        <v>4</v>
      </c>
      <c r="K155" s="4">
        <v>4</v>
      </c>
      <c r="L155" s="133">
        <v>4</v>
      </c>
      <c r="M155" s="4">
        <v>3</v>
      </c>
      <c r="N155" s="4">
        <v>3</v>
      </c>
      <c r="O155" s="153">
        <v>5</v>
      </c>
      <c r="P155" s="18">
        <f t="shared" si="180"/>
        <v>48</v>
      </c>
    </row>
    <row r="156" spans="1:16" ht="15.6" x14ac:dyDescent="0.3">
      <c r="A156" s="653"/>
      <c r="B156" s="19" t="s">
        <v>71</v>
      </c>
      <c r="C156" s="11" t="s">
        <v>57</v>
      </c>
      <c r="D156" s="551">
        <v>1</v>
      </c>
      <c r="E156" s="4">
        <v>4</v>
      </c>
      <c r="F156" s="4">
        <v>4</v>
      </c>
      <c r="G156" s="4"/>
      <c r="H156" s="4"/>
      <c r="I156" s="4">
        <v>2</v>
      </c>
      <c r="J156" s="4">
        <v>5</v>
      </c>
      <c r="K156" s="4">
        <v>4</v>
      </c>
      <c r="L156" s="133"/>
      <c r="M156" s="4"/>
      <c r="N156" s="4"/>
      <c r="O156" s="153">
        <v>1</v>
      </c>
      <c r="P156" s="18">
        <f t="shared" si="180"/>
        <v>21</v>
      </c>
    </row>
    <row r="157" spans="1:16" ht="15.6" x14ac:dyDescent="0.3">
      <c r="A157" s="653"/>
      <c r="B157" s="19" t="s">
        <v>52</v>
      </c>
      <c r="C157" s="11" t="s">
        <v>57</v>
      </c>
      <c r="D157" s="551">
        <v>3</v>
      </c>
      <c r="E157" s="4">
        <v>2</v>
      </c>
      <c r="F157" s="4">
        <v>2</v>
      </c>
      <c r="G157" s="4">
        <v>1</v>
      </c>
      <c r="H157" s="4">
        <v>6</v>
      </c>
      <c r="I157" s="4">
        <v>1</v>
      </c>
      <c r="J157" s="4">
        <v>4</v>
      </c>
      <c r="K157" s="4">
        <v>3</v>
      </c>
      <c r="L157" s="133"/>
      <c r="M157" s="4"/>
      <c r="N157" s="4"/>
      <c r="O157" s="153"/>
      <c r="P157" s="18">
        <f t="shared" si="180"/>
        <v>22</v>
      </c>
    </row>
    <row r="158" spans="1:16" ht="15.6" x14ac:dyDescent="0.3">
      <c r="A158" s="653"/>
      <c r="B158" s="19" t="s">
        <v>51</v>
      </c>
      <c r="C158" s="11" t="s">
        <v>57</v>
      </c>
      <c r="D158" s="551">
        <v>5</v>
      </c>
      <c r="E158" s="4">
        <v>1</v>
      </c>
      <c r="F158" s="4">
        <v>8</v>
      </c>
      <c r="G158" s="4">
        <v>3</v>
      </c>
      <c r="H158" s="4">
        <v>4</v>
      </c>
      <c r="I158" s="4">
        <v>2</v>
      </c>
      <c r="J158" s="4">
        <v>3</v>
      </c>
      <c r="K158" s="4">
        <v>3</v>
      </c>
      <c r="L158" s="133">
        <v>1</v>
      </c>
      <c r="M158" s="4">
        <v>2</v>
      </c>
      <c r="N158" s="4">
        <v>1</v>
      </c>
      <c r="O158" s="153">
        <v>1</v>
      </c>
      <c r="P158" s="18">
        <f t="shared" si="180"/>
        <v>34</v>
      </c>
    </row>
    <row r="159" spans="1:16" ht="15.6" x14ac:dyDescent="0.3">
      <c r="A159" s="653"/>
      <c r="B159" s="19" t="s">
        <v>62</v>
      </c>
      <c r="C159" s="11" t="s">
        <v>57</v>
      </c>
      <c r="D159" s="551"/>
      <c r="E159" s="4"/>
      <c r="F159" s="4"/>
      <c r="G159" s="4"/>
      <c r="H159" s="4"/>
      <c r="I159" s="4"/>
      <c r="J159" s="4"/>
      <c r="K159" s="153"/>
      <c r="L159" s="133"/>
      <c r="M159" s="4"/>
      <c r="N159" s="4"/>
      <c r="O159" s="153"/>
      <c r="P159" s="18">
        <f t="shared" si="180"/>
        <v>0</v>
      </c>
    </row>
    <row r="160" spans="1:16" ht="15.6" x14ac:dyDescent="0.3">
      <c r="A160" s="653"/>
      <c r="B160" s="19" t="s">
        <v>50</v>
      </c>
      <c r="C160" s="11" t="s">
        <v>57</v>
      </c>
      <c r="D160" s="551"/>
      <c r="E160" s="4"/>
      <c r="F160" s="4"/>
      <c r="G160" s="4"/>
      <c r="H160" s="4">
        <v>2</v>
      </c>
      <c r="I160" s="4">
        <v>2</v>
      </c>
      <c r="J160" s="4">
        <v>2</v>
      </c>
      <c r="K160" s="153"/>
      <c r="L160" s="4"/>
      <c r="M160" s="4"/>
      <c r="N160" s="4"/>
      <c r="O160" s="153"/>
      <c r="P160" s="18">
        <f t="shared" si="180"/>
        <v>6</v>
      </c>
    </row>
    <row r="161" spans="1:16" ht="15.6" x14ac:dyDescent="0.3">
      <c r="A161" s="653"/>
      <c r="B161" s="19" t="s">
        <v>49</v>
      </c>
      <c r="C161" s="11" t="s">
        <v>57</v>
      </c>
      <c r="D161" s="551">
        <v>1</v>
      </c>
      <c r="E161" s="4"/>
      <c r="F161" s="4"/>
      <c r="G161" s="4"/>
      <c r="H161" s="4">
        <v>2</v>
      </c>
      <c r="I161" s="4"/>
      <c r="J161" s="153"/>
      <c r="K161" s="4"/>
      <c r="L161" s="4"/>
      <c r="M161" s="4"/>
      <c r="N161" s="4"/>
      <c r="O161" s="153"/>
      <c r="P161" s="18">
        <f t="shared" si="180"/>
        <v>3</v>
      </c>
    </row>
    <row r="162" spans="1:16" ht="15.6" x14ac:dyDescent="0.3">
      <c r="A162" s="653"/>
      <c r="B162" s="19" t="s">
        <v>77</v>
      </c>
      <c r="C162" s="11" t="s">
        <v>57</v>
      </c>
      <c r="D162" s="4">
        <v>1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8">
        <f t="shared" si="180"/>
        <v>1</v>
      </c>
    </row>
    <row r="163" spans="1:16" ht="15.6" x14ac:dyDescent="0.3">
      <c r="A163" s="653"/>
      <c r="B163" s="19" t="s">
        <v>69</v>
      </c>
      <c r="C163" s="11" t="s">
        <v>57</v>
      </c>
      <c r="D163" s="4">
        <v>2</v>
      </c>
      <c r="E163" s="4"/>
      <c r="F163" s="4"/>
      <c r="G163" s="4"/>
      <c r="H163" s="4">
        <v>2</v>
      </c>
      <c r="I163" s="4"/>
      <c r="J163" s="4"/>
      <c r="K163" s="4"/>
      <c r="L163" s="4"/>
      <c r="M163" s="4"/>
      <c r="N163" s="4"/>
      <c r="O163" s="4"/>
      <c r="P163" s="18">
        <f t="shared" si="180"/>
        <v>4</v>
      </c>
    </row>
    <row r="164" spans="1:16" ht="15.6" x14ac:dyDescent="0.3">
      <c r="A164" s="653"/>
      <c r="B164" s="19" t="s">
        <v>68</v>
      </c>
      <c r="C164" s="11" t="s">
        <v>57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8">
        <f t="shared" si="180"/>
        <v>0</v>
      </c>
    </row>
    <row r="165" spans="1:16" ht="15.6" x14ac:dyDescent="0.3">
      <c r="A165" s="654"/>
      <c r="B165" s="19" t="s">
        <v>76</v>
      </c>
      <c r="C165" s="11" t="s">
        <v>57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8">
        <f t="shared" si="180"/>
        <v>0</v>
      </c>
    </row>
    <row r="166" spans="1:16" ht="15.6" x14ac:dyDescent="0.3">
      <c r="A166" s="652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8"/>
    </row>
    <row r="167" spans="1:16" ht="15.6" x14ac:dyDescent="0.3">
      <c r="A167" s="653"/>
      <c r="B167" s="19" t="s">
        <v>74</v>
      </c>
      <c r="C167" s="11" t="s">
        <v>57</v>
      </c>
      <c r="D167" s="4">
        <v>3</v>
      </c>
      <c r="E167" s="4">
        <v>7</v>
      </c>
      <c r="F167" s="4"/>
      <c r="G167" s="4"/>
      <c r="H167" s="4">
        <v>6</v>
      </c>
      <c r="I167" s="4"/>
      <c r="J167" s="4"/>
      <c r="K167" s="4">
        <v>16</v>
      </c>
      <c r="L167" s="4"/>
      <c r="M167" s="4">
        <v>6</v>
      </c>
      <c r="N167" s="4"/>
      <c r="O167" s="4"/>
      <c r="P167" s="18">
        <f t="shared" ref="P167:P175" si="181">SUM(D167:O167)</f>
        <v>38</v>
      </c>
    </row>
    <row r="168" spans="1:16" ht="15.6" x14ac:dyDescent="0.3">
      <c r="A168" s="653"/>
      <c r="B168" s="19" t="s">
        <v>73</v>
      </c>
      <c r="C168" s="11" t="s">
        <v>57</v>
      </c>
      <c r="D168" s="4"/>
      <c r="E168" s="4">
        <v>8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8">
        <f t="shared" si="181"/>
        <v>8</v>
      </c>
    </row>
    <row r="169" spans="1:16" ht="15.6" x14ac:dyDescent="0.3">
      <c r="A169" s="653"/>
      <c r="B169" s="19" t="s">
        <v>72</v>
      </c>
      <c r="C169" s="11" t="s">
        <v>57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8">
        <f t="shared" si="181"/>
        <v>0</v>
      </c>
    </row>
    <row r="170" spans="1:16" ht="15.6" x14ac:dyDescent="0.3">
      <c r="A170" s="653"/>
      <c r="B170" s="19" t="s">
        <v>71</v>
      </c>
      <c r="C170" s="11" t="s">
        <v>57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8">
        <f t="shared" si="181"/>
        <v>0</v>
      </c>
    </row>
    <row r="171" spans="1:16" ht="15.6" x14ac:dyDescent="0.3">
      <c r="A171" s="653"/>
      <c r="B171" s="19" t="s">
        <v>52</v>
      </c>
      <c r="C171" s="11" t="s">
        <v>57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8">
        <f t="shared" si="181"/>
        <v>0</v>
      </c>
    </row>
    <row r="172" spans="1:16" ht="15.6" x14ac:dyDescent="0.3">
      <c r="A172" s="653"/>
      <c r="B172" s="19" t="s">
        <v>62</v>
      </c>
      <c r="C172" s="11" t="s">
        <v>57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8">
        <f t="shared" si="181"/>
        <v>0</v>
      </c>
    </row>
    <row r="173" spans="1:16" ht="15.6" x14ac:dyDescent="0.3">
      <c r="A173" s="653"/>
      <c r="B173" s="19" t="s">
        <v>61</v>
      </c>
      <c r="C173" s="11" t="s">
        <v>57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8">
        <f t="shared" si="181"/>
        <v>0</v>
      </c>
    </row>
    <row r="174" spans="1:16" ht="15.6" x14ac:dyDescent="0.3">
      <c r="A174" s="653"/>
      <c r="B174" s="19" t="s">
        <v>60</v>
      </c>
      <c r="C174" s="11" t="s">
        <v>57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8">
        <f t="shared" si="181"/>
        <v>0</v>
      </c>
    </row>
    <row r="175" spans="1:16" ht="15.6" x14ac:dyDescent="0.3">
      <c r="A175" s="654"/>
      <c r="B175" s="19" t="s">
        <v>69</v>
      </c>
      <c r="C175" s="11" t="s">
        <v>57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8">
        <f t="shared" si="181"/>
        <v>0</v>
      </c>
    </row>
    <row r="176" spans="1:16" ht="15.6" x14ac:dyDescent="0.3">
      <c r="A176" s="652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8"/>
    </row>
    <row r="177" spans="1:16" ht="15.6" x14ac:dyDescent="0.3">
      <c r="A177" s="653"/>
      <c r="B177" s="19" t="s">
        <v>60</v>
      </c>
      <c r="C177" s="11" t="s">
        <v>57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8">
        <f t="shared" ref="P177:P182" si="182">SUM(D177:O177)</f>
        <v>0</v>
      </c>
    </row>
    <row r="178" spans="1:16" ht="15.6" x14ac:dyDescent="0.3">
      <c r="A178" s="653"/>
      <c r="B178" s="19" t="s">
        <v>69</v>
      </c>
      <c r="C178" s="11" t="s">
        <v>57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8">
        <f t="shared" si="182"/>
        <v>0</v>
      </c>
    </row>
    <row r="179" spans="1:16" ht="15.6" x14ac:dyDescent="0.3">
      <c r="A179" s="653"/>
      <c r="B179" s="19" t="s">
        <v>68</v>
      </c>
      <c r="C179" s="11" t="s">
        <v>57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8">
        <f t="shared" si="182"/>
        <v>0</v>
      </c>
    </row>
    <row r="180" spans="1:16" ht="15.6" x14ac:dyDescent="0.3">
      <c r="A180" s="653"/>
      <c r="B180" s="19" t="s">
        <v>67</v>
      </c>
      <c r="C180" s="11" t="s">
        <v>57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8">
        <f t="shared" si="182"/>
        <v>0</v>
      </c>
    </row>
    <row r="181" spans="1:16" ht="15.6" x14ac:dyDescent="0.3">
      <c r="A181" s="653"/>
      <c r="B181" s="19" t="s">
        <v>66</v>
      </c>
      <c r="C181" s="11" t="s">
        <v>57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8">
        <f t="shared" si="182"/>
        <v>0</v>
      </c>
    </row>
    <row r="182" spans="1:16" ht="15.6" x14ac:dyDescent="0.3">
      <c r="A182" s="654"/>
      <c r="B182" s="19" t="s">
        <v>65</v>
      </c>
      <c r="C182" s="11" t="s">
        <v>57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8">
        <f t="shared" si="182"/>
        <v>0</v>
      </c>
    </row>
    <row r="183" spans="1:16" ht="15.6" x14ac:dyDescent="0.3">
      <c r="A183" s="652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8"/>
    </row>
    <row r="184" spans="1:16" ht="15.6" x14ac:dyDescent="0.3">
      <c r="A184" s="653"/>
      <c r="B184" s="19" t="s">
        <v>73</v>
      </c>
      <c r="C184" s="1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8">
        <f>SUM(D184:O184)</f>
        <v>0</v>
      </c>
    </row>
    <row r="185" spans="1:16" ht="15.6" x14ac:dyDescent="0.3">
      <c r="A185" s="653"/>
      <c r="B185" s="19" t="s">
        <v>72</v>
      </c>
      <c r="C185" s="1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8">
        <f>SUM(D185:O185)</f>
        <v>0</v>
      </c>
    </row>
    <row r="186" spans="1:16" ht="15.6" x14ac:dyDescent="0.3">
      <c r="A186" s="653"/>
      <c r="B186" s="19" t="s">
        <v>53</v>
      </c>
      <c r="C186" s="1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8">
        <f>SUM(D186:O186)</f>
        <v>0</v>
      </c>
    </row>
    <row r="187" spans="1:16" ht="15.6" x14ac:dyDescent="0.3">
      <c r="A187" s="654"/>
      <c r="B187" s="19" t="s">
        <v>52</v>
      </c>
      <c r="C187" s="1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8">
        <f>SUM(D187:O187)</f>
        <v>0</v>
      </c>
    </row>
    <row r="188" spans="1:16" ht="15.6" x14ac:dyDescent="0.3">
      <c r="A188" s="652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8"/>
    </row>
    <row r="189" spans="1:16" ht="15.6" x14ac:dyDescent="0.3">
      <c r="A189" s="653"/>
      <c r="B189" s="20" t="s">
        <v>52</v>
      </c>
      <c r="C189" s="11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8">
        <f>SUM(D189:O189)</f>
        <v>0</v>
      </c>
    </row>
    <row r="190" spans="1:16" ht="15.6" x14ac:dyDescent="0.3">
      <c r="A190" s="653"/>
      <c r="B190" s="19" t="s">
        <v>62</v>
      </c>
      <c r="C190" s="11" t="s">
        <v>57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8">
        <f>SUM(D190:O190)</f>
        <v>0</v>
      </c>
    </row>
    <row r="191" spans="1:16" ht="15.6" x14ac:dyDescent="0.3">
      <c r="A191" s="653"/>
      <c r="B191" s="19" t="s">
        <v>61</v>
      </c>
      <c r="C191" s="11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8">
        <f>SUM(D191:O191)</f>
        <v>0</v>
      </c>
    </row>
    <row r="192" spans="1:16" ht="15.6" x14ac:dyDescent="0.3">
      <c r="A192" s="654"/>
      <c r="B192" s="19" t="s">
        <v>60</v>
      </c>
      <c r="C192" s="11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8">
        <f>SUM(D192:O192)</f>
        <v>0</v>
      </c>
    </row>
    <row r="193" spans="1:16" ht="15.6" x14ac:dyDescent="0.3">
      <c r="A193" s="84" t="s">
        <v>59</v>
      </c>
      <c r="B193" s="17"/>
      <c r="C193" s="11"/>
      <c r="D193" s="10">
        <f>SUM(D153:D192)</f>
        <v>58</v>
      </c>
      <c r="E193" s="10">
        <f t="shared" ref="E193:P193" si="183">SUM(E153:E192)</f>
        <v>49</v>
      </c>
      <c r="F193" s="10">
        <f t="shared" si="183"/>
        <v>41</v>
      </c>
      <c r="G193" s="10">
        <f t="shared" si="183"/>
        <v>31</v>
      </c>
      <c r="H193" s="10">
        <f t="shared" si="183"/>
        <v>53</v>
      </c>
      <c r="I193" s="10">
        <f t="shared" si="183"/>
        <v>33</v>
      </c>
      <c r="J193" s="10">
        <f t="shared" si="183"/>
        <v>38</v>
      </c>
      <c r="K193" s="10">
        <f t="shared" si="183"/>
        <v>41</v>
      </c>
      <c r="L193" s="10">
        <f t="shared" si="183"/>
        <v>32</v>
      </c>
      <c r="M193" s="10">
        <f t="shared" si="183"/>
        <v>31</v>
      </c>
      <c r="N193" s="10">
        <f t="shared" si="183"/>
        <v>32</v>
      </c>
      <c r="O193" s="10">
        <v>33</v>
      </c>
      <c r="P193" s="103">
        <f t="shared" si="183"/>
        <v>472</v>
      </c>
    </row>
    <row r="194" spans="1:16" ht="15.6" x14ac:dyDescent="0.3">
      <c r="A194" s="658" t="s">
        <v>58</v>
      </c>
      <c r="B194" s="659"/>
      <c r="C194" s="11" t="s">
        <v>57</v>
      </c>
      <c r="D194" s="4">
        <v>167</v>
      </c>
      <c r="E194" s="4"/>
      <c r="F194" s="4">
        <v>45</v>
      </c>
      <c r="G194" s="4">
        <v>72</v>
      </c>
      <c r="H194" s="4"/>
      <c r="I194" s="4"/>
      <c r="J194" s="4"/>
      <c r="K194" s="4"/>
      <c r="L194" s="4"/>
      <c r="M194" s="4"/>
      <c r="N194" s="4"/>
      <c r="O194" s="4"/>
      <c r="P194" s="9">
        <f>SUM(D194:O194)</f>
        <v>284</v>
      </c>
    </row>
    <row r="195" spans="1:16" ht="15.6" x14ac:dyDescent="0.3">
      <c r="A195" s="660"/>
      <c r="B195" s="661"/>
      <c r="C195" s="16" t="s">
        <v>55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6" x14ac:dyDescent="0.3">
      <c r="A196" s="85" t="s">
        <v>202</v>
      </c>
      <c r="B196" s="86"/>
      <c r="C196" s="16" t="s">
        <v>55</v>
      </c>
      <c r="D196" s="4">
        <v>20</v>
      </c>
      <c r="E196" s="4">
        <v>20</v>
      </c>
      <c r="F196" s="4">
        <v>20</v>
      </c>
      <c r="G196" s="4">
        <v>15</v>
      </c>
      <c r="H196" s="4"/>
      <c r="I196" s="4"/>
      <c r="J196" s="4">
        <v>15</v>
      </c>
      <c r="K196" s="4">
        <v>15</v>
      </c>
      <c r="L196" s="4">
        <v>15</v>
      </c>
      <c r="M196" s="4"/>
      <c r="N196" s="4"/>
      <c r="O196" s="4"/>
      <c r="P196" s="9">
        <f>SUM(D196:O196)/12</f>
        <v>10</v>
      </c>
    </row>
    <row r="197" spans="1:16" ht="15.6" x14ac:dyDescent="0.3">
      <c r="A197" s="591" t="s">
        <v>56</v>
      </c>
      <c r="B197" s="592"/>
      <c r="C197" s="16" t="s">
        <v>55</v>
      </c>
      <c r="D197" s="4"/>
      <c r="E197" s="4"/>
      <c r="F197" s="4"/>
      <c r="G197" s="4">
        <v>18</v>
      </c>
      <c r="H197" s="4"/>
      <c r="I197" s="4"/>
      <c r="J197" s="4"/>
      <c r="K197" s="4"/>
      <c r="L197" s="4">
        <v>50</v>
      </c>
      <c r="M197" s="4"/>
      <c r="N197" s="4"/>
      <c r="O197" s="4"/>
      <c r="P197" s="9">
        <f>SUM(D197:O197)</f>
        <v>68</v>
      </c>
    </row>
    <row r="198" spans="1:16" x14ac:dyDescent="0.3">
      <c r="A198" s="595" t="s">
        <v>203</v>
      </c>
      <c r="B198" s="596"/>
      <c r="C198" s="596"/>
      <c r="D198" s="596"/>
      <c r="E198" s="596"/>
      <c r="F198" s="596"/>
      <c r="G198" s="596"/>
      <c r="H198" s="596"/>
      <c r="I198" s="596"/>
      <c r="J198" s="596"/>
      <c r="K198" s="596"/>
      <c r="L198" s="596"/>
      <c r="M198" s="596"/>
      <c r="N198" s="596"/>
      <c r="O198" s="596"/>
      <c r="P198" s="597"/>
    </row>
    <row r="199" spans="1:16" ht="15.6" x14ac:dyDescent="0.3">
      <c r="A199" s="658" t="s">
        <v>54</v>
      </c>
      <c r="B199" s="79" t="s">
        <v>53</v>
      </c>
      <c r="C199" s="11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184">SUM(D199:O199)</f>
        <v>0</v>
      </c>
    </row>
    <row r="200" spans="1:16" ht="15.6" x14ac:dyDescent="0.3">
      <c r="A200" s="662"/>
      <c r="B200" s="79" t="s">
        <v>52</v>
      </c>
      <c r="C200" s="11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184"/>
        <v>0</v>
      </c>
    </row>
    <row r="201" spans="1:16" ht="15.6" x14ac:dyDescent="0.3">
      <c r="A201" s="662"/>
      <c r="B201" s="79" t="s">
        <v>51</v>
      </c>
      <c r="C201" s="11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184"/>
        <v>0</v>
      </c>
    </row>
    <row r="202" spans="1:16" ht="15.6" x14ac:dyDescent="0.3">
      <c r="A202" s="662"/>
      <c r="B202" s="79" t="s">
        <v>50</v>
      </c>
      <c r="C202" s="11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184"/>
        <v>0</v>
      </c>
    </row>
    <row r="203" spans="1:16" ht="15.6" x14ac:dyDescent="0.3">
      <c r="A203" s="660"/>
      <c r="B203" s="79" t="s">
        <v>49</v>
      </c>
      <c r="C203" s="11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184"/>
        <v>0</v>
      </c>
    </row>
    <row r="204" spans="1:16" ht="15.6" x14ac:dyDescent="0.3">
      <c r="A204" s="83" t="s">
        <v>48</v>
      </c>
      <c r="B204" s="79"/>
      <c r="C204" s="11" t="s">
        <v>47</v>
      </c>
      <c r="D204" s="15">
        <f t="shared" ref="D204:N204" si="185">SUM(D199:D203)</f>
        <v>0</v>
      </c>
      <c r="E204" s="15">
        <f t="shared" si="185"/>
        <v>0</v>
      </c>
      <c r="F204" s="15">
        <f t="shared" si="185"/>
        <v>0</v>
      </c>
      <c r="G204" s="15">
        <f t="shared" si="185"/>
        <v>0</v>
      </c>
      <c r="H204" s="15">
        <f t="shared" si="185"/>
        <v>0</v>
      </c>
      <c r="I204" s="15">
        <f t="shared" si="185"/>
        <v>0</v>
      </c>
      <c r="J204" s="15">
        <f t="shared" si="185"/>
        <v>0</v>
      </c>
      <c r="K204" s="15">
        <f t="shared" si="185"/>
        <v>0</v>
      </c>
      <c r="L204" s="15">
        <f t="shared" si="185"/>
        <v>0</v>
      </c>
      <c r="M204" s="15">
        <f t="shared" si="185"/>
        <v>0</v>
      </c>
      <c r="N204" s="15">
        <f t="shared" si="185"/>
        <v>0</v>
      </c>
      <c r="O204" s="15">
        <v>0</v>
      </c>
      <c r="P204" s="111">
        <f t="shared" si="184"/>
        <v>0</v>
      </c>
    </row>
    <row r="205" spans="1:16" s="2" customFormat="1" x14ac:dyDescent="0.3">
      <c r="A205" s="595" t="s">
        <v>46</v>
      </c>
      <c r="B205" s="596"/>
      <c r="C205" s="596"/>
      <c r="D205" s="596"/>
      <c r="E205" s="596"/>
      <c r="F205" s="596"/>
      <c r="G205" s="596"/>
      <c r="H205" s="596"/>
      <c r="I205" s="596"/>
      <c r="J205" s="596"/>
      <c r="K205" s="596"/>
      <c r="L205" s="596"/>
      <c r="M205" s="596"/>
      <c r="N205" s="596"/>
      <c r="O205" s="596"/>
      <c r="P205" s="597"/>
    </row>
    <row r="206" spans="1:16" ht="15.6" x14ac:dyDescent="0.3">
      <c r="A206" s="591" t="s">
        <v>43</v>
      </c>
      <c r="B206" s="592"/>
      <c r="C206" s="11" t="s">
        <v>31</v>
      </c>
      <c r="D206" s="551">
        <f>200300+18250+1889414.48</f>
        <v>2107964.48</v>
      </c>
      <c r="E206" s="13">
        <f>188378.62+68000+3075829.86</f>
        <v>3332208.48</v>
      </c>
      <c r="F206" s="13">
        <f>495300+45550+5295086</f>
        <v>5835936</v>
      </c>
      <c r="G206" s="13">
        <f>365536+4700+3791532</f>
        <v>4161768</v>
      </c>
      <c r="H206" s="13">
        <f>435990+3060234</f>
        <v>3496224</v>
      </c>
      <c r="I206" s="13">
        <f>637433+68650+4656241</f>
        <v>5362324</v>
      </c>
      <c r="J206" s="13">
        <f>124750+1438643</f>
        <v>1563393</v>
      </c>
      <c r="K206" s="13">
        <f>582468+115000+6591799</f>
        <v>7289267</v>
      </c>
      <c r="L206" s="13">
        <v>2675191</v>
      </c>
      <c r="M206" s="13">
        <f>323713+4120985</f>
        <v>4444698</v>
      </c>
      <c r="N206" s="13">
        <v>3455728</v>
      </c>
      <c r="O206" s="13">
        <v>3127572</v>
      </c>
      <c r="P206" s="9">
        <f>SUM(D206:O206)</f>
        <v>46852273.960000001</v>
      </c>
    </row>
    <row r="207" spans="1:16" ht="15.6" x14ac:dyDescent="0.3">
      <c r="A207" s="591" t="s">
        <v>42</v>
      </c>
      <c r="B207" s="592"/>
      <c r="C207" s="11" t="s">
        <v>31</v>
      </c>
      <c r="D207" s="551">
        <v>179950</v>
      </c>
      <c r="E207" s="13">
        <v>158820</v>
      </c>
      <c r="F207" s="13">
        <v>243000</v>
      </c>
      <c r="G207" s="13">
        <v>156590</v>
      </c>
      <c r="H207" s="13">
        <v>185700</v>
      </c>
      <c r="I207" s="13">
        <v>328600</v>
      </c>
      <c r="J207" s="13">
        <v>58000</v>
      </c>
      <c r="K207" s="13">
        <v>315900</v>
      </c>
      <c r="L207" s="13">
        <v>102850</v>
      </c>
      <c r="M207" s="13">
        <v>175200</v>
      </c>
      <c r="N207" s="13">
        <v>112100</v>
      </c>
      <c r="O207" s="13">
        <v>106000</v>
      </c>
      <c r="P207" s="9">
        <f>SUM(D207:O207)</f>
        <v>2122710</v>
      </c>
    </row>
    <row r="208" spans="1:16" ht="15.6" x14ac:dyDescent="0.3">
      <c r="A208" s="598" t="s">
        <v>41</v>
      </c>
      <c r="B208" s="599"/>
      <c r="C208" s="11" t="s">
        <v>31</v>
      </c>
      <c r="D208" s="551">
        <v>10000</v>
      </c>
      <c r="E208" s="13">
        <v>128.62</v>
      </c>
      <c r="F208" s="13">
        <v>118129</v>
      </c>
      <c r="G208" s="13">
        <v>128000</v>
      </c>
      <c r="H208" s="13">
        <v>8000</v>
      </c>
      <c r="I208" s="13">
        <v>29000</v>
      </c>
      <c r="J208" s="13">
        <v>50000</v>
      </c>
      <c r="K208" s="13">
        <v>25000</v>
      </c>
      <c r="L208" s="13">
        <v>10000</v>
      </c>
      <c r="M208" s="13">
        <v>316756</v>
      </c>
      <c r="N208" s="13"/>
      <c r="O208" s="13">
        <v>90000</v>
      </c>
      <c r="P208" s="9">
        <f>SUM(D208:O208)</f>
        <v>785013.62</v>
      </c>
    </row>
    <row r="209" spans="1:16" ht="15.6" x14ac:dyDescent="0.3">
      <c r="A209" s="591" t="s">
        <v>40</v>
      </c>
      <c r="B209" s="592"/>
      <c r="C209" s="11" t="s">
        <v>31</v>
      </c>
      <c r="D209" s="551">
        <v>61160</v>
      </c>
      <c r="E209" s="13">
        <v>18000</v>
      </c>
      <c r="F209" s="13">
        <v>136960</v>
      </c>
      <c r="G209" s="13">
        <v>30000</v>
      </c>
      <c r="H209" s="13">
        <v>113863</v>
      </c>
      <c r="I209" s="13">
        <v>470000</v>
      </c>
      <c r="J209" s="13">
        <v>18000</v>
      </c>
      <c r="K209" s="13">
        <v>208000</v>
      </c>
      <c r="L209" s="13">
        <v>41750</v>
      </c>
      <c r="M209" s="13">
        <v>132275</v>
      </c>
      <c r="N209" s="13">
        <v>44000</v>
      </c>
      <c r="O209" s="13">
        <v>67600</v>
      </c>
      <c r="P209" s="9">
        <f>SUM(D209:O209)</f>
        <v>1341608</v>
      </c>
    </row>
    <row r="210" spans="1:16" ht="15.6" x14ac:dyDescent="0.3">
      <c r="A210" s="656" t="s">
        <v>45</v>
      </c>
      <c r="B210" s="657"/>
      <c r="C210" s="11" t="s">
        <v>31</v>
      </c>
      <c r="D210" s="10">
        <f t="shared" ref="D210:N210" si="186">SUM(D206:D209)</f>
        <v>2359074.48</v>
      </c>
      <c r="E210" s="10">
        <f t="shared" si="186"/>
        <v>3509157.1</v>
      </c>
      <c r="F210" s="10">
        <f t="shared" si="186"/>
        <v>6334025</v>
      </c>
      <c r="G210" s="10">
        <f t="shared" si="186"/>
        <v>4476358</v>
      </c>
      <c r="H210" s="10">
        <f t="shared" si="186"/>
        <v>3803787</v>
      </c>
      <c r="I210" s="10">
        <f t="shared" si="186"/>
        <v>6189924</v>
      </c>
      <c r="J210" s="10">
        <f t="shared" si="186"/>
        <v>1689393</v>
      </c>
      <c r="K210" s="10">
        <f t="shared" si="186"/>
        <v>7838167</v>
      </c>
      <c r="L210" s="10">
        <f t="shared" si="186"/>
        <v>2829791</v>
      </c>
      <c r="M210" s="10">
        <f t="shared" si="186"/>
        <v>5068929</v>
      </c>
      <c r="N210" s="10">
        <f t="shared" si="186"/>
        <v>3611828</v>
      </c>
      <c r="O210" s="10">
        <v>3391172</v>
      </c>
      <c r="P210" s="9">
        <f>SUM(D210:O210)</f>
        <v>51101605.579999998</v>
      </c>
    </row>
    <row r="211" spans="1:16" s="2" customFormat="1" x14ac:dyDescent="0.3">
      <c r="A211" s="595" t="s">
        <v>44</v>
      </c>
      <c r="B211" s="596"/>
      <c r="C211" s="596"/>
      <c r="D211" s="596"/>
      <c r="E211" s="596"/>
      <c r="F211" s="596"/>
      <c r="G211" s="596"/>
      <c r="H211" s="596"/>
      <c r="I211" s="596"/>
      <c r="J211" s="596"/>
      <c r="K211" s="596"/>
      <c r="L211" s="596"/>
      <c r="M211" s="596"/>
      <c r="N211" s="596"/>
      <c r="O211" s="596"/>
      <c r="P211" s="597"/>
    </row>
    <row r="212" spans="1:16" ht="15.6" x14ac:dyDescent="0.3">
      <c r="A212" s="591" t="s">
        <v>43</v>
      </c>
      <c r="B212" s="592"/>
      <c r="C212" s="11" t="s">
        <v>31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9">
        <f>SUM(D212:O212)</f>
        <v>0</v>
      </c>
    </row>
    <row r="213" spans="1:16" ht="15.6" x14ac:dyDescent="0.3">
      <c r="A213" s="591" t="s">
        <v>42</v>
      </c>
      <c r="B213" s="592"/>
      <c r="C213" s="11" t="s">
        <v>31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9">
        <f>SUM(D213:O213)</f>
        <v>0</v>
      </c>
    </row>
    <row r="214" spans="1:16" ht="15.6" x14ac:dyDescent="0.3">
      <c r="A214" s="598" t="s">
        <v>41</v>
      </c>
      <c r="B214" s="599"/>
      <c r="C214" s="11" t="s">
        <v>31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9">
        <f>SUM(D214:O214)</f>
        <v>0</v>
      </c>
    </row>
    <row r="215" spans="1:16" ht="15.6" x14ac:dyDescent="0.3">
      <c r="A215" s="591" t="s">
        <v>40</v>
      </c>
      <c r="B215" s="592"/>
      <c r="C215" s="11" t="s">
        <v>31</v>
      </c>
      <c r="D215" s="551">
        <v>3822386</v>
      </c>
      <c r="E215" s="13">
        <v>3547707.06</v>
      </c>
      <c r="F215" s="13">
        <v>4045817.09</v>
      </c>
      <c r="G215" s="13">
        <v>3758366.4</v>
      </c>
      <c r="H215" s="13">
        <v>9156434.6600000001</v>
      </c>
      <c r="I215" s="13">
        <v>3272314.51</v>
      </c>
      <c r="J215" s="13">
        <v>5500331</v>
      </c>
      <c r="K215" s="13">
        <v>3110276.43</v>
      </c>
      <c r="L215" s="13">
        <v>4667880</v>
      </c>
      <c r="M215" s="13">
        <v>7617250</v>
      </c>
      <c r="N215" s="13">
        <v>5533275</v>
      </c>
      <c r="O215" s="13">
        <v>4187850</v>
      </c>
      <c r="P215" s="9">
        <f>SUM(D215:O215)</f>
        <v>58219888.149999999</v>
      </c>
    </row>
    <row r="216" spans="1:16" ht="15.6" x14ac:dyDescent="0.3">
      <c r="A216" s="656" t="s">
        <v>39</v>
      </c>
      <c r="B216" s="657"/>
      <c r="C216" s="11" t="s">
        <v>31</v>
      </c>
      <c r="D216" s="10">
        <f t="shared" ref="D216:N216" si="187">SUM(D212:D215)</f>
        <v>3822386</v>
      </c>
      <c r="E216" s="10">
        <f t="shared" si="187"/>
        <v>3547707.06</v>
      </c>
      <c r="F216" s="10">
        <f t="shared" si="187"/>
        <v>4045817.09</v>
      </c>
      <c r="G216" s="10">
        <f t="shared" si="187"/>
        <v>3758366.4</v>
      </c>
      <c r="H216" s="10">
        <f t="shared" si="187"/>
        <v>9156434.6600000001</v>
      </c>
      <c r="I216" s="10">
        <f t="shared" si="187"/>
        <v>3272314.51</v>
      </c>
      <c r="J216" s="10">
        <f t="shared" si="187"/>
        <v>5500331</v>
      </c>
      <c r="K216" s="10">
        <f t="shared" si="187"/>
        <v>3110276.43</v>
      </c>
      <c r="L216" s="10">
        <f t="shared" si="187"/>
        <v>4667880</v>
      </c>
      <c r="M216" s="10">
        <f t="shared" si="187"/>
        <v>7617250</v>
      </c>
      <c r="N216" s="10">
        <f t="shared" si="187"/>
        <v>5533275</v>
      </c>
      <c r="O216" s="10">
        <v>4187850</v>
      </c>
      <c r="P216" s="9">
        <f>SUM(D216:O216)</f>
        <v>58219888.149999999</v>
      </c>
    </row>
    <row r="217" spans="1:16" s="2" customFormat="1" ht="15.6" x14ac:dyDescent="0.3">
      <c r="A217" s="76" t="s">
        <v>38</v>
      </c>
      <c r="B217" s="77"/>
      <c r="C217" s="11" t="s">
        <v>31</v>
      </c>
      <c r="D217" s="10">
        <f>D210+D216</f>
        <v>6181460.4800000004</v>
      </c>
      <c r="E217" s="10">
        <f t="shared" ref="E217:P217" si="188">E210+E216</f>
        <v>7056864.1600000001</v>
      </c>
      <c r="F217" s="10">
        <f t="shared" si="188"/>
        <v>10379842.09</v>
      </c>
      <c r="G217" s="10">
        <f t="shared" si="188"/>
        <v>8234724.4000000004</v>
      </c>
      <c r="H217" s="10">
        <f t="shared" si="188"/>
        <v>12960221.66</v>
      </c>
      <c r="I217" s="10">
        <f t="shared" si="188"/>
        <v>9462238.5099999998</v>
      </c>
      <c r="J217" s="10">
        <f t="shared" si="188"/>
        <v>7189724</v>
      </c>
      <c r="K217" s="10">
        <f t="shared" si="188"/>
        <v>10948443.43</v>
      </c>
      <c r="L217" s="10">
        <f t="shared" si="188"/>
        <v>7497671</v>
      </c>
      <c r="M217" s="10">
        <f t="shared" si="188"/>
        <v>12686179</v>
      </c>
      <c r="N217" s="10">
        <f t="shared" si="188"/>
        <v>9145103</v>
      </c>
      <c r="O217" s="10">
        <v>7579022</v>
      </c>
      <c r="P217" s="40">
        <f t="shared" si="188"/>
        <v>109321493.72999999</v>
      </c>
    </row>
    <row r="218" spans="1:16" s="2" customFormat="1" x14ac:dyDescent="0.3">
      <c r="A218" s="595" t="s">
        <v>37</v>
      </c>
      <c r="B218" s="596"/>
      <c r="C218" s="596"/>
      <c r="D218" s="596"/>
      <c r="E218" s="596"/>
      <c r="F218" s="596"/>
      <c r="G218" s="596"/>
      <c r="H218" s="596"/>
      <c r="I218" s="596"/>
      <c r="J218" s="596"/>
      <c r="K218" s="596"/>
      <c r="L218" s="596"/>
      <c r="M218" s="596"/>
      <c r="N218" s="596"/>
      <c r="O218" s="596"/>
      <c r="P218" s="597"/>
    </row>
    <row r="219" spans="1:16" ht="15.6" x14ac:dyDescent="0.3">
      <c r="A219" s="591" t="s">
        <v>35</v>
      </c>
      <c r="B219" s="592"/>
      <c r="C219" s="11" t="s">
        <v>31</v>
      </c>
      <c r="D219" s="551">
        <f>184277.88+49741.61+2314793.18</f>
        <v>2548812.67</v>
      </c>
      <c r="E219" s="13">
        <f>267783.74+49402.48+3718236.19</f>
        <v>4035422.41</v>
      </c>
      <c r="F219" s="13">
        <f>361357+233777+5375182</f>
        <v>5970316</v>
      </c>
      <c r="G219" s="13">
        <f>338928+217067+4759371</f>
        <v>5315366</v>
      </c>
      <c r="H219" s="13">
        <f>323933.33+91948.98+4185135.19</f>
        <v>4601017.5</v>
      </c>
      <c r="I219" s="13">
        <f>392884+131063+4586546</f>
        <v>5110493</v>
      </c>
      <c r="J219" s="13">
        <f>372991.99+138164.07+4490388</f>
        <v>5001544.0599999996</v>
      </c>
      <c r="K219" s="13">
        <f>357886+165239+4922565</f>
        <v>5445690</v>
      </c>
      <c r="L219" s="13">
        <v>4978236</v>
      </c>
      <c r="M219" s="13">
        <f>322765.13+117426.61+4390448.02</f>
        <v>4830639.76</v>
      </c>
      <c r="N219" s="13">
        <v>5254031</v>
      </c>
      <c r="O219" s="13">
        <v>4956439</v>
      </c>
      <c r="P219" s="9">
        <f>SUM(D219:O219)</f>
        <v>58048007.399999999</v>
      </c>
    </row>
    <row r="220" spans="1:16" ht="15.6" x14ac:dyDescent="0.3">
      <c r="A220" s="591" t="s">
        <v>34</v>
      </c>
      <c r="B220" s="592"/>
      <c r="C220" s="11" t="s">
        <v>31</v>
      </c>
      <c r="D220" s="551">
        <v>156848.78</v>
      </c>
      <c r="E220" s="13">
        <v>148675.95000000001</v>
      </c>
      <c r="F220" s="13">
        <v>191279</v>
      </c>
      <c r="G220" s="13">
        <v>177889</v>
      </c>
      <c r="H220" s="13">
        <v>208146.33</v>
      </c>
      <c r="I220" s="13">
        <v>177889</v>
      </c>
      <c r="J220" s="13">
        <v>194756.8</v>
      </c>
      <c r="K220" s="13">
        <v>238403</v>
      </c>
      <c r="L220" s="13">
        <v>209885</v>
      </c>
      <c r="M220" s="13">
        <v>170759.98</v>
      </c>
      <c r="N220" s="13">
        <v>181367</v>
      </c>
      <c r="O220" s="13">
        <v>155632</v>
      </c>
      <c r="P220" s="9">
        <f>SUM(D220:O220)</f>
        <v>2211531.84</v>
      </c>
    </row>
    <row r="221" spans="1:16" ht="15.6" x14ac:dyDescent="0.3">
      <c r="A221" s="591" t="s">
        <v>33</v>
      </c>
      <c r="B221" s="592"/>
      <c r="C221" s="11" t="s">
        <v>31</v>
      </c>
      <c r="D221" s="551">
        <v>165485.67000000001</v>
      </c>
      <c r="E221" s="13">
        <v>325637.19</v>
      </c>
      <c r="F221" s="13">
        <v>1917429</v>
      </c>
      <c r="G221" s="13">
        <v>735095</v>
      </c>
      <c r="H221" s="13">
        <v>233013.29</v>
      </c>
      <c r="I221" s="13">
        <v>298579</v>
      </c>
      <c r="J221" s="13">
        <v>439132.31</v>
      </c>
      <c r="K221" s="13">
        <v>507134</v>
      </c>
      <c r="L221" s="13">
        <v>564635</v>
      </c>
      <c r="M221" s="13">
        <v>407646.06</v>
      </c>
      <c r="N221" s="13">
        <v>456397</v>
      </c>
      <c r="O221" s="13">
        <v>485223</v>
      </c>
      <c r="P221" s="9">
        <f>SUM(D221:O221)</f>
        <v>6535406.5199999996</v>
      </c>
    </row>
    <row r="222" spans="1:16" ht="15.6" x14ac:dyDescent="0.3">
      <c r="A222" s="591" t="s">
        <v>32</v>
      </c>
      <c r="B222" s="592"/>
      <c r="C222" s="11" t="s">
        <v>31</v>
      </c>
      <c r="D222" s="551">
        <v>17344.61</v>
      </c>
      <c r="E222" s="13">
        <v>15292.72</v>
      </c>
      <c r="F222" s="13">
        <v>193569</v>
      </c>
      <c r="G222" s="13">
        <v>119403</v>
      </c>
      <c r="H222" s="13">
        <v>137735.04000000001</v>
      </c>
      <c r="I222" s="13">
        <v>215264</v>
      </c>
      <c r="J222" s="13">
        <v>98179.86</v>
      </c>
      <c r="K222" s="13">
        <v>144159</v>
      </c>
      <c r="L222" s="13">
        <v>230352</v>
      </c>
      <c r="M222" s="13">
        <v>180231.4</v>
      </c>
      <c r="N222" s="13">
        <v>297340</v>
      </c>
      <c r="O222" s="13">
        <v>236369</v>
      </c>
      <c r="P222" s="9">
        <f>SUM(D222:O222)</f>
        <v>1885239.63</v>
      </c>
    </row>
    <row r="223" spans="1:16" ht="15.6" x14ac:dyDescent="0.3">
      <c r="A223" s="656" t="s">
        <v>36</v>
      </c>
      <c r="B223" s="657"/>
      <c r="C223" s="11" t="s">
        <v>31</v>
      </c>
      <c r="D223" s="12">
        <f t="shared" ref="D223:N223" si="189">SUM(D219:D222)</f>
        <v>2888491.7299999995</v>
      </c>
      <c r="E223" s="10">
        <f t="shared" si="189"/>
        <v>4525028.2700000005</v>
      </c>
      <c r="F223" s="10">
        <f t="shared" si="189"/>
        <v>8272593</v>
      </c>
      <c r="G223" s="10">
        <f t="shared" si="189"/>
        <v>6347753</v>
      </c>
      <c r="H223" s="10">
        <f t="shared" si="189"/>
        <v>5179912.16</v>
      </c>
      <c r="I223" s="10">
        <f t="shared" si="189"/>
        <v>5802225</v>
      </c>
      <c r="J223" s="14">
        <f t="shared" si="189"/>
        <v>5733613.0299999993</v>
      </c>
      <c r="K223" s="14">
        <f t="shared" si="189"/>
        <v>6335386</v>
      </c>
      <c r="L223" s="14">
        <f t="shared" si="189"/>
        <v>5983108</v>
      </c>
      <c r="M223" s="14">
        <f t="shared" si="189"/>
        <v>5589277.2000000002</v>
      </c>
      <c r="N223" s="14">
        <f t="shared" si="189"/>
        <v>6189135</v>
      </c>
      <c r="O223" s="14">
        <v>5833663</v>
      </c>
      <c r="P223" s="9">
        <f>SUM(D223:O223)</f>
        <v>68680185.390000001</v>
      </c>
    </row>
    <row r="224" spans="1:16" x14ac:dyDescent="0.3">
      <c r="A224" s="595" t="s">
        <v>211</v>
      </c>
      <c r="B224" s="596"/>
      <c r="C224" s="596"/>
      <c r="D224" s="596"/>
      <c r="E224" s="596"/>
      <c r="F224" s="596"/>
      <c r="G224" s="596"/>
      <c r="H224" s="596"/>
      <c r="I224" s="596"/>
      <c r="J224" s="596"/>
      <c r="K224" s="596"/>
      <c r="L224" s="596"/>
      <c r="M224" s="596"/>
      <c r="N224" s="596"/>
      <c r="O224" s="596"/>
      <c r="P224" s="597"/>
    </row>
    <row r="225" spans="1:16" ht="15.6" x14ac:dyDescent="0.3">
      <c r="A225" s="591" t="s">
        <v>35</v>
      </c>
      <c r="B225" s="592"/>
      <c r="C225" s="11" t="s">
        <v>31</v>
      </c>
      <c r="D225" s="55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9">
        <f t="shared" ref="P225:P230" si="190">SUM(D225:O225)</f>
        <v>0</v>
      </c>
    </row>
    <row r="226" spans="1:16" ht="15.6" x14ac:dyDescent="0.3">
      <c r="A226" s="591" t="s">
        <v>34</v>
      </c>
      <c r="B226" s="592"/>
      <c r="C226" s="11" t="s">
        <v>31</v>
      </c>
      <c r="D226" s="55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9">
        <f t="shared" si="190"/>
        <v>0</v>
      </c>
    </row>
    <row r="227" spans="1:16" ht="15.6" x14ac:dyDescent="0.3">
      <c r="A227" s="591" t="s">
        <v>33</v>
      </c>
      <c r="B227" s="592"/>
      <c r="C227" s="11" t="s">
        <v>31</v>
      </c>
      <c r="D227" s="553">
        <v>3677862.46</v>
      </c>
      <c r="E227" s="13">
        <v>3376984.46</v>
      </c>
      <c r="F227" s="13">
        <v>3846555.59</v>
      </c>
      <c r="G227" s="13">
        <v>3630638.82</v>
      </c>
      <c r="H227" s="13">
        <v>9045451.0600000005</v>
      </c>
      <c r="I227" s="13">
        <v>3177111.53</v>
      </c>
      <c r="J227" s="13">
        <v>5415130.4299999997</v>
      </c>
      <c r="K227" s="13">
        <v>2999687.2</v>
      </c>
      <c r="L227" s="13">
        <v>4554806.03</v>
      </c>
      <c r="M227" s="13">
        <v>7519150</v>
      </c>
      <c r="N227" s="13">
        <v>5403990.0099999998</v>
      </c>
      <c r="O227" s="13">
        <v>4084012.4</v>
      </c>
      <c r="P227" s="9">
        <f t="shared" si="190"/>
        <v>56731379.990000002</v>
      </c>
    </row>
    <row r="228" spans="1:16" ht="15.6" x14ac:dyDescent="0.3">
      <c r="A228" s="591" t="s">
        <v>32</v>
      </c>
      <c r="B228" s="592"/>
      <c r="C228" s="11" t="s">
        <v>31</v>
      </c>
      <c r="D228" s="551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9">
        <f t="shared" si="190"/>
        <v>0</v>
      </c>
    </row>
    <row r="229" spans="1:16" ht="15.6" x14ac:dyDescent="0.3">
      <c r="A229" s="656" t="s">
        <v>212</v>
      </c>
      <c r="B229" s="657"/>
      <c r="C229" s="11" t="s">
        <v>31</v>
      </c>
      <c r="D229" s="12">
        <f t="shared" ref="D229:N229" si="191">SUM(D225:D228)</f>
        <v>3677862.46</v>
      </c>
      <c r="E229" s="10">
        <f t="shared" si="191"/>
        <v>3376984.46</v>
      </c>
      <c r="F229" s="10">
        <f t="shared" si="191"/>
        <v>3846555.59</v>
      </c>
      <c r="G229" s="10">
        <f t="shared" si="191"/>
        <v>3630638.82</v>
      </c>
      <c r="H229" s="10">
        <f t="shared" si="191"/>
        <v>9045451.0600000005</v>
      </c>
      <c r="I229" s="10">
        <f t="shared" si="191"/>
        <v>3177111.53</v>
      </c>
      <c r="J229" s="14">
        <f t="shared" si="191"/>
        <v>5415130.4299999997</v>
      </c>
      <c r="K229" s="14">
        <f t="shared" si="191"/>
        <v>2999687.2</v>
      </c>
      <c r="L229" s="14">
        <f t="shared" si="191"/>
        <v>4554806.03</v>
      </c>
      <c r="M229" s="14">
        <f t="shared" si="191"/>
        <v>7519150</v>
      </c>
      <c r="N229" s="14">
        <f t="shared" si="191"/>
        <v>5403990.0099999998</v>
      </c>
      <c r="O229" s="14">
        <v>4084012.4</v>
      </c>
      <c r="P229" s="9">
        <f t="shared" si="190"/>
        <v>56731379.990000002</v>
      </c>
    </row>
    <row r="230" spans="1:16" ht="15.6" x14ac:dyDescent="0.3">
      <c r="A230" s="76" t="s">
        <v>213</v>
      </c>
      <c r="B230" s="120"/>
      <c r="C230" s="11" t="s">
        <v>31</v>
      </c>
      <c r="D230" s="12">
        <f>D223+D229</f>
        <v>6566354.1899999995</v>
      </c>
      <c r="E230" s="12">
        <f t="shared" ref="E230:N230" si="192">E223+E229</f>
        <v>7902012.7300000004</v>
      </c>
      <c r="F230" s="12">
        <f t="shared" si="192"/>
        <v>12119148.59</v>
      </c>
      <c r="G230" s="12">
        <f t="shared" si="192"/>
        <v>9978391.8200000003</v>
      </c>
      <c r="H230" s="12">
        <f t="shared" si="192"/>
        <v>14225363.220000001</v>
      </c>
      <c r="I230" s="12">
        <f t="shared" si="192"/>
        <v>8979336.5299999993</v>
      </c>
      <c r="J230" s="12">
        <f t="shared" si="192"/>
        <v>11148743.459999999</v>
      </c>
      <c r="K230" s="12">
        <f t="shared" si="192"/>
        <v>9335073.1999999993</v>
      </c>
      <c r="L230" s="12">
        <f t="shared" si="192"/>
        <v>10537914.030000001</v>
      </c>
      <c r="M230" s="12">
        <f t="shared" si="192"/>
        <v>13108427.199999999</v>
      </c>
      <c r="N230" s="12">
        <f t="shared" si="192"/>
        <v>11593125.01</v>
      </c>
      <c r="O230" s="12">
        <v>9917675.4000000004</v>
      </c>
      <c r="P230" s="9">
        <f t="shared" si="190"/>
        <v>125411565.38000001</v>
      </c>
    </row>
    <row r="231" spans="1:16" x14ac:dyDescent="0.3">
      <c r="A231" s="595" t="s">
        <v>30</v>
      </c>
      <c r="B231" s="596"/>
      <c r="C231" s="596"/>
      <c r="D231" s="596"/>
      <c r="E231" s="596"/>
      <c r="F231" s="596"/>
      <c r="G231" s="596"/>
      <c r="H231" s="596"/>
      <c r="I231" s="596"/>
      <c r="J231" s="596"/>
      <c r="K231" s="596"/>
      <c r="L231" s="596"/>
      <c r="M231" s="596"/>
      <c r="N231" s="596"/>
      <c r="O231" s="596"/>
      <c r="P231" s="597"/>
    </row>
    <row r="232" spans="1:16" ht="15.6" x14ac:dyDescent="0.3">
      <c r="A232" s="591" t="s">
        <v>29</v>
      </c>
      <c r="B232" s="592"/>
      <c r="C232" s="11" t="s">
        <v>18</v>
      </c>
      <c r="D232" s="551">
        <f>13164.72+2799.24+228870.18</f>
        <v>244834.13999999998</v>
      </c>
      <c r="E232" s="13">
        <f>19747.08+4198.86+344296.05</f>
        <v>368241.99</v>
      </c>
      <c r="F232" s="13">
        <f>20440+7698+354699</f>
        <v>382837</v>
      </c>
      <c r="G232" s="13">
        <f>21133+8398+370056</f>
        <v>399587</v>
      </c>
      <c r="H232" s="13">
        <f>20786.4+7697.91+363616.26</f>
        <v>392100.57</v>
      </c>
      <c r="I232" s="13">
        <f>21479+8398+367579</f>
        <v>397456</v>
      </c>
      <c r="J232" s="13">
        <f>22172.16+8397.72+373028.67</f>
        <v>403598.55</v>
      </c>
      <c r="K232" s="13">
        <f>21826+8398+373029</f>
        <v>403253</v>
      </c>
      <c r="L232" s="13">
        <v>407123</v>
      </c>
      <c r="M232" s="13">
        <f>21825.72+9097.53+373524.06</f>
        <v>404447.31</v>
      </c>
      <c r="N232" s="13">
        <v>415662</v>
      </c>
      <c r="O232" s="13">
        <v>423093</v>
      </c>
      <c r="P232" s="9">
        <f>SUM(D232:O232)</f>
        <v>4642233.5600000005</v>
      </c>
    </row>
    <row r="233" spans="1:16" ht="15.6" x14ac:dyDescent="0.3">
      <c r="A233" s="591" t="s">
        <v>28</v>
      </c>
      <c r="B233" s="592"/>
      <c r="C233" s="11" t="s">
        <v>18</v>
      </c>
      <c r="D233" s="551">
        <v>3303.91</v>
      </c>
      <c r="E233" s="13">
        <v>3303.91</v>
      </c>
      <c r="F233" s="13">
        <v>3304</v>
      </c>
      <c r="G233" s="13">
        <v>3304</v>
      </c>
      <c r="H233" s="13">
        <v>3303.91</v>
      </c>
      <c r="I233" s="13">
        <v>3304</v>
      </c>
      <c r="J233" s="13">
        <v>3303.91</v>
      </c>
      <c r="K233" s="13">
        <v>3304</v>
      </c>
      <c r="L233" s="13">
        <v>3304</v>
      </c>
      <c r="M233" s="13">
        <v>2956.13</v>
      </c>
      <c r="N233" s="13">
        <v>2956</v>
      </c>
      <c r="O233" s="13">
        <v>2782</v>
      </c>
      <c r="P233" s="9">
        <f>SUM(D233:O233)</f>
        <v>38429.770000000004</v>
      </c>
    </row>
    <row r="234" spans="1:16" ht="15.6" x14ac:dyDescent="0.3">
      <c r="A234" s="591" t="s">
        <v>27</v>
      </c>
      <c r="B234" s="592"/>
      <c r="C234" s="11" t="s">
        <v>18</v>
      </c>
      <c r="D234" s="551">
        <v>18510.75</v>
      </c>
      <c r="E234" s="13">
        <v>27766.17</v>
      </c>
      <c r="F234" s="13">
        <v>40107</v>
      </c>
      <c r="G234" s="13">
        <v>40107</v>
      </c>
      <c r="H234" s="13">
        <v>30851.3</v>
      </c>
      <c r="I234" s="13">
        <v>30851</v>
      </c>
      <c r="J234" s="13">
        <v>30851.3</v>
      </c>
      <c r="K234" s="13">
        <v>33936</v>
      </c>
      <c r="L234" s="13">
        <v>37022</v>
      </c>
      <c r="M234" s="13">
        <v>37021.56</v>
      </c>
      <c r="N234" s="13">
        <v>43192</v>
      </c>
      <c r="O234" s="13">
        <v>43192</v>
      </c>
      <c r="P234" s="9">
        <f>SUM(D234:O234)</f>
        <v>413408.08</v>
      </c>
    </row>
    <row r="235" spans="1:16" ht="15.6" x14ac:dyDescent="0.3">
      <c r="A235" s="591" t="s">
        <v>26</v>
      </c>
      <c r="B235" s="592"/>
      <c r="C235" s="11" t="s">
        <v>18</v>
      </c>
      <c r="D235" s="551">
        <v>8431.5300000000007</v>
      </c>
      <c r="E235" s="13">
        <v>8431.5400000000009</v>
      </c>
      <c r="F235" s="13">
        <v>21079</v>
      </c>
      <c r="G235" s="13">
        <v>21079</v>
      </c>
      <c r="H235" s="13">
        <v>25294.62</v>
      </c>
      <c r="I235" s="13">
        <v>25295</v>
      </c>
      <c r="J235" s="13">
        <v>25294.62</v>
      </c>
      <c r="K235" s="13">
        <v>21079</v>
      </c>
      <c r="L235" s="13">
        <v>21079</v>
      </c>
      <c r="M235" s="13">
        <v>21078.85</v>
      </c>
      <c r="N235" s="13">
        <v>25295</v>
      </c>
      <c r="O235" s="13">
        <v>25295</v>
      </c>
      <c r="P235" s="9">
        <f>SUM(D235:O235)</f>
        <v>248732.16</v>
      </c>
    </row>
    <row r="236" spans="1:16" ht="15.6" x14ac:dyDescent="0.3">
      <c r="A236" s="656" t="s">
        <v>25</v>
      </c>
      <c r="B236" s="657"/>
      <c r="C236" s="11" t="s">
        <v>18</v>
      </c>
      <c r="D236" s="12">
        <f t="shared" ref="D236:N236" si="193">SUM(D232:D235)</f>
        <v>275080.33</v>
      </c>
      <c r="E236" s="12">
        <f t="shared" si="193"/>
        <v>407743.60999999993</v>
      </c>
      <c r="F236" s="12">
        <f t="shared" si="193"/>
        <v>447327</v>
      </c>
      <c r="G236" s="12">
        <f t="shared" si="193"/>
        <v>464077</v>
      </c>
      <c r="H236" s="12">
        <f t="shared" si="193"/>
        <v>451550.39999999997</v>
      </c>
      <c r="I236" s="12">
        <f t="shared" si="193"/>
        <v>456906</v>
      </c>
      <c r="J236" s="12">
        <f t="shared" si="193"/>
        <v>463048.37999999995</v>
      </c>
      <c r="K236" s="12">
        <f t="shared" si="193"/>
        <v>461572</v>
      </c>
      <c r="L236" s="12">
        <f t="shared" si="193"/>
        <v>468528</v>
      </c>
      <c r="M236" s="12">
        <f t="shared" si="193"/>
        <v>465503.85</v>
      </c>
      <c r="N236" s="12">
        <f t="shared" si="193"/>
        <v>487105</v>
      </c>
      <c r="O236" s="12">
        <v>494362</v>
      </c>
      <c r="P236" s="40">
        <f t="shared" ref="P236" si="194">SUM(P232:P235)</f>
        <v>5342803.57</v>
      </c>
    </row>
    <row r="237" spans="1:16" x14ac:dyDescent="0.3">
      <c r="A237" s="595" t="s">
        <v>24</v>
      </c>
      <c r="B237" s="596"/>
      <c r="C237" s="596"/>
      <c r="D237" s="596"/>
      <c r="E237" s="596"/>
      <c r="F237" s="596"/>
      <c r="G237" s="596"/>
      <c r="H237" s="596"/>
      <c r="I237" s="596"/>
      <c r="J237" s="596"/>
      <c r="K237" s="596"/>
      <c r="L237" s="596"/>
      <c r="M237" s="596"/>
      <c r="N237" s="596"/>
      <c r="O237" s="596"/>
      <c r="P237" s="597"/>
    </row>
    <row r="238" spans="1:16" ht="15.6" x14ac:dyDescent="0.3">
      <c r="A238" s="591" t="s">
        <v>23</v>
      </c>
      <c r="B238" s="592"/>
      <c r="C238" s="11" t="s">
        <v>18</v>
      </c>
      <c r="D238" s="551">
        <f>50901+5358+618849</f>
        <v>675108</v>
      </c>
      <c r="E238" s="13">
        <f>50901+5358+620635</f>
        <v>676894</v>
      </c>
      <c r="F238" s="13">
        <f>52687+9823+639388</f>
        <v>701898</v>
      </c>
      <c r="G238" s="13">
        <f>54473+10716+667071</f>
        <v>732260</v>
      </c>
      <c r="H238" s="13">
        <f>53580+9823+655462</f>
        <v>718865</v>
      </c>
      <c r="I238" s="13">
        <f>55366+10716+662606</f>
        <v>728688</v>
      </c>
      <c r="J238" s="13">
        <f>57152+10716+672429</f>
        <v>740297</v>
      </c>
      <c r="K238" s="13">
        <f>56259+10716+672429</f>
        <v>739404</v>
      </c>
      <c r="L238" s="13">
        <v>746548</v>
      </c>
      <c r="M238" s="13">
        <f>56259+11609+673322</f>
        <v>741190</v>
      </c>
      <c r="N238" s="13">
        <v>760836</v>
      </c>
      <c r="O238" s="13">
        <v>774231</v>
      </c>
      <c r="P238" s="9">
        <f>SUM(D238:O238)</f>
        <v>8736219</v>
      </c>
    </row>
    <row r="239" spans="1:16" ht="15.6" x14ac:dyDescent="0.3">
      <c r="A239" s="591" t="s">
        <v>22</v>
      </c>
      <c r="B239" s="592"/>
      <c r="C239" s="11" t="s">
        <v>18</v>
      </c>
      <c r="D239" s="551">
        <v>16967</v>
      </c>
      <c r="E239" s="15">
        <v>16967</v>
      </c>
      <c r="F239" s="15">
        <v>16967</v>
      </c>
      <c r="G239" s="15">
        <v>16967</v>
      </c>
      <c r="H239" s="15">
        <v>16967</v>
      </c>
      <c r="I239" s="15">
        <v>16967</v>
      </c>
      <c r="J239" s="15">
        <v>16967</v>
      </c>
      <c r="K239" s="15">
        <v>16967</v>
      </c>
      <c r="L239" s="15">
        <v>16976</v>
      </c>
      <c r="M239" s="15">
        <v>15181</v>
      </c>
      <c r="N239" s="15">
        <v>15181</v>
      </c>
      <c r="O239" s="15">
        <v>14288</v>
      </c>
      <c r="P239" s="9">
        <f>SUM(D239:O239)</f>
        <v>197362</v>
      </c>
    </row>
    <row r="240" spans="1:16" ht="15.6" x14ac:dyDescent="0.3">
      <c r="A240" s="591" t="s">
        <v>21</v>
      </c>
      <c r="B240" s="592"/>
      <c r="C240" s="11" t="s">
        <v>18</v>
      </c>
      <c r="D240" s="551">
        <v>8037</v>
      </c>
      <c r="E240" s="15">
        <v>8037</v>
      </c>
      <c r="F240" s="15">
        <v>11609</v>
      </c>
      <c r="G240" s="15">
        <v>11609</v>
      </c>
      <c r="H240" s="15">
        <v>8930</v>
      </c>
      <c r="I240" s="15">
        <v>8930</v>
      </c>
      <c r="J240" s="15">
        <v>8930</v>
      </c>
      <c r="K240" s="15">
        <v>9823</v>
      </c>
      <c r="L240" s="15">
        <v>10716</v>
      </c>
      <c r="M240" s="15">
        <v>10716</v>
      </c>
      <c r="N240" s="15">
        <v>12502</v>
      </c>
      <c r="O240" s="15">
        <v>12502</v>
      </c>
      <c r="P240" s="9">
        <f>SUM(D240:O240)</f>
        <v>122341</v>
      </c>
    </row>
    <row r="241" spans="1:16" ht="15.6" x14ac:dyDescent="0.3">
      <c r="A241" s="591" t="s">
        <v>20</v>
      </c>
      <c r="B241" s="592"/>
      <c r="C241" s="11" t="s">
        <v>18</v>
      </c>
      <c r="D241" s="551">
        <v>2679</v>
      </c>
      <c r="E241" s="15">
        <v>1786</v>
      </c>
      <c r="F241" s="15">
        <v>4465</v>
      </c>
      <c r="G241" s="15">
        <v>4465</v>
      </c>
      <c r="H241" s="15">
        <v>5358</v>
      </c>
      <c r="I241" s="15">
        <v>5358</v>
      </c>
      <c r="J241" s="15">
        <v>5358</v>
      </c>
      <c r="K241" s="15">
        <v>4465</v>
      </c>
      <c r="L241" s="15">
        <v>4465</v>
      </c>
      <c r="M241" s="15">
        <v>4465</v>
      </c>
      <c r="N241" s="15">
        <v>5358</v>
      </c>
      <c r="O241" s="15">
        <v>5358</v>
      </c>
      <c r="P241" s="9">
        <f>SUM(D241:O241)</f>
        <v>53580</v>
      </c>
    </row>
    <row r="242" spans="1:16" ht="15.6" x14ac:dyDescent="0.3">
      <c r="A242" s="656" t="s">
        <v>19</v>
      </c>
      <c r="B242" s="657"/>
      <c r="C242" s="11" t="s">
        <v>18</v>
      </c>
      <c r="D242" s="12">
        <f t="shared" ref="D242:P242" si="195">SUM(D238:D241)</f>
        <v>702791</v>
      </c>
      <c r="E242" s="12">
        <f t="shared" si="195"/>
        <v>703684</v>
      </c>
      <c r="F242" s="12">
        <f t="shared" si="195"/>
        <v>734939</v>
      </c>
      <c r="G242" s="12">
        <f t="shared" si="195"/>
        <v>765301</v>
      </c>
      <c r="H242" s="12">
        <f t="shared" si="195"/>
        <v>750120</v>
      </c>
      <c r="I242" s="12">
        <f t="shared" si="195"/>
        <v>759943</v>
      </c>
      <c r="J242" s="12">
        <f t="shared" si="195"/>
        <v>771552</v>
      </c>
      <c r="K242" s="12">
        <f t="shared" si="195"/>
        <v>770659</v>
      </c>
      <c r="L242" s="12">
        <f t="shared" si="195"/>
        <v>778705</v>
      </c>
      <c r="M242" s="12">
        <f t="shared" si="195"/>
        <v>771552</v>
      </c>
      <c r="N242" s="12">
        <f t="shared" si="195"/>
        <v>793877</v>
      </c>
      <c r="O242" s="12">
        <v>806379</v>
      </c>
      <c r="P242" s="40">
        <f t="shared" si="195"/>
        <v>9109502</v>
      </c>
    </row>
    <row r="243" spans="1:16" ht="15.6" x14ac:dyDescent="0.3">
      <c r="A243" s="656" t="s">
        <v>214</v>
      </c>
      <c r="B243" s="657"/>
      <c r="C243" s="11" t="s">
        <v>18</v>
      </c>
      <c r="D243" s="10">
        <f>D230+D236+D242</f>
        <v>7544225.5199999996</v>
      </c>
      <c r="E243" s="10">
        <f t="shared" ref="E243:N243" si="196">E230+E236+E242</f>
        <v>9013440.3399999999</v>
      </c>
      <c r="F243" s="10">
        <f t="shared" si="196"/>
        <v>13301414.59</v>
      </c>
      <c r="G243" s="10">
        <f t="shared" si="196"/>
        <v>11207769.82</v>
      </c>
      <c r="H243" s="10">
        <f t="shared" si="196"/>
        <v>15427033.620000001</v>
      </c>
      <c r="I243" s="10">
        <f t="shared" si="196"/>
        <v>10196185.529999999</v>
      </c>
      <c r="J243" s="10">
        <f t="shared" si="196"/>
        <v>12383343.84</v>
      </c>
      <c r="K243" s="10">
        <f t="shared" si="196"/>
        <v>10567304.199999999</v>
      </c>
      <c r="L243" s="10">
        <f t="shared" si="196"/>
        <v>11785147.030000001</v>
      </c>
      <c r="M243" s="10">
        <f t="shared" si="196"/>
        <v>14345483.049999999</v>
      </c>
      <c r="N243" s="10">
        <f t="shared" si="196"/>
        <v>12874107.01</v>
      </c>
      <c r="O243" s="10">
        <v>11218416.4</v>
      </c>
      <c r="P243" s="40">
        <f t="shared" ref="P243" si="197">P216+P223+P236+P242</f>
        <v>141352379.10999998</v>
      </c>
    </row>
    <row r="244" spans="1:16" x14ac:dyDescent="0.3">
      <c r="A244" s="595" t="s">
        <v>204</v>
      </c>
      <c r="B244" s="596"/>
      <c r="C244" s="596"/>
      <c r="D244" s="596"/>
      <c r="E244" s="596"/>
      <c r="F244" s="596"/>
      <c r="G244" s="596"/>
      <c r="H244" s="596"/>
      <c r="I244" s="596"/>
      <c r="J244" s="596"/>
      <c r="K244" s="596"/>
      <c r="L244" s="596"/>
      <c r="M244" s="596"/>
      <c r="N244" s="596"/>
      <c r="O244" s="596"/>
      <c r="P244" s="597"/>
    </row>
    <row r="245" spans="1:16" ht="15.6" x14ac:dyDescent="0.3">
      <c r="A245" s="663" t="s">
        <v>205</v>
      </c>
      <c r="B245" s="664"/>
      <c r="C245" s="11" t="s">
        <v>18</v>
      </c>
      <c r="D245" s="152">
        <v>31654804.27</v>
      </c>
      <c r="E245" s="152">
        <v>33020900.620000001</v>
      </c>
      <c r="F245" s="152">
        <v>34456569.32</v>
      </c>
      <c r="G245" s="152">
        <v>37490323.670000002</v>
      </c>
      <c r="H245" s="152">
        <v>39003506.509999998</v>
      </c>
      <c r="I245" s="152">
        <v>40136229.25</v>
      </c>
      <c r="J245" s="152">
        <v>43932937.18</v>
      </c>
      <c r="K245" s="152">
        <v>43335051.539999999</v>
      </c>
      <c r="L245" s="152">
        <v>47125412.759999998</v>
      </c>
      <c r="M245" s="152">
        <v>41042925.060000002</v>
      </c>
      <c r="N245" s="152">
        <v>44183549.700000003</v>
      </c>
      <c r="O245" s="152">
        <v>44071877.020000003</v>
      </c>
      <c r="P245" s="161">
        <f>O245</f>
        <v>44071877.020000003</v>
      </c>
    </row>
    <row r="246" spans="1:16" ht="15.6" x14ac:dyDescent="0.3">
      <c r="A246" s="663" t="s">
        <v>206</v>
      </c>
      <c r="B246" s="664"/>
      <c r="C246" s="11" t="s">
        <v>18</v>
      </c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61">
        <f>O246</f>
        <v>0</v>
      </c>
    </row>
    <row r="247" spans="1:16" ht="15.6" x14ac:dyDescent="0.3">
      <c r="A247" s="665" t="s">
        <v>207</v>
      </c>
      <c r="B247" s="666"/>
      <c r="C247" s="11" t="s">
        <v>18</v>
      </c>
      <c r="D247" s="143">
        <f>D245+D246</f>
        <v>31654804.27</v>
      </c>
      <c r="E247" s="143">
        <f t="shared" ref="E247:P247" si="198">E245+E246</f>
        <v>33020900.620000001</v>
      </c>
      <c r="F247" s="143">
        <f t="shared" si="198"/>
        <v>34456569.32</v>
      </c>
      <c r="G247" s="143">
        <f t="shared" si="198"/>
        <v>37490323.670000002</v>
      </c>
      <c r="H247" s="143">
        <f t="shared" si="198"/>
        <v>39003506.509999998</v>
      </c>
      <c r="I247" s="143">
        <f t="shared" si="198"/>
        <v>40136229.25</v>
      </c>
      <c r="J247" s="143">
        <f t="shared" si="198"/>
        <v>43932937.18</v>
      </c>
      <c r="K247" s="143">
        <f t="shared" si="198"/>
        <v>43335051.539999999</v>
      </c>
      <c r="L247" s="143">
        <f t="shared" si="198"/>
        <v>47125412.759999998</v>
      </c>
      <c r="M247" s="143">
        <f t="shared" si="198"/>
        <v>41042925.060000002</v>
      </c>
      <c r="N247" s="154">
        <f t="shared" si="198"/>
        <v>44183549.700000003</v>
      </c>
      <c r="O247" s="154">
        <v>44071877.020000003</v>
      </c>
      <c r="P247" s="161">
        <f t="shared" si="198"/>
        <v>44071877.020000003</v>
      </c>
    </row>
    <row r="248" spans="1:16" x14ac:dyDescent="0.3">
      <c r="A248" s="595" t="s">
        <v>17</v>
      </c>
      <c r="B248" s="596"/>
      <c r="C248" s="596"/>
      <c r="D248" s="596"/>
      <c r="E248" s="596"/>
      <c r="F248" s="596"/>
      <c r="G248" s="596"/>
      <c r="H248" s="596"/>
      <c r="I248" s="596"/>
      <c r="J248" s="596"/>
      <c r="K248" s="596"/>
      <c r="L248" s="596"/>
      <c r="M248" s="596"/>
      <c r="N248" s="596"/>
      <c r="O248" s="596"/>
      <c r="P248" s="597"/>
    </row>
    <row r="249" spans="1:16" ht="15.6" x14ac:dyDescent="0.3">
      <c r="A249" s="620" t="s">
        <v>16</v>
      </c>
      <c r="B249" s="621"/>
      <c r="C249" s="5" t="s">
        <v>6</v>
      </c>
      <c r="D249" s="8">
        <f>D58/D243%</f>
        <v>53.080091486978766</v>
      </c>
      <c r="E249" s="8">
        <f t="shared" ref="E249:H249" si="199">E58/E243%</f>
        <v>39.879836237979696</v>
      </c>
      <c r="F249" s="8">
        <f t="shared" si="199"/>
        <v>33.618482663955518</v>
      </c>
      <c r="G249" s="8">
        <f t="shared" si="199"/>
        <v>40.942726079290594</v>
      </c>
      <c r="H249" s="8">
        <f t="shared" si="199"/>
        <v>21.699046760747251</v>
      </c>
      <c r="I249" s="8">
        <f t="shared" ref="I249:P249" si="200">I58/I243%</f>
        <v>31.150865965068409</v>
      </c>
      <c r="J249" s="8">
        <f t="shared" si="200"/>
        <v>27.60037460931877</v>
      </c>
      <c r="K249" s="8">
        <f t="shared" si="200"/>
        <v>36.834315198383329</v>
      </c>
      <c r="L249" s="8">
        <f t="shared" si="200"/>
        <v>14.456251756241347</v>
      </c>
      <c r="M249" s="8">
        <f t="shared" si="200"/>
        <v>10.887381100840662</v>
      </c>
      <c r="N249" s="8">
        <f t="shared" si="200"/>
        <v>12.630277744561019</v>
      </c>
      <c r="O249" s="8">
        <v>0.6177863927389966</v>
      </c>
      <c r="P249" s="112">
        <f t="shared" si="200"/>
        <v>25.082258638755928</v>
      </c>
    </row>
    <row r="250" spans="1:16" ht="15.6" x14ac:dyDescent="0.3">
      <c r="A250" s="620" t="s">
        <v>208</v>
      </c>
      <c r="B250" s="621"/>
      <c r="C250" s="5" t="s">
        <v>6</v>
      </c>
      <c r="D250" s="559">
        <f>D210/(D223+D245)%</f>
        <v>6.829326535603319</v>
      </c>
      <c r="E250" s="559">
        <f t="shared" ref="E250:H250" si="201">E210/(E223+E245)%</f>
        <v>9.3463051887221535</v>
      </c>
      <c r="F250" s="559">
        <f t="shared" si="201"/>
        <v>14.823658260754781</v>
      </c>
      <c r="G250" s="559">
        <f t="shared" si="201"/>
        <v>10.211118598328779</v>
      </c>
      <c r="H250" s="559">
        <f t="shared" si="201"/>
        <v>8.6090825800736983</v>
      </c>
      <c r="I250" s="29">
        <f t="shared" ref="I250:P250" si="202">I210/(I223+I245)%</f>
        <v>13.474384589246384</v>
      </c>
      <c r="J250" s="29">
        <f t="shared" si="202"/>
        <v>3.4014703917564484</v>
      </c>
      <c r="K250" s="29">
        <f t="shared" si="202"/>
        <v>15.78034619422843</v>
      </c>
      <c r="L250" s="29">
        <f t="shared" si="202"/>
        <v>5.3283182425433466</v>
      </c>
      <c r="M250" s="29">
        <f t="shared" si="202"/>
        <v>10.870018472938403</v>
      </c>
      <c r="N250" s="29">
        <f t="shared" si="202"/>
        <v>7.1702114380256567</v>
      </c>
      <c r="O250" s="29">
        <v>6.7951814540849842</v>
      </c>
      <c r="P250" s="109">
        <f t="shared" si="202"/>
        <v>45.322102751592588</v>
      </c>
    </row>
    <row r="251" spans="1:16" ht="16.2" thickBot="1" x14ac:dyDescent="0.35">
      <c r="A251" s="669" t="s">
        <v>15</v>
      </c>
      <c r="B251" s="670"/>
      <c r="C251" s="5" t="s">
        <v>6</v>
      </c>
      <c r="D251" s="29">
        <f>D210/D223%</f>
        <v>81.671498502091978</v>
      </c>
      <c r="E251" s="29">
        <f t="shared" ref="E251:H251" si="203">E210/E223%</f>
        <v>77.549948654795912</v>
      </c>
      <c r="F251" s="29">
        <f t="shared" si="203"/>
        <v>76.56638009388351</v>
      </c>
      <c r="G251" s="29">
        <f t="shared" si="203"/>
        <v>70.518780425136271</v>
      </c>
      <c r="H251" s="29">
        <f t="shared" si="203"/>
        <v>73.433426716641463</v>
      </c>
      <c r="I251" s="7">
        <f t="shared" ref="I251:P251" si="204">I210/I223%</f>
        <v>106.68190220131071</v>
      </c>
      <c r="J251" s="7">
        <f t="shared" si="204"/>
        <v>29.464719560957192</v>
      </c>
      <c r="K251" s="7">
        <f t="shared" si="204"/>
        <v>123.720433135408</v>
      </c>
      <c r="L251" s="7">
        <f t="shared" si="204"/>
        <v>47.296338291068786</v>
      </c>
      <c r="M251" s="7">
        <f t="shared" si="204"/>
        <v>90.690241664879309</v>
      </c>
      <c r="N251" s="7">
        <f t="shared" si="204"/>
        <v>58.357557235381037</v>
      </c>
      <c r="O251" s="7">
        <v>58.131091905720304</v>
      </c>
      <c r="P251" s="113">
        <f t="shared" si="204"/>
        <v>74.405165463400905</v>
      </c>
    </row>
    <row r="252" spans="1:16" x14ac:dyDescent="0.3">
      <c r="A252" s="649" t="s">
        <v>14</v>
      </c>
      <c r="B252" s="650"/>
      <c r="C252" s="650"/>
      <c r="D252" s="650"/>
      <c r="E252" s="650"/>
      <c r="F252" s="650"/>
      <c r="G252" s="650"/>
      <c r="H252" s="650"/>
      <c r="I252" s="650"/>
      <c r="J252" s="650"/>
      <c r="K252" s="650"/>
      <c r="L252" s="650"/>
      <c r="M252" s="650"/>
      <c r="N252" s="650"/>
      <c r="O252" s="650"/>
      <c r="P252" s="651"/>
    </row>
    <row r="253" spans="1:16" s="2" customFormat="1" ht="15" customHeight="1" x14ac:dyDescent="0.3">
      <c r="A253" s="620" t="s">
        <v>13</v>
      </c>
      <c r="B253" s="621"/>
      <c r="C253" s="5" t="s">
        <v>3</v>
      </c>
      <c r="D253" s="4">
        <v>11</v>
      </c>
      <c r="E253" s="4">
        <v>8</v>
      </c>
      <c r="F253" s="4">
        <v>14</v>
      </c>
      <c r="G253" s="4">
        <v>11</v>
      </c>
      <c r="H253" s="4">
        <v>82</v>
      </c>
      <c r="I253" s="4">
        <v>61</v>
      </c>
      <c r="J253" s="4">
        <v>20</v>
      </c>
      <c r="K253" s="4">
        <v>22</v>
      </c>
      <c r="L253" s="133">
        <v>21</v>
      </c>
      <c r="M253" s="4">
        <v>69</v>
      </c>
      <c r="N253" s="133">
        <v>69</v>
      </c>
      <c r="O253" s="133">
        <v>7</v>
      </c>
      <c r="P253" s="114">
        <f>SUM(D253:O253)</f>
        <v>395</v>
      </c>
    </row>
    <row r="254" spans="1:16" s="2" customFormat="1" ht="15.6" x14ac:dyDescent="0.3">
      <c r="A254" s="620" t="s">
        <v>12</v>
      </c>
      <c r="B254" s="621"/>
      <c r="C254" s="5" t="s">
        <v>3</v>
      </c>
      <c r="D254" s="4">
        <v>20</v>
      </c>
      <c r="E254" s="4">
        <v>2</v>
      </c>
      <c r="F254" s="4">
        <v>2</v>
      </c>
      <c r="G254" s="4">
        <v>2</v>
      </c>
      <c r="H254" s="4">
        <v>2</v>
      </c>
      <c r="I254" s="4">
        <v>2</v>
      </c>
      <c r="J254" s="4">
        <v>15</v>
      </c>
      <c r="K254" s="4">
        <v>12</v>
      </c>
      <c r="L254" s="133">
        <v>15</v>
      </c>
      <c r="M254" s="4">
        <v>2</v>
      </c>
      <c r="N254" s="133">
        <v>2</v>
      </c>
      <c r="O254" s="133">
        <v>2</v>
      </c>
      <c r="P254" s="114">
        <f>SUM(D254:O254)</f>
        <v>78</v>
      </c>
    </row>
    <row r="255" spans="1:16" ht="15.75" customHeight="1" x14ac:dyDescent="0.3">
      <c r="A255" s="620" t="s">
        <v>11</v>
      </c>
      <c r="B255" s="621"/>
      <c r="C255" s="5" t="s">
        <v>3</v>
      </c>
      <c r="D255" s="4">
        <v>9</v>
      </c>
      <c r="E255" s="4">
        <v>8</v>
      </c>
      <c r="F255" s="4">
        <v>11</v>
      </c>
      <c r="G255" s="4">
        <v>11</v>
      </c>
      <c r="H255" s="4">
        <v>7</v>
      </c>
      <c r="I255" s="4">
        <v>5</v>
      </c>
      <c r="J255" s="4">
        <v>6</v>
      </c>
      <c r="K255" s="4">
        <v>5</v>
      </c>
      <c r="L255" s="133">
        <v>4</v>
      </c>
      <c r="M255" s="133">
        <f t="shared" ref="M255:N255" si="205">M95</f>
        <v>58</v>
      </c>
      <c r="N255" s="133">
        <f t="shared" si="205"/>
        <v>50</v>
      </c>
      <c r="O255" s="133">
        <v>43</v>
      </c>
      <c r="P255" s="114">
        <f>SUM(D255:O255)</f>
        <v>217</v>
      </c>
    </row>
    <row r="256" spans="1:16" ht="15.6" x14ac:dyDescent="0.3">
      <c r="A256" s="620" t="s">
        <v>10</v>
      </c>
      <c r="B256" s="621"/>
      <c r="C256" s="5" t="s">
        <v>3</v>
      </c>
      <c r="D256" s="4">
        <v>71</v>
      </c>
      <c r="E256" s="4">
        <v>28</v>
      </c>
      <c r="F256" s="4">
        <v>11</v>
      </c>
      <c r="G256" s="4">
        <v>22</v>
      </c>
      <c r="H256" s="4">
        <v>7</v>
      </c>
      <c r="I256" s="4">
        <v>28</v>
      </c>
      <c r="J256" s="4">
        <v>19</v>
      </c>
      <c r="K256" s="4">
        <v>22</v>
      </c>
      <c r="L256" s="133">
        <v>32</v>
      </c>
      <c r="M256" s="133">
        <f t="shared" ref="M256:N256" si="206">M91</f>
        <v>0</v>
      </c>
      <c r="N256" s="133">
        <f t="shared" si="206"/>
        <v>0</v>
      </c>
      <c r="O256" s="133">
        <v>0</v>
      </c>
      <c r="P256" s="114">
        <f>SUM(D256:O256)</f>
        <v>240</v>
      </c>
    </row>
    <row r="257" spans="1:16" ht="15.6" customHeight="1" x14ac:dyDescent="0.3">
      <c r="A257" s="620" t="s">
        <v>9</v>
      </c>
      <c r="B257" s="621"/>
      <c r="C257" s="5" t="s">
        <v>3</v>
      </c>
      <c r="D257" s="4">
        <v>30</v>
      </c>
      <c r="E257" s="4">
        <v>7</v>
      </c>
      <c r="F257" s="4">
        <v>21</v>
      </c>
      <c r="G257" s="4">
        <v>11</v>
      </c>
      <c r="H257" s="4">
        <v>2</v>
      </c>
      <c r="I257" s="4">
        <v>3</v>
      </c>
      <c r="J257" s="4">
        <v>20</v>
      </c>
      <c r="K257" s="4">
        <v>21</v>
      </c>
      <c r="L257" s="133">
        <v>30</v>
      </c>
      <c r="M257" s="4">
        <v>35</v>
      </c>
      <c r="N257" s="133">
        <v>30</v>
      </c>
      <c r="O257" s="133">
        <v>15</v>
      </c>
      <c r="P257" s="114">
        <f>SUM(D257:O257)</f>
        <v>225</v>
      </c>
    </row>
    <row r="258" spans="1:16" ht="15.6" x14ac:dyDescent="0.3">
      <c r="A258" s="656" t="s">
        <v>8</v>
      </c>
      <c r="B258" s="657"/>
      <c r="C258" s="5" t="s">
        <v>3</v>
      </c>
      <c r="D258" s="1">
        <f>D257/D256</f>
        <v>0.42253521126760563</v>
      </c>
      <c r="E258" s="1">
        <f t="shared" ref="E258:G258" si="207">E257/E256</f>
        <v>0.25</v>
      </c>
      <c r="F258" s="1">
        <f t="shared" si="207"/>
        <v>1.9090909090909092</v>
      </c>
      <c r="G258" s="1">
        <f t="shared" si="207"/>
        <v>0.5</v>
      </c>
      <c r="H258" s="3">
        <f t="shared" ref="H258:P258" si="208">H257/H256</f>
        <v>0.2857142857142857</v>
      </c>
      <c r="I258" s="3">
        <f t="shared" si="208"/>
        <v>0.10714285714285714</v>
      </c>
      <c r="J258" s="3">
        <f t="shared" si="208"/>
        <v>1.0526315789473684</v>
      </c>
      <c r="K258" s="3">
        <f t="shared" si="208"/>
        <v>0.95454545454545459</v>
      </c>
      <c r="L258" s="3">
        <f t="shared" si="208"/>
        <v>0.9375</v>
      </c>
      <c r="M258" s="6" t="e">
        <f>M257/M256</f>
        <v>#DIV/0!</v>
      </c>
      <c r="N258" s="3" t="e">
        <f t="shared" si="208"/>
        <v>#DIV/0!</v>
      </c>
      <c r="O258" s="3" t="e">
        <v>#DIV/0!</v>
      </c>
      <c r="P258" s="114">
        <f t="shared" si="208"/>
        <v>0.9375</v>
      </c>
    </row>
    <row r="259" spans="1:16" ht="15.6" x14ac:dyDescent="0.3">
      <c r="A259" s="656" t="s">
        <v>7</v>
      </c>
      <c r="B259" s="657"/>
      <c r="C259" s="5" t="s">
        <v>6</v>
      </c>
      <c r="D259" s="1">
        <f>D256/D255*100</f>
        <v>788.88888888888891</v>
      </c>
      <c r="E259" s="1">
        <f t="shared" ref="E259:G259" si="209">E256/E255*100</f>
        <v>350</v>
      </c>
      <c r="F259" s="1">
        <f t="shared" si="209"/>
        <v>100</v>
      </c>
      <c r="G259" s="1">
        <f t="shared" si="209"/>
        <v>200</v>
      </c>
      <c r="H259" s="6">
        <f t="shared" ref="H259:P259" si="210">H92/H255*100</f>
        <v>100</v>
      </c>
      <c r="I259" s="6">
        <f t="shared" si="210"/>
        <v>40</v>
      </c>
      <c r="J259" s="6">
        <f t="shared" si="210"/>
        <v>166.66666666666669</v>
      </c>
      <c r="K259" s="6">
        <f t="shared" si="210"/>
        <v>100</v>
      </c>
      <c r="L259" s="175">
        <f t="shared" si="210"/>
        <v>100</v>
      </c>
      <c r="M259" s="175">
        <f t="shared" si="210"/>
        <v>10.344827586206897</v>
      </c>
      <c r="N259" s="175">
        <f t="shared" si="210"/>
        <v>16</v>
      </c>
      <c r="O259" s="175">
        <v>16.279069767441861</v>
      </c>
      <c r="P259" s="183">
        <f t="shared" si="210"/>
        <v>40.092165898617509</v>
      </c>
    </row>
    <row r="260" spans="1:16" x14ac:dyDescent="0.3">
      <c r="A260" s="595" t="s">
        <v>5</v>
      </c>
      <c r="B260" s="596"/>
      <c r="C260" s="596"/>
      <c r="D260" s="596"/>
      <c r="E260" s="596"/>
      <c r="F260" s="596"/>
      <c r="G260" s="596"/>
      <c r="H260" s="596"/>
      <c r="I260" s="596"/>
      <c r="J260" s="596"/>
      <c r="K260" s="596"/>
      <c r="L260" s="596"/>
      <c r="M260" s="596"/>
      <c r="N260" s="596"/>
      <c r="O260" s="596"/>
      <c r="P260" s="597"/>
    </row>
    <row r="261" spans="1:16" s="2" customFormat="1" ht="15" customHeight="1" x14ac:dyDescent="0.3">
      <c r="A261" s="620" t="s">
        <v>4</v>
      </c>
      <c r="B261" s="621"/>
      <c r="C261" s="5" t="s">
        <v>3</v>
      </c>
      <c r="D261" s="4">
        <v>8</v>
      </c>
      <c r="E261" s="4">
        <v>24</v>
      </c>
      <c r="F261" s="4">
        <v>12</v>
      </c>
      <c r="G261" s="4">
        <v>6</v>
      </c>
      <c r="H261" s="4">
        <v>9</v>
      </c>
      <c r="I261" s="4">
        <v>21</v>
      </c>
      <c r="J261" s="4">
        <v>15</v>
      </c>
      <c r="K261" s="4">
        <v>9</v>
      </c>
      <c r="L261" s="4">
        <v>25</v>
      </c>
      <c r="M261" s="4">
        <v>15</v>
      </c>
      <c r="N261" s="4">
        <v>15</v>
      </c>
      <c r="O261" s="4">
        <v>15</v>
      </c>
      <c r="P261" s="40">
        <f>SUM(D261:O261)</f>
        <v>174</v>
      </c>
    </row>
    <row r="262" spans="1:16" s="2" customFormat="1" ht="15.75" customHeight="1" x14ac:dyDescent="0.3">
      <c r="A262" s="620" t="s">
        <v>2</v>
      </c>
      <c r="B262" s="621"/>
      <c r="C262" s="5" t="s">
        <v>0</v>
      </c>
      <c r="D262" s="4">
        <v>5</v>
      </c>
      <c r="E262" s="4">
        <v>3</v>
      </c>
      <c r="F262" s="4">
        <v>3</v>
      </c>
      <c r="G262" s="4">
        <v>1</v>
      </c>
      <c r="H262" s="4">
        <v>1</v>
      </c>
      <c r="I262" s="4">
        <v>1</v>
      </c>
      <c r="J262" s="4">
        <v>7</v>
      </c>
      <c r="K262" s="4">
        <v>5</v>
      </c>
      <c r="L262" s="4">
        <v>15</v>
      </c>
      <c r="M262" s="4">
        <v>1</v>
      </c>
      <c r="N262" s="4">
        <v>2</v>
      </c>
      <c r="O262" s="4">
        <v>7</v>
      </c>
      <c r="P262" s="40">
        <f>SUM(D262:O262)</f>
        <v>51</v>
      </c>
    </row>
    <row r="263" spans="1:16" ht="16.2" thickBot="1" x14ac:dyDescent="0.35">
      <c r="A263" s="667" t="s">
        <v>1</v>
      </c>
      <c r="B263" s="668"/>
      <c r="C263" s="116" t="s">
        <v>0</v>
      </c>
      <c r="D263" s="1">
        <f>D261/D262</f>
        <v>1.6</v>
      </c>
      <c r="E263" s="15">
        <f t="shared" ref="E263:G263" si="211">E261/E262</f>
        <v>8</v>
      </c>
      <c r="F263" s="15">
        <f t="shared" si="211"/>
        <v>4</v>
      </c>
      <c r="G263" s="15">
        <f t="shared" si="211"/>
        <v>6</v>
      </c>
      <c r="H263" s="117">
        <f t="shared" ref="H263:I263" si="212">H261/H262</f>
        <v>9</v>
      </c>
      <c r="I263" s="117">
        <f t="shared" si="212"/>
        <v>21</v>
      </c>
      <c r="J263" s="117">
        <f t="shared" ref="J263:K263" si="213">J261/J262</f>
        <v>2.1428571428571428</v>
      </c>
      <c r="K263" s="117">
        <f t="shared" si="213"/>
        <v>1.8</v>
      </c>
      <c r="L263" s="117">
        <f t="shared" ref="L263:M263" si="214">L261/L262</f>
        <v>1.6666666666666667</v>
      </c>
      <c r="M263" s="117">
        <f t="shared" si="214"/>
        <v>15</v>
      </c>
      <c r="N263" s="117">
        <f t="shared" ref="N263:P263" si="215">N261/N262</f>
        <v>7.5</v>
      </c>
      <c r="O263" s="117">
        <v>2.1428571428571428</v>
      </c>
      <c r="P263" s="198">
        <f t="shared" si="215"/>
        <v>3.4117647058823528</v>
      </c>
    </row>
  </sheetData>
  <mergeCells count="15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A37:A38"/>
    <mergeCell ref="A39:A40"/>
    <mergeCell ref="A29:A30"/>
    <mergeCell ref="B29:B30"/>
    <mergeCell ref="A31:A32"/>
    <mergeCell ref="A33:A34"/>
    <mergeCell ref="A20:B20"/>
    <mergeCell ref="A21:B21"/>
    <mergeCell ref="A23:P23"/>
    <mergeCell ref="A24:A25"/>
    <mergeCell ref="A26:P26"/>
    <mergeCell ref="A27:P27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R263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XFD6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27" bestFit="1" customWidth="1"/>
    <col min="18" max="18" width="10.109375" bestFit="1" customWidth="1"/>
  </cols>
  <sheetData>
    <row r="1" spans="1:18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18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18" ht="18" thickBot="1" x14ac:dyDescent="0.35">
      <c r="A3" s="315" t="s">
        <v>217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18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18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3"/>
    </row>
    <row r="6" spans="1:18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18" ht="16.2" thickBot="1" x14ac:dyDescent="0.35">
      <c r="A7" s="235" t="s">
        <v>174</v>
      </c>
      <c r="B7" s="236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8" ht="15" thickBot="1" x14ac:dyDescent="0.35">
      <c r="A8" s="297" t="s">
        <v>159</v>
      </c>
      <c r="B8" s="298"/>
      <c r="C8" s="298"/>
      <c r="D8" s="298"/>
      <c r="E8" s="298"/>
      <c r="F8" s="298"/>
      <c r="G8" s="298"/>
      <c r="H8" s="298"/>
      <c r="I8" s="298"/>
      <c r="J8" s="298"/>
      <c r="K8" s="298"/>
      <c r="L8" s="298"/>
      <c r="M8" s="298"/>
      <c r="N8" s="298"/>
      <c r="O8" s="298"/>
      <c r="P8" s="299"/>
    </row>
    <row r="9" spans="1:18" x14ac:dyDescent="0.3">
      <c r="A9" s="239" t="s">
        <v>176</v>
      </c>
      <c r="B9" s="240"/>
      <c r="C9" s="58" t="s">
        <v>152</v>
      </c>
      <c r="D9" s="34">
        <f>Bangula!D9+Chikwawa!D9+Nchalo!D9+'Miseu Folo'!D9+Nsanje!D9+Ngabu!D9</f>
        <v>96447</v>
      </c>
      <c r="E9" s="34">
        <f>Bangula!E9+Chikwawa!E9+Nchalo!E9+'Miseu Folo'!E9+Nsanje!E9+Ngabu!E9</f>
        <v>111131</v>
      </c>
      <c r="F9" s="34">
        <f>Bangula!F9+Chikwawa!F9+Nchalo!F9+'Miseu Folo'!F9+Nsanje!F9+Ngabu!F9</f>
        <v>112105</v>
      </c>
      <c r="G9" s="34">
        <f>Bangula!G9+Chikwawa!G9+Nchalo!G9+'Miseu Folo'!G9+Nsanje!G9+Ngabu!G9</f>
        <v>99943</v>
      </c>
      <c r="H9" s="34">
        <f>Bangula!H9+Chikwawa!H9+Nchalo!H9+'Miseu Folo'!H9+Nsanje!H9+Ngabu!H9</f>
        <v>101009</v>
      </c>
      <c r="I9" s="34">
        <f>Bangula!I9+Chikwawa!I9+Nchalo!I9+'Miseu Folo'!I9+Nsanje!I9+Ngabu!I9</f>
        <v>102088</v>
      </c>
      <c r="J9" s="34">
        <f>Bangula!J9+Chikwawa!J9+Nchalo!J9+'Miseu Folo'!J9+Nsanje!J9+Ngabu!J9</f>
        <v>102932</v>
      </c>
      <c r="K9" s="34">
        <f>Bangula!K9+Chikwawa!K9+Nchalo!K9+'Miseu Folo'!K9+Nsanje!K9+Ngabu!K9</f>
        <v>103528</v>
      </c>
      <c r="L9" s="34">
        <f>Bangula!L9+Chikwawa!L9+Nchalo!L9+'Miseu Folo'!L9+Nsanje!L9+Ngabu!L9</f>
        <v>100039</v>
      </c>
      <c r="M9" s="34">
        <f>Bangula!M9+Chikwawa!M9+Nchalo!M9+'Miseu Folo'!M9+Nsanje!M9+Ngabu!M9</f>
        <v>98630</v>
      </c>
      <c r="N9" s="34">
        <f>Bangula!N9+Chikwawa!N9+Nchalo!N9+'Miseu Folo'!N9+Nsanje!N9+Ngabu!N9</f>
        <v>100324</v>
      </c>
      <c r="O9" s="34">
        <f>Bangula!O9+Chikwawa!O9+Nchalo!O9+'Miseu Folo'!O9+Nsanje!O9+Ngabu!O9</f>
        <v>95181</v>
      </c>
      <c r="P9" s="150">
        <f>SUM(D9:O9)</f>
        <v>1223357</v>
      </c>
      <c r="R9" s="182"/>
    </row>
    <row r="10" spans="1:18" ht="14.4" x14ac:dyDescent="0.3">
      <c r="A10" s="277" t="s">
        <v>177</v>
      </c>
      <c r="B10" s="278"/>
      <c r="C10" s="278"/>
      <c r="D10" s="278"/>
      <c r="E10" s="278"/>
      <c r="F10" s="278"/>
      <c r="G10" s="278"/>
      <c r="H10" s="278"/>
      <c r="I10" s="278"/>
      <c r="J10" s="278"/>
      <c r="K10" s="278"/>
      <c r="L10" s="278"/>
      <c r="M10" s="278"/>
      <c r="N10" s="278"/>
      <c r="O10" s="278"/>
      <c r="P10" s="279"/>
    </row>
    <row r="11" spans="1:18" x14ac:dyDescent="0.3">
      <c r="A11" s="237" t="s">
        <v>157</v>
      </c>
      <c r="B11" s="238"/>
      <c r="C11" s="11" t="s">
        <v>152</v>
      </c>
      <c r="D11" s="26">
        <f>Bangula!D11+Chikwawa!D11+'Miseu Folo'!D11+Nchalo!D11+Nsanje!D11+Ngabu!D11</f>
        <v>43319</v>
      </c>
      <c r="E11" s="26">
        <f>Bangula!E11+Chikwawa!E11+'Miseu Folo'!E11+Nchalo!E11+Nsanje!E11+Ngabu!E11</f>
        <v>47839</v>
      </c>
      <c r="F11" s="26">
        <f>Bangula!F11+Chikwawa!F11+'Miseu Folo'!F11+Nchalo!F11+Nsanje!F11+Ngabu!F11</f>
        <v>55229</v>
      </c>
      <c r="G11" s="26">
        <f>Bangula!G11+Chikwawa!G11+'Miseu Folo'!G11+Nchalo!G11+Nsanje!G11+Ngabu!G11</f>
        <v>47697</v>
      </c>
      <c r="H11" s="26">
        <f>Bangula!H11+Chikwawa!H11+'Miseu Folo'!H11+Nchalo!H11+Nsanje!H11+Ngabu!H11</f>
        <v>48503</v>
      </c>
      <c r="I11" s="26">
        <f>Bangula!I11+Chikwawa!I11+'Miseu Folo'!I11+Nchalo!I11+Nsanje!I11+Ngabu!I11</f>
        <v>52836</v>
      </c>
      <c r="J11" s="26">
        <f>Bangula!J11+Chikwawa!J11+'Miseu Folo'!J11+Nchalo!J11+Nsanje!J11+Ngabu!J11</f>
        <v>57587</v>
      </c>
      <c r="K11" s="26">
        <f>Bangula!K11+Chikwawa!K11+'Miseu Folo'!K11+Nchalo!K11+Nsanje!K11+Ngabu!K11</f>
        <v>56505</v>
      </c>
      <c r="L11" s="26">
        <f>Bangula!L11+Chikwawa!L11+'Miseu Folo'!L11+Nchalo!L11+Nsanje!L11+Ngabu!L11</f>
        <v>52068</v>
      </c>
      <c r="M11" s="26">
        <f>Bangula!M11+Chikwawa!M11+'Miseu Folo'!M11+Nchalo!M11+Nsanje!M11+Ngabu!M11</f>
        <v>51800</v>
      </c>
      <c r="N11" s="26">
        <f>Bangula!N11+Chikwawa!N11+'Miseu Folo'!N11+Nchalo!N11+Nsanje!N11+Ngabu!N11</f>
        <v>55261</v>
      </c>
      <c r="O11" s="26">
        <f>Bangula!O11+Chikwawa!O11+'Miseu Folo'!O11+Nchalo!O11+Nsanje!O11+Ngabu!O11</f>
        <v>51483</v>
      </c>
      <c r="P11" s="55">
        <f>SUM(D11:O11)</f>
        <v>620127</v>
      </c>
    </row>
    <row r="12" spans="1:18" x14ac:dyDescent="0.3">
      <c r="A12" s="237" t="s">
        <v>156</v>
      </c>
      <c r="B12" s="238"/>
      <c r="C12" s="11" t="s">
        <v>152</v>
      </c>
      <c r="D12" s="26">
        <f>Bangula!D12+Chikwawa!D12+'Miseu Folo'!D12+Nchalo!D12+Nsanje!D12+Ngabu!D12</f>
        <v>5469</v>
      </c>
      <c r="E12" s="26">
        <f>Bangula!E12+Chikwawa!E12+'Miseu Folo'!E12+Nchalo!E12+Nsanje!E12+Ngabu!E12</f>
        <v>4900</v>
      </c>
      <c r="F12" s="26">
        <f>Bangula!F12+Chikwawa!F12+'Miseu Folo'!F12+Nchalo!F12+Nsanje!F12+Ngabu!F12</f>
        <v>5165</v>
      </c>
      <c r="G12" s="26">
        <f>Bangula!G12+Chikwawa!G12+'Miseu Folo'!G12+Nchalo!G12+Nsanje!G12+Ngabu!G12</f>
        <v>4610</v>
      </c>
      <c r="H12" s="26">
        <f>Bangula!H12+Chikwawa!H12+'Miseu Folo'!H12+Nchalo!H12+Nsanje!H12+Ngabu!H12</f>
        <v>5429</v>
      </c>
      <c r="I12" s="26">
        <f>Bangula!I12+Chikwawa!I12+'Miseu Folo'!I12+Nchalo!I12+Nsanje!I12+Ngabu!I12</f>
        <v>4553</v>
      </c>
      <c r="J12" s="26">
        <f>Bangula!J12+Chikwawa!J12+'Miseu Folo'!J12+Nchalo!J12+Nsanje!J12+Ngabu!J12</f>
        <v>4504</v>
      </c>
      <c r="K12" s="26">
        <f>Bangula!K12+Chikwawa!K12+'Miseu Folo'!K12+Nchalo!K12+Nsanje!K12+Ngabu!K12</f>
        <v>5099</v>
      </c>
      <c r="L12" s="26">
        <f>Bangula!L12+Chikwawa!L12+'Miseu Folo'!L12+Nchalo!L12+Nsanje!L12+Ngabu!L12</f>
        <v>4671</v>
      </c>
      <c r="M12" s="26">
        <f>Bangula!M12+Chikwawa!M12+'Miseu Folo'!M12+Nchalo!M12+Nsanje!M12+Ngabu!M12</f>
        <v>4169</v>
      </c>
      <c r="N12" s="26">
        <f>Bangula!N12+Chikwawa!N12+'Miseu Folo'!N12+Nchalo!N12+Nsanje!N12+Ngabu!N12</f>
        <v>4362</v>
      </c>
      <c r="O12" s="26">
        <f>Bangula!O12+Chikwawa!O12+'Miseu Folo'!O12+Nchalo!O12+Nsanje!O12+Ngabu!O12</f>
        <v>4091</v>
      </c>
      <c r="P12" s="55">
        <f>SUM(D12:O12)</f>
        <v>57022</v>
      </c>
    </row>
    <row r="13" spans="1:18" x14ac:dyDescent="0.3">
      <c r="A13" s="237" t="s">
        <v>155</v>
      </c>
      <c r="B13" s="238"/>
      <c r="C13" s="11" t="s">
        <v>152</v>
      </c>
      <c r="D13" s="26">
        <f>Bangula!D13+Chikwawa!D13+'Miseu Folo'!D13+Nchalo!D13+Nsanje!D13+Ngabu!D13</f>
        <v>533</v>
      </c>
      <c r="E13" s="26">
        <f>Bangula!E13+Chikwawa!E13+'Miseu Folo'!E13+Nchalo!E13+Nsanje!E13+Ngabu!E13</f>
        <v>578</v>
      </c>
      <c r="F13" s="26">
        <f>Bangula!F13+Chikwawa!F13+'Miseu Folo'!F13+Nchalo!F13+Nsanje!F13+Ngabu!F13</f>
        <v>1192</v>
      </c>
      <c r="G13" s="26">
        <f>Bangula!G13+Chikwawa!G13+'Miseu Folo'!G13+Nchalo!G13+Nsanje!G13+Ngabu!G13</f>
        <v>845</v>
      </c>
      <c r="H13" s="26">
        <f>Bangula!H13+Chikwawa!H13+'Miseu Folo'!H13+Nchalo!H13+Nsanje!H13+Ngabu!H13</f>
        <v>677</v>
      </c>
      <c r="I13" s="26">
        <f>Bangula!I13+Chikwawa!I13+'Miseu Folo'!I13+Nchalo!I13+Nsanje!I13+Ngabu!I13</f>
        <v>720</v>
      </c>
      <c r="J13" s="26">
        <f>Bangula!J13+Chikwawa!J13+'Miseu Folo'!J13+Nchalo!J13+Nsanje!J13+Ngabu!J13</f>
        <v>1031</v>
      </c>
      <c r="K13" s="26">
        <f>Bangula!K13+Chikwawa!K13+'Miseu Folo'!K13+Nchalo!K13+Nsanje!K13+Ngabu!K13</f>
        <v>1044</v>
      </c>
      <c r="L13" s="26">
        <f>Bangula!L13+Chikwawa!L13+'Miseu Folo'!L13+Nchalo!L13+Nsanje!L13+Ngabu!L13</f>
        <v>747</v>
      </c>
      <c r="M13" s="26">
        <f>Bangula!M13+Chikwawa!M13+'Miseu Folo'!M13+Nchalo!M13+Nsanje!M13+Ngabu!M13</f>
        <v>576</v>
      </c>
      <c r="N13" s="26">
        <f>Bangula!N13+Chikwawa!N13+'Miseu Folo'!N13+Nchalo!N13+Nsanje!N13+Ngabu!N13</f>
        <v>668</v>
      </c>
      <c r="O13" s="26">
        <f>Bangula!O13+Chikwawa!O13+'Miseu Folo'!O13+Nchalo!O13+Nsanje!O13+Ngabu!O13</f>
        <v>681</v>
      </c>
      <c r="P13" s="55">
        <f>SUM(D13:O13)</f>
        <v>9292</v>
      </c>
    </row>
    <row r="14" spans="1:18" x14ac:dyDescent="0.3">
      <c r="A14" s="231" t="s">
        <v>154</v>
      </c>
      <c r="B14" s="232"/>
      <c r="C14" s="11" t="s">
        <v>152</v>
      </c>
      <c r="D14" s="26">
        <f>Bangula!D14+Chikwawa!D14+'Miseu Folo'!D14+Nchalo!D14+Nsanje!D14+Ngabu!D14</f>
        <v>311</v>
      </c>
      <c r="E14" s="26">
        <f>Bangula!E14+Chikwawa!E14+'Miseu Folo'!E14+Nchalo!E14+Nsanje!E14+Ngabu!E14</f>
        <v>306</v>
      </c>
      <c r="F14" s="26">
        <f>Bangula!F14+Chikwawa!F14+'Miseu Folo'!F14+Nchalo!F14+Nsanje!F14+Ngabu!F14</f>
        <v>437</v>
      </c>
      <c r="G14" s="26">
        <f>Bangula!G14+Chikwawa!G14+'Miseu Folo'!G14+Nchalo!G14+Nsanje!G14+Ngabu!G14</f>
        <v>572</v>
      </c>
      <c r="H14" s="26">
        <f>Bangula!H14+Chikwawa!H14+'Miseu Folo'!H14+Nchalo!H14+Nsanje!H14+Ngabu!H14</f>
        <v>508</v>
      </c>
      <c r="I14" s="26">
        <f>Bangula!I14+Chikwawa!I14+'Miseu Folo'!I14+Nchalo!I14+Nsanje!I14+Ngabu!I14</f>
        <v>509</v>
      </c>
      <c r="J14" s="26">
        <f>Bangula!J14+Chikwawa!J14+'Miseu Folo'!J14+Nchalo!J14+Nsanje!J14+Ngabu!J14</f>
        <v>1094</v>
      </c>
      <c r="K14" s="26">
        <f>Bangula!K14+Chikwawa!K14+'Miseu Folo'!K14+Nchalo!K14+Nsanje!K14+Ngabu!K14</f>
        <v>502</v>
      </c>
      <c r="L14" s="26">
        <f>Bangula!L14+Chikwawa!L14+'Miseu Folo'!L14+Nchalo!L14+Nsanje!L14+Ngabu!L14</f>
        <v>251</v>
      </c>
      <c r="M14" s="26">
        <f>Bangula!M14+Chikwawa!M14+'Miseu Folo'!M14+Nchalo!M14+Nsanje!M14+Ngabu!M14</f>
        <v>256</v>
      </c>
      <c r="N14" s="26">
        <f>Bangula!N14+Chikwawa!N14+'Miseu Folo'!N14+Nchalo!N14+Nsanje!N14+Ngabu!N14</f>
        <v>439</v>
      </c>
      <c r="O14" s="26">
        <f>Bangula!O14+Chikwawa!O14+'Miseu Folo'!O14+Nchalo!O14+Nsanje!O14+Ngabu!O14</f>
        <v>406</v>
      </c>
      <c r="P14" s="55">
        <f>SUM(D14:O14)</f>
        <v>5591</v>
      </c>
    </row>
    <row r="15" spans="1:18" s="63" customFormat="1" x14ac:dyDescent="0.3">
      <c r="A15" s="233" t="s">
        <v>158</v>
      </c>
      <c r="B15" s="234"/>
      <c r="C15" s="62" t="s">
        <v>152</v>
      </c>
      <c r="D15" s="34">
        <f t="shared" ref="D15:P15" si="0">SUM(D11:D14)</f>
        <v>49632</v>
      </c>
      <c r="E15" s="34">
        <f t="shared" si="0"/>
        <v>53623</v>
      </c>
      <c r="F15" s="34">
        <f t="shared" si="0"/>
        <v>62023</v>
      </c>
      <c r="G15" s="34">
        <f t="shared" si="0"/>
        <v>53724</v>
      </c>
      <c r="H15" s="34">
        <f t="shared" si="0"/>
        <v>55117</v>
      </c>
      <c r="I15" s="34">
        <f t="shared" si="0"/>
        <v>58618</v>
      </c>
      <c r="J15" s="34">
        <f t="shared" si="0"/>
        <v>64216</v>
      </c>
      <c r="K15" s="34">
        <f t="shared" si="0"/>
        <v>63150</v>
      </c>
      <c r="L15" s="34">
        <f t="shared" si="0"/>
        <v>57737</v>
      </c>
      <c r="M15" s="34">
        <f t="shared" si="0"/>
        <v>56801</v>
      </c>
      <c r="N15" s="34">
        <f t="shared" si="0"/>
        <v>60730</v>
      </c>
      <c r="O15" s="34">
        <f t="shared" si="0"/>
        <v>56661</v>
      </c>
      <c r="P15" s="55">
        <f t="shared" si="0"/>
        <v>692032</v>
      </c>
    </row>
    <row r="16" spans="1:18" s="2" customFormat="1" ht="14.4" x14ac:dyDescent="0.3">
      <c r="A16" s="277" t="s">
        <v>178</v>
      </c>
      <c r="B16" s="278"/>
      <c r="C16" s="278"/>
      <c r="D16" s="278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279"/>
    </row>
    <row r="17" spans="1:16" s="2" customFormat="1" x14ac:dyDescent="0.3">
      <c r="A17" s="237" t="s">
        <v>180</v>
      </c>
      <c r="B17" s="238"/>
      <c r="C17" s="11" t="s">
        <v>152</v>
      </c>
      <c r="D17" s="26">
        <f>Bangula!D17+Chikwawa!D17+'Miseu Folo'!D17+Nchalo!D17+Nsanje!D17+Ngabu!D17</f>
        <v>0</v>
      </c>
      <c r="E17" s="26">
        <f>Bangula!E17+Chikwawa!E17+'Miseu Folo'!E17+Nchalo!E17+Nsanje!E17+Ngabu!E17</f>
        <v>0</v>
      </c>
      <c r="F17" s="26">
        <f>Bangula!F17+Chikwawa!F17+'Miseu Folo'!F17+Nchalo!F17+Nsanje!F17+Ngabu!F17</f>
        <v>8539</v>
      </c>
      <c r="G17" s="26">
        <f>Bangula!G17+Chikwawa!G17+'Miseu Folo'!G17+Nchalo!G17+Nsanje!G17+Ngabu!G17</f>
        <v>9897</v>
      </c>
      <c r="H17" s="26">
        <f>Bangula!H17+Chikwawa!H17+'Miseu Folo'!H17+Nchalo!H17+Nsanje!H17+Ngabu!H17</f>
        <v>0</v>
      </c>
      <c r="I17" s="26">
        <f>Bangula!I17+Chikwawa!I17+'Miseu Folo'!I17+Nchalo!I17+Nsanje!I17+Ngabu!I17</f>
        <v>10365</v>
      </c>
      <c r="J17" s="26">
        <f>Bangula!J17+Chikwawa!J17+'Miseu Folo'!J17+Nchalo!J17+Nsanje!J17+Ngabu!J17</f>
        <v>12452.6</v>
      </c>
      <c r="K17" s="26">
        <f>Bangula!K17+Chikwawa!K17+'Miseu Folo'!K17+Nchalo!K17+Nsanje!K17+Ngabu!K17</f>
        <v>10819.2</v>
      </c>
      <c r="L17" s="26">
        <f>Bangula!L17+Chikwawa!L17+'Miseu Folo'!L17+Nchalo!L17+Nsanje!L17+Ngabu!L17</f>
        <v>10007</v>
      </c>
      <c r="M17" s="26">
        <f>Bangula!M17+Chikwawa!M17+'Miseu Folo'!M17+Nchalo!M17+Nsanje!M17+Ngabu!M17</f>
        <v>9692</v>
      </c>
      <c r="N17" s="26">
        <f>Bangula!N17+Chikwawa!N17+'Miseu Folo'!N17+Nchalo!N17+Nsanje!N17+Ngabu!N17</f>
        <v>9204</v>
      </c>
      <c r="O17" s="26">
        <f>Bangula!O17+Chikwawa!O17+'Miseu Folo'!O17+Nchalo!O17+Nsanje!O17+Ngabu!O17</f>
        <v>8134</v>
      </c>
      <c r="P17" s="55">
        <f>SUM(D17:O17)</f>
        <v>89109.8</v>
      </c>
    </row>
    <row r="18" spans="1:16" s="2" customFormat="1" x14ac:dyDescent="0.3">
      <c r="A18" s="237" t="s">
        <v>181</v>
      </c>
      <c r="B18" s="238"/>
      <c r="C18" s="11" t="s">
        <v>152</v>
      </c>
      <c r="D18" s="26">
        <f>Bangula!D18+Chikwawa!D18+'Miseu Folo'!D18+Nchalo!D18+Nsanje!D18+Ngabu!D18</f>
        <v>0</v>
      </c>
      <c r="E18" s="26">
        <f>Bangula!E18+Chikwawa!E18+'Miseu Folo'!E18+Nchalo!E18+Nsanje!E18+Ngabu!E18</f>
        <v>0</v>
      </c>
      <c r="F18" s="26">
        <f>Bangula!F18+Chikwawa!F18+'Miseu Folo'!F18+Nchalo!F18+Nsanje!F18+Ngabu!F18</f>
        <v>0</v>
      </c>
      <c r="G18" s="26">
        <f>Bangula!G18+Chikwawa!G18+'Miseu Folo'!G18+Nchalo!G18+Nsanje!G18+Ngabu!G18</f>
        <v>0</v>
      </c>
      <c r="H18" s="26">
        <f>Bangula!H18+Chikwawa!H18+'Miseu Folo'!H18+Nchalo!H18+Nsanje!H18+Ngabu!H18</f>
        <v>0</v>
      </c>
      <c r="I18" s="26">
        <f>Bangula!I18+Chikwawa!I18+'Miseu Folo'!I18+Nchalo!I18+Nsanje!I18+Ngabu!I18</f>
        <v>57</v>
      </c>
      <c r="J18" s="26">
        <f>Bangula!J18+Chikwawa!J18+'Miseu Folo'!J18+Nchalo!J18+Nsanje!J18+Ngabu!J18</f>
        <v>0</v>
      </c>
      <c r="K18" s="26">
        <f>Bangula!K18+Chikwawa!K18+'Miseu Folo'!K18+Nchalo!K18+Nsanje!K18+Ngabu!K18</f>
        <v>1</v>
      </c>
      <c r="L18" s="26">
        <f>Bangula!L18+Chikwawa!L18+'Miseu Folo'!L18+Nchalo!L18+Nsanje!L18+Ngabu!L18</f>
        <v>1</v>
      </c>
      <c r="M18" s="26">
        <f>Bangula!M18+Chikwawa!M18+'Miseu Folo'!M18+Nchalo!M18+Nsanje!M18+Ngabu!M18</f>
        <v>0</v>
      </c>
      <c r="N18" s="26">
        <f>Bangula!N18+Chikwawa!N18+'Miseu Folo'!N18+Nchalo!N18+Nsanje!N18+Ngabu!N18</f>
        <v>0</v>
      </c>
      <c r="O18" s="26">
        <f>Bangula!O18+Chikwawa!O18+'Miseu Folo'!O18+Nchalo!O18+Nsanje!O18+Ngabu!O18</f>
        <v>0</v>
      </c>
      <c r="P18" s="55">
        <f>SUM(D18:O18)</f>
        <v>59</v>
      </c>
    </row>
    <row r="19" spans="1:16" s="2" customFormat="1" x14ac:dyDescent="0.3">
      <c r="A19" s="237" t="s">
        <v>182</v>
      </c>
      <c r="B19" s="238"/>
      <c r="C19" s="11" t="s">
        <v>152</v>
      </c>
      <c r="D19" s="26">
        <f>Bangula!D19+Chikwawa!D19+'Miseu Folo'!D19+Nchalo!D19+Nsanje!D19+Ngabu!D19</f>
        <v>22698</v>
      </c>
      <c r="E19" s="26">
        <f>Bangula!E19+Chikwawa!E19+'Miseu Folo'!E19+Nchalo!E19+Nsanje!E19+Ngabu!E19</f>
        <v>26081.7</v>
      </c>
      <c r="F19" s="26">
        <f>Bangula!F19+Chikwawa!F19+'Miseu Folo'!F19+Nchalo!F19+Nsanje!F19+Ngabu!F19</f>
        <v>11730.2</v>
      </c>
      <c r="G19" s="26">
        <f>Bangula!G19+Chikwawa!G19+'Miseu Folo'!G19+Nchalo!G19+Nsanje!G19+Ngabu!G19</f>
        <v>9976.7999999999993</v>
      </c>
      <c r="H19" s="26">
        <f>Bangula!H19+Chikwawa!H19+'Miseu Folo'!H19+Nchalo!H19+Nsanje!H19+Ngabu!H19</f>
        <v>24486.2</v>
      </c>
      <c r="I19" s="26">
        <f>Bangula!I19+Chikwawa!I19+'Miseu Folo'!I19+Nchalo!I19+Nsanje!I19+Ngabu!I19</f>
        <v>8843.2999999999993</v>
      </c>
      <c r="J19" s="26">
        <f>Bangula!J19+Chikwawa!J19+'Miseu Folo'!J19+Nchalo!J19+Nsanje!J19+Ngabu!J19</f>
        <v>4302</v>
      </c>
      <c r="K19" s="26">
        <f>Bangula!K19+Chikwawa!K19+'Miseu Folo'!K19+Nchalo!K19+Nsanje!K19+Ngabu!K19</f>
        <v>7706.3</v>
      </c>
      <c r="L19" s="26">
        <f>Bangula!L19+Chikwawa!L19+'Miseu Folo'!L19+Nchalo!L19+Nsanje!L19+Ngabu!L19</f>
        <v>9530.7999999999993</v>
      </c>
      <c r="M19" s="26">
        <f>Bangula!M19+Chikwawa!M19+'Miseu Folo'!M19+Nchalo!M19+Nsanje!M19+Ngabu!M19</f>
        <v>8922.5</v>
      </c>
      <c r="N19" s="26">
        <f>Bangula!N19+Chikwawa!N19+'Miseu Folo'!N19+Nchalo!N19+Nsanje!N19+Ngabu!N19</f>
        <v>11143.9</v>
      </c>
      <c r="O19" s="26">
        <f>Bangula!O19+Chikwawa!O19+'Miseu Folo'!O19+Nchalo!O19+Nsanje!O19+Ngabu!O19</f>
        <v>8849.6</v>
      </c>
      <c r="P19" s="55">
        <f>SUM(D19:O19)</f>
        <v>154271.29999999999</v>
      </c>
    </row>
    <row r="20" spans="1:16" s="2" customFormat="1" x14ac:dyDescent="0.3">
      <c r="A20" s="231" t="s">
        <v>183</v>
      </c>
      <c r="B20" s="232"/>
      <c r="C20" s="11" t="s">
        <v>152</v>
      </c>
      <c r="D20" s="26">
        <f>Bangula!D20+Chikwawa!D20+'Miseu Folo'!D20+Nchalo!D20+Nsanje!D20+Ngabu!D20</f>
        <v>0</v>
      </c>
      <c r="E20" s="26">
        <f>Bangula!E20+Chikwawa!E20+'Miseu Folo'!E20+Nchalo!E20+Nsanje!E20+Ngabu!E20</f>
        <v>0</v>
      </c>
      <c r="F20" s="26">
        <f>Bangula!F20+Chikwawa!F20+'Miseu Folo'!F20+Nchalo!F20+Nsanje!F20+Ngabu!F20</f>
        <v>1736</v>
      </c>
      <c r="G20" s="26">
        <f>Bangula!G20+Chikwawa!G20+'Miseu Folo'!G20+Nchalo!G20+Nsanje!G20+Ngabu!G20</f>
        <v>1835</v>
      </c>
      <c r="H20" s="26">
        <f>Bangula!H20+Chikwawa!H20+'Miseu Folo'!H20+Nchalo!H20+Nsanje!H20+Ngabu!H20</f>
        <v>0</v>
      </c>
      <c r="I20" s="26">
        <f>Bangula!I20+Chikwawa!I20+'Miseu Folo'!I20+Nchalo!I20+Nsanje!I20+Ngabu!I20</f>
        <v>1668</v>
      </c>
      <c r="J20" s="26">
        <f>Bangula!J20+Chikwawa!J20+'Miseu Folo'!J20+Nchalo!J20+Nsanje!J20+Ngabu!J20</f>
        <v>1620</v>
      </c>
      <c r="K20" s="26">
        <f>Bangula!K20+Chikwawa!K20+'Miseu Folo'!K20+Nchalo!K20+Nsanje!K20+Ngabu!K20</f>
        <v>1530</v>
      </c>
      <c r="L20" s="26">
        <f>Bangula!L20+Chikwawa!L20+'Miseu Folo'!L20+Nchalo!L20+Nsanje!L20+Ngabu!L20</f>
        <v>1792</v>
      </c>
      <c r="M20" s="26">
        <f>Bangula!M20+Chikwawa!M20+'Miseu Folo'!M20+Nchalo!M20+Nsanje!M20+Ngabu!M20</f>
        <v>1338</v>
      </c>
      <c r="N20" s="26">
        <f>Bangula!N20+Chikwawa!N20+'Miseu Folo'!N20+Nchalo!N20+Nsanje!N20+Ngabu!N20</f>
        <v>1505</v>
      </c>
      <c r="O20" s="26">
        <f>Bangula!O20+Chikwawa!O20+'Miseu Folo'!O20+Nchalo!O20+Nsanje!O20+Ngabu!O20</f>
        <v>1207</v>
      </c>
      <c r="P20" s="55">
        <f>SUM(D20:O20)</f>
        <v>14231</v>
      </c>
    </row>
    <row r="21" spans="1:16" s="73" customFormat="1" x14ac:dyDescent="0.3">
      <c r="A21" s="233" t="s">
        <v>184</v>
      </c>
      <c r="B21" s="234"/>
      <c r="C21" s="62" t="s">
        <v>152</v>
      </c>
      <c r="D21" s="34">
        <f>SUM(D17:D20)</f>
        <v>22698</v>
      </c>
      <c r="E21" s="34">
        <f t="shared" ref="E21:P21" si="1">SUM(E17:E20)</f>
        <v>26081.7</v>
      </c>
      <c r="F21" s="34">
        <f t="shared" si="1"/>
        <v>22005.200000000001</v>
      </c>
      <c r="G21" s="34">
        <f t="shared" si="1"/>
        <v>21708.799999999999</v>
      </c>
      <c r="H21" s="34">
        <f t="shared" si="1"/>
        <v>24486.2</v>
      </c>
      <c r="I21" s="34">
        <f t="shared" si="1"/>
        <v>20933.3</v>
      </c>
      <c r="J21" s="34">
        <f t="shared" si="1"/>
        <v>18374.599999999999</v>
      </c>
      <c r="K21" s="34">
        <f t="shared" si="1"/>
        <v>20056.5</v>
      </c>
      <c r="L21" s="34">
        <f t="shared" si="1"/>
        <v>21330.799999999999</v>
      </c>
      <c r="M21" s="34">
        <f t="shared" si="1"/>
        <v>19952.5</v>
      </c>
      <c r="N21" s="34">
        <f t="shared" si="1"/>
        <v>21852.9</v>
      </c>
      <c r="O21" s="34">
        <f t="shared" si="1"/>
        <v>18190.599999999999</v>
      </c>
      <c r="P21" s="55">
        <f t="shared" si="1"/>
        <v>257671.09999999998</v>
      </c>
    </row>
    <row r="22" spans="1:16" s="2" customFormat="1" x14ac:dyDescent="0.3">
      <c r="A22" s="332" t="s">
        <v>185</v>
      </c>
      <c r="B22" s="319"/>
      <c r="C22" s="11" t="s">
        <v>152</v>
      </c>
      <c r="D22" s="34">
        <f>D21+D15</f>
        <v>72330</v>
      </c>
      <c r="E22" s="34">
        <f t="shared" ref="E22:P22" si="2">E21+E15</f>
        <v>79704.7</v>
      </c>
      <c r="F22" s="34">
        <f t="shared" si="2"/>
        <v>84028.2</v>
      </c>
      <c r="G22" s="34">
        <f t="shared" si="2"/>
        <v>75432.800000000003</v>
      </c>
      <c r="H22" s="34">
        <f t="shared" si="2"/>
        <v>79603.199999999997</v>
      </c>
      <c r="I22" s="34">
        <f t="shared" si="2"/>
        <v>79551.3</v>
      </c>
      <c r="J22" s="34">
        <f t="shared" si="2"/>
        <v>82590.600000000006</v>
      </c>
      <c r="K22" s="34">
        <f t="shared" si="2"/>
        <v>83206.5</v>
      </c>
      <c r="L22" s="34">
        <f t="shared" si="2"/>
        <v>79067.8</v>
      </c>
      <c r="M22" s="34">
        <f t="shared" si="2"/>
        <v>76753.5</v>
      </c>
      <c r="N22" s="34">
        <f t="shared" si="2"/>
        <v>82582.899999999994</v>
      </c>
      <c r="O22" s="34">
        <f t="shared" si="2"/>
        <v>74851.600000000006</v>
      </c>
      <c r="P22" s="55">
        <f t="shared" si="2"/>
        <v>949703.1</v>
      </c>
    </row>
    <row r="23" spans="1:16" ht="14.4" x14ac:dyDescent="0.3">
      <c r="A23" s="334"/>
      <c r="B23" s="335"/>
      <c r="C23" s="335"/>
      <c r="D23" s="335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6"/>
    </row>
    <row r="24" spans="1:16" x14ac:dyDescent="0.3">
      <c r="A24" s="325" t="s">
        <v>179</v>
      </c>
      <c r="B24" s="37" t="s">
        <v>153</v>
      </c>
      <c r="C24" s="5" t="s">
        <v>152</v>
      </c>
      <c r="D24" s="54">
        <f>D9-D22</f>
        <v>24117</v>
      </c>
      <c r="E24" s="54">
        <f t="shared" ref="E24:P24" si="3">E9-E22</f>
        <v>31426.300000000003</v>
      </c>
      <c r="F24" s="54">
        <f t="shared" si="3"/>
        <v>28076.800000000003</v>
      </c>
      <c r="G24" s="54">
        <f t="shared" si="3"/>
        <v>24510.199999999997</v>
      </c>
      <c r="H24" s="54">
        <f t="shared" si="3"/>
        <v>21405.800000000003</v>
      </c>
      <c r="I24" s="54">
        <f t="shared" si="3"/>
        <v>22536.699999999997</v>
      </c>
      <c r="J24" s="54">
        <f t="shared" si="3"/>
        <v>20341.399999999994</v>
      </c>
      <c r="K24" s="54">
        <f t="shared" si="3"/>
        <v>20321.5</v>
      </c>
      <c r="L24" s="54">
        <f t="shared" si="3"/>
        <v>20971.199999999997</v>
      </c>
      <c r="M24" s="54">
        <f t="shared" si="3"/>
        <v>21876.5</v>
      </c>
      <c r="N24" s="54">
        <f t="shared" si="3"/>
        <v>17741.100000000006</v>
      </c>
      <c r="O24" s="54">
        <f t="shared" si="3"/>
        <v>20329.399999999994</v>
      </c>
      <c r="P24" s="100">
        <f t="shared" si="3"/>
        <v>273653.90000000002</v>
      </c>
    </row>
    <row r="25" spans="1:16" x14ac:dyDescent="0.3">
      <c r="A25" s="327"/>
      <c r="B25" s="53" t="s">
        <v>151</v>
      </c>
      <c r="C25" s="52" t="s">
        <v>6</v>
      </c>
      <c r="D25" s="51">
        <f t="shared" ref="D25:P25" si="4">D24/D9</f>
        <v>0.2500544340414943</v>
      </c>
      <c r="E25" s="51">
        <f t="shared" si="4"/>
        <v>0.28278608129144883</v>
      </c>
      <c r="F25" s="51">
        <f t="shared" si="4"/>
        <v>0.25045091655144736</v>
      </c>
      <c r="G25" s="51">
        <f t="shared" si="4"/>
        <v>0.24524178781905684</v>
      </c>
      <c r="H25" s="51">
        <f t="shared" si="4"/>
        <v>0.2119197299250562</v>
      </c>
      <c r="I25" s="51">
        <f t="shared" si="4"/>
        <v>0.22075758169422457</v>
      </c>
      <c r="J25" s="51">
        <f t="shared" si="4"/>
        <v>0.19761978782108572</v>
      </c>
      <c r="K25" s="51">
        <f t="shared" si="4"/>
        <v>0.1962898925894444</v>
      </c>
      <c r="L25" s="51">
        <f t="shared" si="4"/>
        <v>0.20963024420476012</v>
      </c>
      <c r="M25" s="51">
        <f t="shared" si="4"/>
        <v>0.22180371083848727</v>
      </c>
      <c r="N25" s="51">
        <f t="shared" si="4"/>
        <v>0.17683804473505846</v>
      </c>
      <c r="O25" s="51">
        <f t="shared" si="4"/>
        <v>0.21358674525377958</v>
      </c>
      <c r="P25" s="151">
        <f t="shared" si="4"/>
        <v>0.2236909585672866</v>
      </c>
    </row>
    <row r="26" spans="1:16" ht="14.4" x14ac:dyDescent="0.3">
      <c r="A26" s="277" t="s">
        <v>150</v>
      </c>
      <c r="B26" s="278"/>
      <c r="C26" s="278"/>
      <c r="D26" s="278"/>
      <c r="E26" s="278"/>
      <c r="F26" s="278"/>
      <c r="G26" s="278"/>
      <c r="H26" s="278"/>
      <c r="I26" s="278"/>
      <c r="J26" s="278"/>
      <c r="K26" s="278"/>
      <c r="L26" s="278"/>
      <c r="M26" s="278"/>
      <c r="N26" s="278"/>
      <c r="O26" s="278"/>
      <c r="P26" s="279"/>
    </row>
    <row r="27" spans="1:16" ht="14.4" x14ac:dyDescent="0.3">
      <c r="A27" s="322" t="s">
        <v>149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6" x14ac:dyDescent="0.3">
      <c r="A29" s="245" t="s">
        <v>146</v>
      </c>
      <c r="B29" s="585">
        <v>3525.29</v>
      </c>
      <c r="C29" s="5" t="s">
        <v>140</v>
      </c>
      <c r="D29" s="34">
        <f>Bangula!D29+Chikwawa!D29+'Miseu Folo'!D29+Nchalo!D29+Nsanje!D29+Ngabu!D29</f>
        <v>92.5</v>
      </c>
      <c r="E29" s="34">
        <f>Bangula!E29+Chikwawa!E29+'Miseu Folo'!E29+Nchalo!E29+Nsanje!E29+Ngabu!E29</f>
        <v>100</v>
      </c>
      <c r="F29" s="34">
        <f>Bangula!F29+Chikwawa!F29+'Miseu Folo'!F29+Nchalo!F29+Nsanje!F29+Ngabu!F29</f>
        <v>99</v>
      </c>
      <c r="G29" s="34">
        <f>Bangula!G29+Chikwawa!G29+'Miseu Folo'!G29+Nchalo!G29+Nsanje!G29+Ngabu!G29</f>
        <v>100.35</v>
      </c>
      <c r="H29" s="34">
        <f>Bangula!H29+Chikwawa!H29+'Miseu Folo'!H29+Nchalo!H29+Nsanje!H29+Ngabu!H29</f>
        <v>99.5</v>
      </c>
      <c r="I29" s="34">
        <f>Bangula!I29+Chikwawa!I29+'Miseu Folo'!I29+Nchalo!I29+Nsanje!I29+Ngabu!I29</f>
        <v>104.95</v>
      </c>
      <c r="J29" s="34">
        <f>Bangula!J29+Chikwawa!J29+'Miseu Folo'!J29+Nchalo!J29+Nsanje!J29+Ngabu!J29</f>
        <v>102.5</v>
      </c>
      <c r="K29" s="34">
        <f>Bangula!K29+Chikwawa!K29+'Miseu Folo'!K29+Nchalo!K29+Nsanje!K29+Ngabu!K29</f>
        <v>101.05</v>
      </c>
      <c r="L29" s="34">
        <f>Bangula!L29+Chikwawa!L29+'Miseu Folo'!L29+Nchalo!L29+Nsanje!L29+Ngabu!L29</f>
        <v>101.7</v>
      </c>
      <c r="M29" s="34">
        <f>Bangula!M29+Chikwawa!M29+'Miseu Folo'!M29+Nchalo!M29+Nsanje!M29+Ngabu!M29</f>
        <v>101</v>
      </c>
      <c r="N29" s="34">
        <f>Bangula!N29+Chikwawa!N29+'Miseu Folo'!N29+Nchalo!N29+Nsanje!N29+Ngabu!N29</f>
        <v>100</v>
      </c>
      <c r="O29" s="34">
        <f>Bangula!O29+Chikwawa!O29+'Miseu Folo'!O29+Nchalo!O29+Nsanje!O29+Ngabu!O29</f>
        <v>99</v>
      </c>
      <c r="P29" s="45">
        <f>SUM(D29:O29)</f>
        <v>1201.5500000000002</v>
      </c>
    </row>
    <row r="30" spans="1:16" x14ac:dyDescent="0.3">
      <c r="A30" s="246"/>
      <c r="B30" s="586"/>
      <c r="C30" s="42" t="s">
        <v>139</v>
      </c>
      <c r="D30" s="15">
        <f t="shared" ref="D30:P30" si="5">D29/(D9/1000)</f>
        <v>0.95907596918514826</v>
      </c>
      <c r="E30" s="15">
        <f t="shared" si="5"/>
        <v>0.8998389288317391</v>
      </c>
      <c r="F30" s="15">
        <f t="shared" si="5"/>
        <v>0.88310066455555059</v>
      </c>
      <c r="G30" s="15">
        <f t="shared" si="5"/>
        <v>1.0040723212230971</v>
      </c>
      <c r="H30" s="15">
        <f t="shared" si="5"/>
        <v>0.98506073716203502</v>
      </c>
      <c r="I30" s="15">
        <f t="shared" si="5"/>
        <v>1.0280346367839512</v>
      </c>
      <c r="J30" s="15">
        <f t="shared" si="5"/>
        <v>0.99580305444371042</v>
      </c>
      <c r="K30" s="15">
        <f t="shared" si="5"/>
        <v>0.97606444633335898</v>
      </c>
      <c r="L30" s="15">
        <f t="shared" si="5"/>
        <v>1.0166035246253962</v>
      </c>
      <c r="M30" s="15">
        <f t="shared" si="5"/>
        <v>1.0240292000405558</v>
      </c>
      <c r="N30" s="15">
        <f t="shared" si="5"/>
        <v>0.99677046369761968</v>
      </c>
      <c r="O30" s="15">
        <f t="shared" si="5"/>
        <v>1.0401235540706655</v>
      </c>
      <c r="P30" s="15">
        <f t="shared" si="5"/>
        <v>0.98217445929520186</v>
      </c>
    </row>
    <row r="31" spans="1:16" x14ac:dyDescent="0.3">
      <c r="A31" s="241" t="s">
        <v>145</v>
      </c>
      <c r="B31" s="243"/>
      <c r="C31" s="5" t="s">
        <v>140</v>
      </c>
      <c r="D31" s="34">
        <f>Bangula!D31+Chikwawa!D31+'Miseu Folo'!D31+Nchalo!D31+Nsanje!D31+Ngabu!D31</f>
        <v>0</v>
      </c>
      <c r="E31" s="34">
        <f>Bangula!E31+Chikwawa!E31+'Miseu Folo'!E31+Nchalo!E31+Nsanje!E31+Ngabu!E31</f>
        <v>0</v>
      </c>
      <c r="F31" s="34">
        <f>Bangula!F31+Chikwawa!F31+'Miseu Folo'!F31+Nchalo!F31+Nsanje!F31+Ngabu!F31</f>
        <v>0</v>
      </c>
      <c r="G31" s="34">
        <f>Bangula!G31+Chikwawa!G31+'Miseu Folo'!G31+Nchalo!G31+Nsanje!G31+Ngabu!G31</f>
        <v>0</v>
      </c>
      <c r="H31" s="34">
        <f>Bangula!H31+Chikwawa!H31+'Miseu Folo'!H31+Nchalo!H31+Nsanje!H31+Ngabu!H31</f>
        <v>0</v>
      </c>
      <c r="I31" s="34">
        <f>Bangula!I31+Chikwawa!I31+'Miseu Folo'!I31+Nchalo!I31+Nsanje!I31+Ngabu!I31</f>
        <v>0</v>
      </c>
      <c r="J31" s="34">
        <f>Bangula!J31+Chikwawa!J31+'Miseu Folo'!J31+Nchalo!J31+Nsanje!J31+Ngabu!J31</f>
        <v>0</v>
      </c>
      <c r="K31" s="34">
        <f>Bangula!K31+Chikwawa!K31+'Miseu Folo'!K31+Nchalo!K31+Nsanje!K31+Ngabu!K31</f>
        <v>0</v>
      </c>
      <c r="L31" s="34">
        <f>Bangula!L31+Chikwawa!L31+'Miseu Folo'!L31+Nchalo!L31+Nsanje!L31+Ngabu!L31</f>
        <v>0</v>
      </c>
      <c r="M31" s="34">
        <f>Bangula!M31+Chikwawa!M31+'Miseu Folo'!M31+Nchalo!M31+Nsanje!M31+Ngabu!M31</f>
        <v>0</v>
      </c>
      <c r="N31" s="34">
        <f>Bangula!N31+Chikwawa!N31+'Miseu Folo'!N31+Nchalo!N31+Nsanje!N31+Ngabu!N31</f>
        <v>0</v>
      </c>
      <c r="O31" s="34">
        <f>Bangula!O31+Chikwawa!O31+'Miseu Folo'!O31+Nchalo!O31+Nsanje!O31+Ngabu!O31</f>
        <v>0</v>
      </c>
      <c r="P31" s="45">
        <f>SUM(D31:O31)</f>
        <v>0</v>
      </c>
    </row>
    <row r="32" spans="1:16" x14ac:dyDescent="0.3">
      <c r="A32" s="242"/>
      <c r="B32" s="244">
        <v>1060.01</v>
      </c>
      <c r="C32" s="42" t="s">
        <v>139</v>
      </c>
      <c r="D32" s="15">
        <f t="shared" ref="D32:P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5">
        <f t="shared" si="6"/>
        <v>0</v>
      </c>
      <c r="K32" s="15">
        <f t="shared" si="6"/>
        <v>0</v>
      </c>
      <c r="L32" s="15">
        <f t="shared" si="6"/>
        <v>0</v>
      </c>
      <c r="M32" s="15">
        <f t="shared" si="6"/>
        <v>0</v>
      </c>
      <c r="N32" s="15">
        <f t="shared" si="6"/>
        <v>0</v>
      </c>
      <c r="O32" s="15">
        <f t="shared" si="6"/>
        <v>0</v>
      </c>
      <c r="P32" s="103">
        <f t="shared" si="6"/>
        <v>0</v>
      </c>
    </row>
    <row r="33" spans="1:16" x14ac:dyDescent="0.3">
      <c r="A33" s="241" t="s">
        <v>144</v>
      </c>
      <c r="B33" s="243"/>
      <c r="C33" s="5" t="s">
        <v>140</v>
      </c>
      <c r="D33" s="34">
        <f>Bangula!D33+Chikwawa!D33+'Miseu Folo'!D33+Nchalo!D33+Nsanje!D33+Ngabu!D33</f>
        <v>0</v>
      </c>
      <c r="E33" s="34">
        <f>Bangula!E33+Chikwawa!E33+'Miseu Folo'!E33+Nchalo!E33+Nsanje!E33+Ngabu!E33</f>
        <v>0</v>
      </c>
      <c r="F33" s="34">
        <f>Bangula!F33+Chikwawa!F33+'Miseu Folo'!F33+Nchalo!F33+Nsanje!F33+Ngabu!F33</f>
        <v>0</v>
      </c>
      <c r="G33" s="34">
        <f>Bangula!G33+Chikwawa!G33+'Miseu Folo'!G33+Nchalo!G33+Nsanje!G33+Ngabu!G33</f>
        <v>0</v>
      </c>
      <c r="H33" s="34">
        <f>Bangula!H33+Chikwawa!H33+'Miseu Folo'!H33+Nchalo!H33+Nsanje!H33+Ngabu!H33</f>
        <v>0</v>
      </c>
      <c r="I33" s="34">
        <f>Bangula!I33+Chikwawa!I33+'Miseu Folo'!I33+Nchalo!I33+Nsanje!I33+Ngabu!I33</f>
        <v>0</v>
      </c>
      <c r="J33" s="34">
        <f>Bangula!J33+Chikwawa!J33+'Miseu Folo'!J33+Nchalo!J33+Nsanje!J33+Ngabu!J33</f>
        <v>0</v>
      </c>
      <c r="K33" s="34">
        <f>Bangula!K33+Chikwawa!K33+'Miseu Folo'!K33+Nchalo!K33+Nsanje!K33+Ngabu!K33</f>
        <v>0</v>
      </c>
      <c r="L33" s="34">
        <f>Bangula!L33+Chikwawa!L33+'Miseu Folo'!L33+Nchalo!L33+Nsanje!L33+Ngabu!L33</f>
        <v>0</v>
      </c>
      <c r="M33" s="34">
        <f>Bangula!M33+Chikwawa!M33+'Miseu Folo'!M33+Nchalo!M33+Nsanje!M33+Ngabu!M33</f>
        <v>0</v>
      </c>
      <c r="N33" s="34">
        <f>Bangula!N33+Chikwawa!N33+'Miseu Folo'!N33+Nchalo!N33+Nsanje!N33+Ngabu!N33</f>
        <v>0</v>
      </c>
      <c r="O33" s="34">
        <f>Bangula!O33+Chikwawa!O33+'Miseu Folo'!O33+Nchalo!O33+Nsanje!O33+Ngabu!O33</f>
        <v>0</v>
      </c>
      <c r="P33" s="45">
        <f>SUM(D33:O33)</f>
        <v>0</v>
      </c>
    </row>
    <row r="34" spans="1:16" x14ac:dyDescent="0.3">
      <c r="A34" s="242"/>
      <c r="B34" s="244">
        <v>1228.29</v>
      </c>
      <c r="C34" s="42" t="s">
        <v>139</v>
      </c>
      <c r="D34" s="15">
        <f t="shared" ref="D34:P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5">
        <f t="shared" si="7"/>
        <v>0</v>
      </c>
      <c r="K34" s="15">
        <f t="shared" si="7"/>
        <v>0</v>
      </c>
      <c r="L34" s="15">
        <f t="shared" si="7"/>
        <v>0</v>
      </c>
      <c r="M34" s="15">
        <f t="shared" si="7"/>
        <v>0</v>
      </c>
      <c r="N34" s="15">
        <f t="shared" si="7"/>
        <v>0</v>
      </c>
      <c r="O34" s="15">
        <f t="shared" si="7"/>
        <v>0</v>
      </c>
      <c r="P34" s="103">
        <f t="shared" si="7"/>
        <v>0</v>
      </c>
    </row>
    <row r="35" spans="1:16" x14ac:dyDescent="0.3">
      <c r="A35" s="241" t="s">
        <v>143</v>
      </c>
      <c r="B35" s="243"/>
      <c r="C35" s="5" t="s">
        <v>126</v>
      </c>
      <c r="D35" s="34">
        <f>Bangula!D35+Chikwawa!D35+'Miseu Folo'!D35+Nchalo!D35+Nsanje!D35+Ngabu!D35</f>
        <v>0</v>
      </c>
      <c r="E35" s="34">
        <f>Bangula!E35+Chikwawa!E35+'Miseu Folo'!E35+Nchalo!E35+Nsanje!E35+Ngabu!E35</f>
        <v>0</v>
      </c>
      <c r="F35" s="34">
        <f>Bangula!F35+Chikwawa!F35+'Miseu Folo'!F35+Nchalo!F35+Nsanje!F35+Ngabu!F35</f>
        <v>0</v>
      </c>
      <c r="G35" s="34">
        <f>Bangula!G35+Chikwawa!G35+'Miseu Folo'!G35+Nchalo!G35+Nsanje!G35+Ngabu!G35</f>
        <v>0</v>
      </c>
      <c r="H35" s="34">
        <f>Bangula!H35+Chikwawa!H35+'Miseu Folo'!H35+Nchalo!H35+Nsanje!H35+Ngabu!H35</f>
        <v>0</v>
      </c>
      <c r="I35" s="34">
        <f>Bangula!I35+Chikwawa!I35+'Miseu Folo'!I35+Nchalo!I35+Nsanje!I35+Ngabu!I35</f>
        <v>0</v>
      </c>
      <c r="J35" s="34">
        <f>Bangula!J35+Chikwawa!J35+'Miseu Folo'!J35+Nchalo!J35+Nsanje!J35+Ngabu!J35</f>
        <v>0</v>
      </c>
      <c r="K35" s="34">
        <f>Bangula!K35+Chikwawa!K35+'Miseu Folo'!K35+Nchalo!K35+Nsanje!K35+Ngabu!K35</f>
        <v>0</v>
      </c>
      <c r="L35" s="34">
        <f>Bangula!L35+Chikwawa!L35+'Miseu Folo'!L35+Nchalo!L35+Nsanje!L35+Ngabu!L35</f>
        <v>0</v>
      </c>
      <c r="M35" s="34">
        <f>Bangula!M35+Chikwawa!M35+'Miseu Folo'!M35+Nchalo!M35+Nsanje!M35+Ngabu!M35</f>
        <v>0</v>
      </c>
      <c r="N35" s="34">
        <f>Bangula!N35+Chikwawa!N35+'Miseu Folo'!N35+Nchalo!N35+Nsanje!N35+Ngabu!N35</f>
        <v>0</v>
      </c>
      <c r="O35" s="34">
        <f>Bangula!O35+Chikwawa!O35+'Miseu Folo'!O35+Nchalo!O35+Nsanje!O35+Ngabu!O35</f>
        <v>0</v>
      </c>
      <c r="P35" s="103"/>
    </row>
    <row r="36" spans="1:16" x14ac:dyDescent="0.3">
      <c r="A36" s="242"/>
      <c r="B36" s="244">
        <v>3726.73</v>
      </c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03"/>
    </row>
    <row r="37" spans="1:16" x14ac:dyDescent="0.3">
      <c r="A37" s="241" t="s">
        <v>186</v>
      </c>
      <c r="B37" s="243"/>
      <c r="C37" s="5" t="s">
        <v>126</v>
      </c>
      <c r="D37" s="34">
        <f>Bangula!D37+Chikwawa!D37+'Miseu Folo'!D37+Nchalo!D37+Nsanje!D37+Ngabu!D37</f>
        <v>0</v>
      </c>
      <c r="E37" s="34">
        <f>Bangula!E37+Chikwawa!E37+'Miseu Folo'!E37+Nchalo!E37+Nsanje!E37+Ngabu!E37</f>
        <v>0</v>
      </c>
      <c r="F37" s="34">
        <f>Bangula!F37+Chikwawa!F37+'Miseu Folo'!F37+Nchalo!F37+Nsanje!F37+Ngabu!F37</f>
        <v>0</v>
      </c>
      <c r="G37" s="34">
        <f>Bangula!G37+Chikwawa!G37+'Miseu Folo'!G37+Nchalo!G37+Nsanje!G37+Ngabu!G37</f>
        <v>0</v>
      </c>
      <c r="H37" s="34">
        <f>Bangula!H37+Chikwawa!H37+'Miseu Folo'!H37+Nchalo!H37+Nsanje!H37+Ngabu!H37</f>
        <v>0</v>
      </c>
      <c r="I37" s="34">
        <f>Bangula!I37+Chikwawa!I37+'Miseu Folo'!I37+Nchalo!I37+Nsanje!I37+Ngabu!I37</f>
        <v>0</v>
      </c>
      <c r="J37" s="34">
        <f>Bangula!J37+Chikwawa!J37+'Miseu Folo'!J37+Nchalo!J37+Nsanje!J37+Ngabu!J37</f>
        <v>0</v>
      </c>
      <c r="K37" s="34">
        <f>Bangula!K37+Chikwawa!K37+'Miseu Folo'!K37+Nchalo!K37+Nsanje!K37+Ngabu!K37</f>
        <v>0</v>
      </c>
      <c r="L37" s="34">
        <f>Bangula!L37+Chikwawa!L37+'Miseu Folo'!L37+Nchalo!L37+Nsanje!L37+Ngabu!L37</f>
        <v>0</v>
      </c>
      <c r="M37" s="34">
        <f>Bangula!M37+Chikwawa!M37+'Miseu Folo'!M37+Nchalo!M37+Nsanje!M37+Ngabu!M37</f>
        <v>0</v>
      </c>
      <c r="N37" s="34">
        <f>Bangula!N37+Chikwawa!N37+'Miseu Folo'!N37+Nchalo!N37+Nsanje!N37+Ngabu!N37</f>
        <v>0</v>
      </c>
      <c r="O37" s="34">
        <f>Bangula!O37+Chikwawa!O37+'Miseu Folo'!O37+Nchalo!O37+Nsanje!O37+Ngabu!O37</f>
        <v>0</v>
      </c>
      <c r="P37" s="45">
        <f>SUM(D37:O37)</f>
        <v>0</v>
      </c>
    </row>
    <row r="38" spans="1:16" x14ac:dyDescent="0.3">
      <c r="A38" s="242"/>
      <c r="B38" s="244">
        <v>3951.59</v>
      </c>
      <c r="C38" s="5" t="s">
        <v>142</v>
      </c>
      <c r="D38" s="15">
        <f t="shared" ref="D38:P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5">
        <f t="shared" si="8"/>
        <v>0</v>
      </c>
      <c r="I38" s="15">
        <f t="shared" si="8"/>
        <v>0</v>
      </c>
      <c r="J38" s="15">
        <f t="shared" si="8"/>
        <v>0</v>
      </c>
      <c r="K38" s="15">
        <f t="shared" si="8"/>
        <v>0</v>
      </c>
      <c r="L38" s="15">
        <f t="shared" si="8"/>
        <v>0</v>
      </c>
      <c r="M38" s="15">
        <f t="shared" si="8"/>
        <v>0</v>
      </c>
      <c r="N38" s="15">
        <f t="shared" si="8"/>
        <v>0</v>
      </c>
      <c r="O38" s="15">
        <f t="shared" si="8"/>
        <v>0</v>
      </c>
      <c r="P38" s="103">
        <f t="shared" si="8"/>
        <v>0</v>
      </c>
    </row>
    <row r="39" spans="1:16" x14ac:dyDescent="0.3">
      <c r="A39" s="241" t="s">
        <v>141</v>
      </c>
      <c r="B39" s="243"/>
      <c r="C39" s="5" t="s">
        <v>140</v>
      </c>
      <c r="D39" s="34">
        <f>Bangula!D39+Chikwawa!D39+'Miseu Folo'!D39+Nchalo!D39+Nsanje!D39+Ngabu!D39</f>
        <v>0</v>
      </c>
      <c r="E39" s="34">
        <f>Bangula!E39+Chikwawa!E39+'Miseu Folo'!E39+Nchalo!E39+Nsanje!E39+Ngabu!E39</f>
        <v>0</v>
      </c>
      <c r="F39" s="34">
        <f>Bangula!F39+Chikwawa!F39+'Miseu Folo'!F39+Nchalo!F39+Nsanje!F39+Ngabu!F39</f>
        <v>0</v>
      </c>
      <c r="G39" s="34">
        <f>Bangula!G39+Chikwawa!G39+'Miseu Folo'!G39+Nchalo!G39+Nsanje!G39+Ngabu!G39</f>
        <v>0</v>
      </c>
      <c r="H39" s="34">
        <f>Bangula!H39+Chikwawa!H39+'Miseu Folo'!H39+Nchalo!H39+Nsanje!H39+Ngabu!H39</f>
        <v>0</v>
      </c>
      <c r="I39" s="34">
        <f>Bangula!I39+Chikwawa!I39+'Miseu Folo'!I39+Nchalo!I39+Nsanje!I39+Ngabu!I39</f>
        <v>0</v>
      </c>
      <c r="J39" s="34">
        <f>Bangula!J39+Chikwawa!J39+'Miseu Folo'!J39+Nchalo!J39+Nsanje!J39+Ngabu!J39</f>
        <v>0</v>
      </c>
      <c r="K39" s="34">
        <f>Bangula!K39+Chikwawa!K39+'Miseu Folo'!K39+Nchalo!K39+Nsanje!K39+Ngabu!K39</f>
        <v>0</v>
      </c>
      <c r="L39" s="34">
        <f>Bangula!L39+Chikwawa!L39+'Miseu Folo'!L39+Nchalo!L39+Nsanje!L39+Ngabu!L39</f>
        <v>0</v>
      </c>
      <c r="M39" s="34">
        <f>Bangula!M39+Chikwawa!M39+'Miseu Folo'!M39+Nchalo!M39+Nsanje!M39+Ngabu!M39</f>
        <v>0</v>
      </c>
      <c r="N39" s="34">
        <f>Bangula!N39+Chikwawa!N39+'Miseu Folo'!N39+Nchalo!N39+Nsanje!N39+Ngabu!N39</f>
        <v>0</v>
      </c>
      <c r="O39" s="34">
        <f>Bangula!O39+Chikwawa!O39+'Miseu Folo'!O39+Nchalo!O39+Nsanje!O39+Ngabu!O39</f>
        <v>0</v>
      </c>
      <c r="P39" s="45">
        <f>SUM(D39:O39)</f>
        <v>0</v>
      </c>
    </row>
    <row r="40" spans="1:16" x14ac:dyDescent="0.3">
      <c r="A40" s="242"/>
      <c r="B40" s="244">
        <v>1950</v>
      </c>
      <c r="C40" s="42" t="s">
        <v>139</v>
      </c>
      <c r="D40" s="15">
        <f t="shared" ref="D40:P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5">
        <f t="shared" si="9"/>
        <v>0</v>
      </c>
      <c r="K40" s="15">
        <f t="shared" si="9"/>
        <v>0</v>
      </c>
      <c r="L40" s="15">
        <f t="shared" si="9"/>
        <v>0</v>
      </c>
      <c r="M40" s="15">
        <f t="shared" si="9"/>
        <v>0</v>
      </c>
      <c r="N40" s="15">
        <f t="shared" si="9"/>
        <v>0</v>
      </c>
      <c r="O40" s="15">
        <f t="shared" si="9"/>
        <v>0</v>
      </c>
      <c r="P40" s="103">
        <f t="shared" si="9"/>
        <v>0</v>
      </c>
    </row>
    <row r="41" spans="1:16" x14ac:dyDescent="0.3">
      <c r="A41" s="231" t="s">
        <v>138</v>
      </c>
      <c r="B41" s="232"/>
      <c r="C41" s="11" t="s">
        <v>31</v>
      </c>
      <c r="D41" s="41">
        <f>(D29*$B29)+(D31*$B31)+(D33*$B33)+(D35*$B35)+(D37*$B37)+(D39*$B39)</f>
        <v>326089.32500000001</v>
      </c>
      <c r="E41" s="41">
        <f t="shared" ref="E41:O41" si="10">(E29*$B29)+(E31*$B31)+(E33*$B33)+(E35*$B35)+(E37*$B37)+(E39*$B39)</f>
        <v>352529</v>
      </c>
      <c r="F41" s="41">
        <f t="shared" si="10"/>
        <v>349003.71</v>
      </c>
      <c r="G41" s="41">
        <f t="shared" si="10"/>
        <v>353762.85149999999</v>
      </c>
      <c r="H41" s="41">
        <f t="shared" si="10"/>
        <v>350766.35499999998</v>
      </c>
      <c r="I41" s="41">
        <f t="shared" si="10"/>
        <v>369979.18550000002</v>
      </c>
      <c r="J41" s="41">
        <f t="shared" si="10"/>
        <v>361342.22499999998</v>
      </c>
      <c r="K41" s="41">
        <f t="shared" si="10"/>
        <v>356230.55449999997</v>
      </c>
      <c r="L41" s="41">
        <f t="shared" si="10"/>
        <v>358521.99300000002</v>
      </c>
      <c r="M41" s="41">
        <f t="shared" si="10"/>
        <v>356054.29</v>
      </c>
      <c r="N41" s="41">
        <f t="shared" si="10"/>
        <v>352529</v>
      </c>
      <c r="O41" s="41">
        <f t="shared" si="10"/>
        <v>349003.71</v>
      </c>
      <c r="P41" s="39">
        <f>SUM(D41:O41)</f>
        <v>4235812.1995000001</v>
      </c>
    </row>
    <row r="42" spans="1:16" x14ac:dyDescent="0.3">
      <c r="A42" s="252" t="s">
        <v>137</v>
      </c>
      <c r="B42" s="253"/>
      <c r="C42" s="42" t="s">
        <v>115</v>
      </c>
      <c r="D42" s="15">
        <f t="shared" ref="D42:P42" si="11">D41/D9</f>
        <v>3.3810209234087116</v>
      </c>
      <c r="E42" s="15">
        <f t="shared" si="11"/>
        <v>3.1721931774212417</v>
      </c>
      <c r="F42" s="15">
        <f t="shared" si="11"/>
        <v>3.1131859417510372</v>
      </c>
      <c r="G42" s="15">
        <f t="shared" si="11"/>
        <v>3.5396461132845722</v>
      </c>
      <c r="H42" s="15">
        <f t="shared" si="11"/>
        <v>3.4726247661099503</v>
      </c>
      <c r="I42" s="15">
        <f t="shared" si="11"/>
        <v>3.6241202247080953</v>
      </c>
      <c r="J42" s="15">
        <f t="shared" si="11"/>
        <v>3.5104945497998679</v>
      </c>
      <c r="K42" s="15">
        <f t="shared" si="11"/>
        <v>3.4409102320145273</v>
      </c>
      <c r="L42" s="15">
        <f t="shared" si="11"/>
        <v>3.5838222393266626</v>
      </c>
      <c r="M42" s="15">
        <f t="shared" si="11"/>
        <v>3.6099998986109703</v>
      </c>
      <c r="N42" s="15">
        <f t="shared" si="11"/>
        <v>3.513904947968582</v>
      </c>
      <c r="O42" s="15">
        <f t="shared" si="11"/>
        <v>3.6667371639297763</v>
      </c>
      <c r="P42" s="44">
        <f t="shared" si="11"/>
        <v>3.4624497996087813</v>
      </c>
    </row>
    <row r="43" spans="1:16" ht="14.4" x14ac:dyDescent="0.3">
      <c r="A43" s="247" t="s">
        <v>136</v>
      </c>
      <c r="B43" s="248"/>
      <c r="C43" s="248"/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9"/>
    </row>
    <row r="44" spans="1:16" x14ac:dyDescent="0.3">
      <c r="A44" s="231" t="s">
        <v>135</v>
      </c>
      <c r="B44" s="232"/>
      <c r="C44" s="11" t="s">
        <v>134</v>
      </c>
      <c r="D44" s="34">
        <f>Bangula!D44+Chikwawa!D44+'Miseu Folo'!D44+Nchalo!D44+Nsanje!D44+Ngabu!D44</f>
        <v>51170.03</v>
      </c>
      <c r="E44" s="34">
        <f>Bangula!E44+Chikwawa!E44+'Miseu Folo'!E44+Nchalo!E44+Nsanje!E44+Ngabu!E44</f>
        <v>55320.579999999994</v>
      </c>
      <c r="F44" s="34">
        <f>Bangula!F44+Chikwawa!F44+'Miseu Folo'!F44+Nchalo!F44+Nsanje!F44+Ngabu!F44</f>
        <v>60382.15</v>
      </c>
      <c r="G44" s="34">
        <f>Bangula!G44+Chikwawa!G44+'Miseu Folo'!G44+Nchalo!G44+Nsanje!G44+Ngabu!G44</f>
        <v>59411.130000000005</v>
      </c>
      <c r="H44" s="34">
        <f>Bangula!H44+Chikwawa!H44+'Miseu Folo'!H44+Nchalo!H44+Nsanje!H44+Ngabu!H44</f>
        <v>53976.85</v>
      </c>
      <c r="I44" s="34">
        <f>Bangula!I44+Chikwawa!I44+'Miseu Folo'!I44+Nchalo!I44+Nsanje!I44+Ngabu!I44</f>
        <v>89835.03</v>
      </c>
      <c r="J44" s="34">
        <f>Bangula!J44+Chikwawa!J44+'Miseu Folo'!J44+Nchalo!J44+Nsanje!J44+Ngabu!J44</f>
        <v>54538.69</v>
      </c>
      <c r="K44" s="34">
        <f>Bangula!K44+Chikwawa!K44+'Miseu Folo'!K44+Nchalo!K44+Nsanje!K44+Ngabu!K44</f>
        <v>55608.14</v>
      </c>
      <c r="L44" s="34">
        <f>Bangula!L44+Chikwawa!L44+'Miseu Folo'!L44+Nchalo!L44+Nsanje!L44+Ngabu!L44</f>
        <v>51812</v>
      </c>
      <c r="M44" s="34">
        <f>Bangula!M44+Chikwawa!M44+'Miseu Folo'!M44+Nchalo!M44+Nsanje!M44+Ngabu!M44</f>
        <v>54608.240000000005</v>
      </c>
      <c r="N44" s="34">
        <f>Bangula!N44+Chikwawa!N44+'Miseu Folo'!N44+Nchalo!N44+Nsanje!N44+Ngabu!N44</f>
        <v>50117.67</v>
      </c>
      <c r="O44" s="34">
        <f>Bangula!O44+Chikwawa!O44+'Miseu Folo'!O44+Nchalo!O44+Nsanje!O44+Ngabu!O44</f>
        <v>36379.949999999997</v>
      </c>
      <c r="P44" s="39">
        <f>SUM(D44:O44)</f>
        <v>673160.46000000008</v>
      </c>
    </row>
    <row r="45" spans="1:16" x14ac:dyDescent="0.3">
      <c r="A45" s="252" t="s">
        <v>133</v>
      </c>
      <c r="B45" s="253"/>
      <c r="C45" s="42" t="s">
        <v>132</v>
      </c>
      <c r="D45" s="15">
        <f t="shared" ref="D45:P45" si="12">D44/D9</f>
        <v>0.53055076881603369</v>
      </c>
      <c r="E45" s="15">
        <f t="shared" si="12"/>
        <v>0.49779611449550526</v>
      </c>
      <c r="F45" s="15">
        <f t="shared" si="12"/>
        <v>0.53862138174033269</v>
      </c>
      <c r="G45" s="15">
        <f t="shared" si="12"/>
        <v>0.5944501365778494</v>
      </c>
      <c r="H45" s="15">
        <f t="shared" si="12"/>
        <v>0.53437663970537275</v>
      </c>
      <c r="I45" s="15">
        <f t="shared" si="12"/>
        <v>0.87997639291591567</v>
      </c>
      <c r="J45" s="15">
        <f t="shared" si="12"/>
        <v>0.52985164963276732</v>
      </c>
      <c r="K45" s="15">
        <f t="shared" si="12"/>
        <v>0.53713140406460091</v>
      </c>
      <c r="L45" s="15">
        <f t="shared" si="12"/>
        <v>0.51791801197532961</v>
      </c>
      <c r="M45" s="15">
        <f t="shared" si="12"/>
        <v>0.55366764676062052</v>
      </c>
      <c r="N45" s="15">
        <f t="shared" si="12"/>
        <v>0.49955813165344282</v>
      </c>
      <c r="O45" s="15">
        <f t="shared" si="12"/>
        <v>0.38221861505972826</v>
      </c>
      <c r="P45" s="103">
        <f t="shared" si="12"/>
        <v>0.55025676070026985</v>
      </c>
    </row>
    <row r="46" spans="1:16" x14ac:dyDescent="0.3">
      <c r="A46" s="250" t="s">
        <v>131</v>
      </c>
      <c r="B46" s="251"/>
      <c r="C46" s="5" t="s">
        <v>31</v>
      </c>
      <c r="D46" s="34">
        <f>Bangula!D46+Chikwawa!D46+'Miseu Folo'!D46+Nchalo!D46+Nsanje!D46+Ngabu!D46</f>
        <v>7731791.5330000008</v>
      </c>
      <c r="E46" s="34">
        <f>Bangula!E46+Chikwawa!E46+'Miseu Folo'!E46+Nchalo!E46+Nsanje!E46+Ngabu!E46</f>
        <v>8358939.6379999993</v>
      </c>
      <c r="F46" s="34">
        <f>Bangula!F46+Chikwawa!F46+'Miseu Folo'!F46+Nchalo!F46+Nsanje!F46+Ngabu!F46</f>
        <v>9123742.8650000002</v>
      </c>
      <c r="G46" s="34">
        <f>Bangula!G46+Chikwawa!G46+'Miseu Folo'!G46+Nchalo!G46+Nsanje!G46+Ngabu!G46</f>
        <v>8977021.7430000007</v>
      </c>
      <c r="H46" s="34">
        <f>Bangula!H46+Chikwawa!H46+'Miseu Folo'!H46+Nchalo!H46+Nsanje!H46+Ngabu!H46</f>
        <v>8155902.0350000001</v>
      </c>
      <c r="I46" s="34">
        <f>Bangula!I46+Chikwawa!I46+'Miseu Folo'!I46+Nchalo!I46+Nsanje!I46+Ngabu!I46</f>
        <v>13574073.033</v>
      </c>
      <c r="J46" s="34">
        <f>Bangula!J46+Chikwawa!J46+'Miseu Folo'!J46+Nchalo!J46+Nsanje!J46+Ngabu!J46</f>
        <v>7841661.9480349999</v>
      </c>
      <c r="K46" s="34">
        <f>Bangula!K46+Chikwawa!K46+'Miseu Folo'!K46+Nchalo!K46+Nsanje!K46+Ngabu!K46</f>
        <v>7814271.8372100005</v>
      </c>
      <c r="L46" s="34">
        <f>Bangula!L46+Chikwawa!L46+'Miseu Folo'!L46+Nchalo!L46+Nsanje!L46+Ngabu!L46</f>
        <v>7287551.7179999985</v>
      </c>
      <c r="M46" s="34">
        <f>Bangula!M46+Chikwawa!M46+'Miseu Folo'!M46+Nchalo!M46+Nsanje!M46+Ngabu!M46</f>
        <v>7675534.2123600002</v>
      </c>
      <c r="N46" s="34">
        <f>Bangula!N46+Chikwawa!N46+'Miseu Folo'!N46+Nchalo!N46+Nsanje!N46+Ngabu!N46</f>
        <v>7052460.8890049998</v>
      </c>
      <c r="O46" s="34">
        <f>Bangula!O46+Chikwawa!O46+'Miseu Folo'!O46+Nchalo!O46+Nsanje!O46+Ngabu!O46</f>
        <v>5146331.632425</v>
      </c>
      <c r="P46" s="39">
        <f>SUM(D46:O46)</f>
        <v>98739283.084034994</v>
      </c>
    </row>
    <row r="47" spans="1:16" s="2" customFormat="1" x14ac:dyDescent="0.3">
      <c r="A47" s="231" t="s">
        <v>130</v>
      </c>
      <c r="B47" s="232"/>
      <c r="C47" s="11" t="s">
        <v>115</v>
      </c>
      <c r="D47" s="15">
        <f t="shared" ref="D47:P47" si="13">D46/D9</f>
        <v>80.166221168102695</v>
      </c>
      <c r="E47" s="15">
        <f t="shared" si="13"/>
        <v>75.216992900270839</v>
      </c>
      <c r="F47" s="15">
        <f t="shared" si="13"/>
        <v>81.385690780964282</v>
      </c>
      <c r="G47" s="15">
        <f t="shared" si="13"/>
        <v>89.821415636913045</v>
      </c>
      <c r="H47" s="15">
        <f t="shared" si="13"/>
        <v>80.744310259481836</v>
      </c>
      <c r="I47" s="15">
        <f t="shared" si="13"/>
        <v>132.96443296959487</v>
      </c>
      <c r="J47" s="15">
        <f t="shared" si="13"/>
        <v>76.182935802617266</v>
      </c>
      <c r="K47" s="15">
        <f t="shared" si="13"/>
        <v>75.479791333842059</v>
      </c>
      <c r="L47" s="15">
        <f t="shared" si="13"/>
        <v>72.847106808344734</v>
      </c>
      <c r="M47" s="15">
        <f t="shared" si="13"/>
        <v>77.821496627395319</v>
      </c>
      <c r="N47" s="15">
        <f t="shared" si="13"/>
        <v>70.296847105428412</v>
      </c>
      <c r="O47" s="15">
        <f t="shared" si="13"/>
        <v>54.068896443880604</v>
      </c>
      <c r="P47" s="103">
        <f t="shared" si="13"/>
        <v>80.711748969462718</v>
      </c>
    </row>
    <row r="48" spans="1:16" ht="14.4" x14ac:dyDescent="0.3">
      <c r="A48" s="247" t="s">
        <v>129</v>
      </c>
      <c r="B48" s="248"/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9"/>
    </row>
    <row r="49" spans="1:16" x14ac:dyDescent="0.3">
      <c r="A49" s="231" t="s">
        <v>128</v>
      </c>
      <c r="B49" s="232"/>
      <c r="C49" s="5" t="s">
        <v>127</v>
      </c>
      <c r="D49" s="34">
        <f>Bangula!D49+Chikwawa!D49+'Miseu Folo'!D49+Nchalo!D49+Nsanje!D49+Ngabu!D49</f>
        <v>3341</v>
      </c>
      <c r="E49" s="34">
        <f>Bangula!E49+Chikwawa!E49+'Miseu Folo'!E49+Nchalo!E49+Nsanje!E49+Ngabu!E49</f>
        <v>5304</v>
      </c>
      <c r="F49" s="34">
        <f>Bangula!F49+Chikwawa!F49+'Miseu Folo'!F49+Nchalo!F49+Nsanje!F49+Ngabu!F49</f>
        <v>4896</v>
      </c>
      <c r="G49" s="34">
        <f>Bangula!G49+Chikwawa!G49+'Miseu Folo'!G49+Nchalo!G49+Nsanje!G49+Ngabu!G49</f>
        <v>5216</v>
      </c>
      <c r="H49" s="34">
        <f>Bangula!H49+Chikwawa!H49+'Miseu Folo'!H49+Nchalo!H49+Nsanje!H49+Ngabu!H49</f>
        <v>3295</v>
      </c>
      <c r="I49" s="34">
        <f>Bangula!I49+Chikwawa!I49+'Miseu Folo'!I49+Nchalo!I49+Nsanje!I49+Ngabu!I49</f>
        <v>2942</v>
      </c>
      <c r="J49" s="34">
        <f>Bangula!J49+Chikwawa!J49+'Miseu Folo'!J49+Nchalo!J49+Nsanje!J49+Ngabu!J49</f>
        <v>4569</v>
      </c>
      <c r="K49" s="34">
        <f>Bangula!K49+Chikwawa!K49+'Miseu Folo'!K49+Nchalo!K49+Nsanje!K49+Ngabu!K49</f>
        <v>6224</v>
      </c>
      <c r="L49" s="34">
        <f>Bangula!L49+Chikwawa!L49+'Miseu Folo'!L49+Nchalo!L49+Nsanje!L49+Ngabu!L49</f>
        <v>4674</v>
      </c>
      <c r="M49" s="34">
        <f>Bangula!M49+Chikwawa!M49+'Miseu Folo'!M49+Nchalo!M49+Nsanje!M49+Ngabu!M49</f>
        <v>3297</v>
      </c>
      <c r="N49" s="34">
        <f>Bangula!N49+Chikwawa!N49+'Miseu Folo'!N49+Nchalo!N49+Nsanje!N49+Ngabu!N49</f>
        <v>4370</v>
      </c>
      <c r="O49" s="34">
        <f>Bangula!O49+Chikwawa!O49+'Miseu Folo'!O49+Nchalo!O49+Nsanje!O49+Ngabu!O49</f>
        <v>2949</v>
      </c>
      <c r="P49" s="39">
        <f>SUM(D49:O49)</f>
        <v>51077</v>
      </c>
    </row>
    <row r="50" spans="1:16" x14ac:dyDescent="0.3">
      <c r="A50" s="231" t="s">
        <v>187</v>
      </c>
      <c r="B50" s="232"/>
      <c r="C50" s="5" t="s">
        <v>126</v>
      </c>
      <c r="D50" s="34">
        <f>Bangula!D50+Chikwawa!D50+'Miseu Folo'!D50+Nchalo!D50+Nsanje!D50+Ngabu!D50</f>
        <v>359</v>
      </c>
      <c r="E50" s="34">
        <f>Bangula!E50+Chikwawa!E50+'Miseu Folo'!E50+Nchalo!E50+Nsanje!E50+Ngabu!E50</f>
        <v>607</v>
      </c>
      <c r="F50" s="34">
        <f>Bangula!F50+Chikwawa!F50+'Miseu Folo'!F50+Nchalo!F50+Nsanje!F50+Ngabu!F50</f>
        <v>569</v>
      </c>
      <c r="G50" s="34">
        <f>Bangula!G50+Chikwawa!G50+'Miseu Folo'!G50+Nchalo!G50+Nsanje!G50+Ngabu!G50</f>
        <v>696</v>
      </c>
      <c r="H50" s="34">
        <f>Bangula!H50+Chikwawa!H50+'Miseu Folo'!H50+Nchalo!H50+Nsanje!H50+Ngabu!H50</f>
        <v>447.5</v>
      </c>
      <c r="I50" s="34">
        <f>Bangula!I50+Chikwawa!I50+'Miseu Folo'!I50+Nchalo!I50+Nsanje!I50+Ngabu!I50</f>
        <v>443</v>
      </c>
      <c r="J50" s="34">
        <f>Bangula!J50+Chikwawa!J50+'Miseu Folo'!J50+Nchalo!J50+Nsanje!J50+Ngabu!J50</f>
        <v>744.19</v>
      </c>
      <c r="K50" s="34">
        <f>Bangula!K50+Chikwawa!K50+'Miseu Folo'!K50+Nchalo!K50+Nsanje!K50+Ngabu!K50</f>
        <v>887</v>
      </c>
      <c r="L50" s="34">
        <f>Bangula!L50+Chikwawa!L50+'Miseu Folo'!L50+Nchalo!L50+Nsanje!L50+Ngabu!L50</f>
        <v>774.9</v>
      </c>
      <c r="M50" s="34">
        <f>Bangula!M50+Chikwawa!M50+'Miseu Folo'!M50+Nchalo!M50+Nsanje!M50+Ngabu!M50</f>
        <v>462</v>
      </c>
      <c r="N50" s="34">
        <f>Bangula!N50+Chikwawa!N50+'Miseu Folo'!N50+Nchalo!N50+Nsanje!N50+Ngabu!N50</f>
        <v>595</v>
      </c>
      <c r="O50" s="34">
        <f>Bangula!O50+Chikwawa!O50+'Miseu Folo'!O50+Nchalo!O50+Nsanje!O50+Ngabu!O50</f>
        <v>427.2</v>
      </c>
      <c r="P50" s="39">
        <f>SUM(D50:O50)</f>
        <v>7011.79</v>
      </c>
    </row>
    <row r="51" spans="1:16" x14ac:dyDescent="0.3">
      <c r="A51" s="250" t="s">
        <v>125</v>
      </c>
      <c r="B51" s="251"/>
      <c r="C51" s="5" t="s">
        <v>31</v>
      </c>
      <c r="D51" s="34">
        <f>Bangula!D51+Chikwawa!D51+'Miseu Folo'!D51+Nchalo!D51+Nsanje!D51+Ngabu!D51</f>
        <v>683880</v>
      </c>
      <c r="E51" s="34">
        <f>Bangula!E51+Chikwawa!E51+'Miseu Folo'!E51+Nchalo!E51+Nsanje!E51+Ngabu!E51</f>
        <v>1160940</v>
      </c>
      <c r="F51" s="34">
        <f>Bangula!F51+Chikwawa!F51+'Miseu Folo'!F51+Nchalo!F51+Nsanje!F51+Ngabu!F51</f>
        <v>1087980</v>
      </c>
      <c r="G51" s="34">
        <f>Bangula!G51+Chikwawa!G51+'Miseu Folo'!G51+Nchalo!G51+Nsanje!G51+Ngabu!G51</f>
        <v>1332720</v>
      </c>
      <c r="H51" s="34">
        <f>Bangula!H51+Chikwawa!H51+'Miseu Folo'!H51+Nchalo!H51+Nsanje!H51+Ngabu!H51</f>
        <v>854025</v>
      </c>
      <c r="I51" s="34">
        <f>Bangula!I51+Chikwawa!I51+'Miseu Folo'!I51+Nchalo!I51+Nsanje!I51+Ngabu!I51</f>
        <v>840660</v>
      </c>
      <c r="J51" s="34">
        <f>Bangula!J51+Chikwawa!J51+'Miseu Folo'!J51+Nchalo!J51+Nsanje!J51+Ngabu!J51</f>
        <v>1417509.3</v>
      </c>
      <c r="K51" s="34">
        <f>Bangula!K51+Chikwawa!K51+'Miseu Folo'!K51+Nchalo!K51+Nsanje!K51+Ngabu!K51</f>
        <v>1698540</v>
      </c>
      <c r="L51" s="34">
        <f>Bangula!L51+Chikwawa!L51+'Miseu Folo'!L51+Nchalo!L51+Nsanje!L51+Ngabu!L51</f>
        <v>1475253</v>
      </c>
      <c r="M51" s="34">
        <f>Bangula!M51+Chikwawa!M51+'Miseu Folo'!M51+Nchalo!M51+Nsanje!M51+Ngabu!M51</f>
        <v>887040</v>
      </c>
      <c r="N51" s="34">
        <f>Bangula!N51+Chikwawa!N51+'Miseu Folo'!N51+Nchalo!N51+Nsanje!N51+Ngabu!N51</f>
        <v>1142400</v>
      </c>
      <c r="O51" s="34">
        <f>Bangula!O51+Chikwawa!O51+'Miseu Folo'!O51+Nchalo!O51+Nsanje!O51+Ngabu!O51</f>
        <v>940004</v>
      </c>
      <c r="P51" s="40">
        <f>SUM(D51:O51)</f>
        <v>13520951.300000001</v>
      </c>
    </row>
    <row r="52" spans="1:16" x14ac:dyDescent="0.3">
      <c r="A52" s="231" t="s">
        <v>124</v>
      </c>
      <c r="B52" s="232"/>
      <c r="C52" s="5" t="s">
        <v>31</v>
      </c>
      <c r="D52" s="34">
        <f>Bangula!D52+Chikwawa!D52+'Miseu Folo'!D52+Nchalo!D52+Nsanje!D52+Ngabu!D52</f>
        <v>50000</v>
      </c>
      <c r="E52" s="34">
        <f>Bangula!E52+Chikwawa!E52+'Miseu Folo'!E52+Nchalo!E52+Nsanje!E52+Ngabu!E52</f>
        <v>65000</v>
      </c>
      <c r="F52" s="34">
        <f>Bangula!F52+Chikwawa!F52+'Miseu Folo'!F52+Nchalo!F52+Nsanje!F52+Ngabu!F52</f>
        <v>0</v>
      </c>
      <c r="G52" s="34">
        <f>Bangula!G52+Chikwawa!G52+'Miseu Folo'!G52+Nchalo!G52+Nsanje!G52+Ngabu!G52</f>
        <v>0</v>
      </c>
      <c r="H52" s="34">
        <f>Bangula!H52+Chikwawa!H52+'Miseu Folo'!H52+Nchalo!H52+Nsanje!H52+Ngabu!H52</f>
        <v>0</v>
      </c>
      <c r="I52" s="34">
        <f>Bangula!I52+Chikwawa!I52+'Miseu Folo'!I52+Nchalo!I52+Nsanje!I52+Ngabu!I52</f>
        <v>0</v>
      </c>
      <c r="J52" s="34">
        <f>Bangula!J52+Chikwawa!J52+'Miseu Folo'!J52+Nchalo!J52+Nsanje!J52+Ngabu!J52</f>
        <v>0</v>
      </c>
      <c r="K52" s="34">
        <f>Bangula!K52+Chikwawa!K52+'Miseu Folo'!K52+Nchalo!K52+Nsanje!K52+Ngabu!K52</f>
        <v>0</v>
      </c>
      <c r="L52" s="34">
        <f>Bangula!L52+Chikwawa!L52+'Miseu Folo'!L52+Nchalo!L52+Nsanje!L52+Ngabu!L52</f>
        <v>0</v>
      </c>
      <c r="M52" s="34">
        <f>Bangula!M52+Chikwawa!M52+'Miseu Folo'!M52+Nchalo!M52+Nsanje!M52+Ngabu!M52</f>
        <v>0</v>
      </c>
      <c r="N52" s="34">
        <f>Bangula!N52+Chikwawa!N52+'Miseu Folo'!N52+Nchalo!N52+Nsanje!N52+Ngabu!N52</f>
        <v>0</v>
      </c>
      <c r="O52" s="34">
        <f>Bangula!O52+Chikwawa!O52+'Miseu Folo'!O52+Nchalo!O52+Nsanje!O52+Ngabu!O52</f>
        <v>0</v>
      </c>
      <c r="P52" s="40">
        <f>SUM(D52:O52)</f>
        <v>115000</v>
      </c>
    </row>
    <row r="53" spans="1:16" ht="14.4" x14ac:dyDescent="0.3">
      <c r="A53" s="247" t="s">
        <v>123</v>
      </c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9"/>
    </row>
    <row r="54" spans="1:16" x14ac:dyDescent="0.3">
      <c r="A54" s="231" t="s">
        <v>122</v>
      </c>
      <c r="B54" s="232"/>
      <c r="C54" s="11" t="s">
        <v>18</v>
      </c>
      <c r="D54" s="34">
        <f>Bangula!D54+Chikwawa!D54+'Miseu Folo'!D54+Nchalo!D54+Nsanje!D54+Ngabu!D54</f>
        <v>9408257.6260000002</v>
      </c>
      <c r="E54" s="34">
        <f>Bangula!E54+Chikwawa!E54+'Miseu Folo'!E54+Nchalo!E54+Nsanje!E54+Ngabu!E54</f>
        <v>9408257.6260000002</v>
      </c>
      <c r="F54" s="34">
        <f>Bangula!F54+Chikwawa!F54+'Miseu Folo'!F54+Nchalo!F54+Nsanje!F54+Ngabu!F54</f>
        <v>9408257.6260000002</v>
      </c>
      <c r="G54" s="34">
        <f>Bangula!G54+Chikwawa!G54+'Miseu Folo'!G54+Nchalo!G54+Nsanje!G54+Ngabu!G54</f>
        <v>9487015.0059999991</v>
      </c>
      <c r="H54" s="34">
        <f>Bangula!H54+Chikwawa!H54+'Miseu Folo'!H54+Nchalo!H54+Nsanje!H54+Ngabu!H54</f>
        <v>9487015.0059999991</v>
      </c>
      <c r="I54" s="34">
        <f>Bangula!I54+Chikwawa!I54+'Miseu Folo'!I54+Nchalo!I54+Nsanje!I54+Ngabu!I54</f>
        <v>9924492.8660000004</v>
      </c>
      <c r="J54" s="34">
        <f>Bangula!J54+Chikwawa!J54+'Miseu Folo'!J54+Nchalo!J54+Nsanje!J54+Ngabu!J54</f>
        <v>9924492.8660000004</v>
      </c>
      <c r="K54" s="34">
        <f>Bangula!K54+Chikwawa!K54+'Miseu Folo'!K54+Nchalo!K54+Nsanje!K54+Ngabu!K54</f>
        <v>5463583.6859999998</v>
      </c>
      <c r="L54" s="34">
        <f>Bangula!L54+Chikwawa!L54+'Miseu Folo'!L54+Nchalo!L54+Nsanje!L54+Ngabu!L54</f>
        <v>2190683</v>
      </c>
      <c r="M54" s="34">
        <f>Bangula!M54+Chikwawa!M54+'Miseu Folo'!M54+Nchalo!M54+Nsanje!M54+Ngabu!M54</f>
        <v>0</v>
      </c>
      <c r="N54" s="34">
        <f>Bangula!N54+Chikwawa!N54+'Miseu Folo'!N54+Nchalo!N54+Nsanje!N54+Ngabu!N54</f>
        <v>0</v>
      </c>
      <c r="O54" s="34">
        <f>Bangula!O54+Chikwawa!O54+'Miseu Folo'!O54+Nchalo!O54+Nsanje!O54+Ngabu!O54</f>
        <v>0</v>
      </c>
      <c r="P54" s="39">
        <f>SUM(D54:O54)</f>
        <v>74702055.307999998</v>
      </c>
    </row>
    <row r="55" spans="1:16" x14ac:dyDescent="0.3">
      <c r="A55" s="318" t="s">
        <v>121</v>
      </c>
      <c r="B55" s="319"/>
      <c r="C55" s="11" t="s">
        <v>18</v>
      </c>
      <c r="D55" s="34">
        <f>Bangula!D55+Chikwawa!D55+'Miseu Folo'!D55+Nchalo!D55+Nsanje!D55+Ngabu!D55</f>
        <v>1271430.42</v>
      </c>
      <c r="E55" s="34">
        <f>Bangula!E55+Chikwawa!E55+'Miseu Folo'!E55+Nchalo!E55+Nsanje!E55+Ngabu!E55</f>
        <v>1271430.42</v>
      </c>
      <c r="F55" s="34">
        <f>Bangula!F55+Chikwawa!F55+'Miseu Folo'!F55+Nchalo!F55+Nsanje!F55+Ngabu!F55</f>
        <v>1271430.42</v>
      </c>
      <c r="G55" s="34">
        <f>Bangula!G55+Chikwawa!G55+'Miseu Folo'!G55+Nchalo!G55+Nsanje!G55+Ngabu!G55</f>
        <v>1305996.25</v>
      </c>
      <c r="H55" s="34">
        <f>Bangula!H55+Chikwawa!H55+'Miseu Folo'!H55+Nchalo!H55+Nsanje!H55+Ngabu!H55</f>
        <v>1305996.25</v>
      </c>
      <c r="I55" s="34">
        <f>Bangula!I55+Chikwawa!I55+'Miseu Folo'!I55+Nchalo!I55+Nsanje!I55+Ngabu!I55</f>
        <v>1310931.3999999999</v>
      </c>
      <c r="J55" s="34">
        <f>Bangula!J55+Chikwawa!J55+'Miseu Folo'!J55+Nchalo!J55+Nsanje!J55+Ngabu!J55</f>
        <v>1310931.3999999999</v>
      </c>
      <c r="K55" s="34">
        <f>Bangula!K55+Chikwawa!K55+'Miseu Folo'!K55+Nchalo!K55+Nsanje!K55+Ngabu!K55</f>
        <v>580668.32999999996</v>
      </c>
      <c r="L55" s="34">
        <f>Bangula!L55+Chikwawa!L55+'Miseu Folo'!L55+Nchalo!L55+Nsanje!L55+Ngabu!L55</f>
        <v>93.767195993665197</v>
      </c>
      <c r="M55" s="34">
        <f>Bangula!M55+Chikwawa!M55+'Miseu Folo'!M55+Nchalo!M55+Nsanje!M55+Ngabu!M55</f>
        <v>0</v>
      </c>
      <c r="N55" s="34">
        <f>Bangula!N55+Chikwawa!N55+'Miseu Folo'!N55+Nchalo!N55+Nsanje!N55+Ngabu!N55</f>
        <v>0</v>
      </c>
      <c r="O55" s="34">
        <f>Bangula!O55+Chikwawa!O55+'Miseu Folo'!O55+Nchalo!O55+Nsanje!O55+Ngabu!O55</f>
        <v>0</v>
      </c>
      <c r="P55" s="39">
        <f>SUM(D55:O55)</f>
        <v>9628908.6571959946</v>
      </c>
    </row>
    <row r="56" spans="1:16" x14ac:dyDescent="0.3">
      <c r="A56" s="231" t="s">
        <v>120</v>
      </c>
      <c r="B56" s="232"/>
      <c r="C56" s="5" t="s">
        <v>18</v>
      </c>
      <c r="D56" s="34">
        <f>Bangula!D56+Chikwawa!D56+'Miseu Folo'!D56+Nchalo!D56+Nsanje!D56+Ngabu!D56</f>
        <v>0</v>
      </c>
      <c r="E56" s="34">
        <f>Bangula!E56+Chikwawa!E56+'Miseu Folo'!E56+Nchalo!E56+Nsanje!E56+Ngabu!E56</f>
        <v>0</v>
      </c>
      <c r="F56" s="34">
        <f>Bangula!F56+Chikwawa!F56+'Miseu Folo'!F56+Nchalo!F56+Nsanje!F56+Ngabu!F56</f>
        <v>0</v>
      </c>
      <c r="G56" s="34">
        <f>Bangula!G56+Chikwawa!G56+'Miseu Folo'!G56+Nchalo!G56+Nsanje!G56+Ngabu!G56</f>
        <v>0</v>
      </c>
      <c r="H56" s="34">
        <f>Bangula!H56+Chikwawa!H56+'Miseu Folo'!H56+Nchalo!H56+Nsanje!H56+Ngabu!H56</f>
        <v>0</v>
      </c>
      <c r="I56" s="34">
        <f>Bangula!I56+Chikwawa!I56+'Miseu Folo'!I56+Nchalo!I56+Nsanje!I56+Ngabu!I56</f>
        <v>0</v>
      </c>
      <c r="J56" s="34">
        <f>Bangula!J56+Chikwawa!J56+'Miseu Folo'!J56+Nchalo!J56+Nsanje!J56+Ngabu!J56</f>
        <v>0</v>
      </c>
      <c r="K56" s="34">
        <f>Bangula!K56+Chikwawa!K56+'Miseu Folo'!K56+Nchalo!K56+Nsanje!K56+Ngabu!K56</f>
        <v>0</v>
      </c>
      <c r="L56" s="34">
        <f>Bangula!L56+Chikwawa!L56+'Miseu Folo'!L56+Nchalo!L56+Nsanje!L56+Ngabu!L56</f>
        <v>125.93027132674177</v>
      </c>
      <c r="M56" s="34">
        <f>Bangula!M56+Chikwawa!M56+'Miseu Folo'!M56+Nchalo!M56+Nsanje!M56+Ngabu!M56</f>
        <v>0</v>
      </c>
      <c r="N56" s="34">
        <f>Bangula!N56+Chikwawa!N56+'Miseu Folo'!N56+Nchalo!N56+Nsanje!N56+Ngabu!N56</f>
        <v>0</v>
      </c>
      <c r="O56" s="34">
        <f>Bangula!O56+Chikwawa!O56+'Miseu Folo'!O56+Nchalo!O56+Nsanje!O56+Ngabu!O56</f>
        <v>0</v>
      </c>
      <c r="P56" s="39">
        <f>SUM(D56:O56)</f>
        <v>125.93027132674177</v>
      </c>
    </row>
    <row r="57" spans="1:16" ht="14.4" x14ac:dyDescent="0.3">
      <c r="A57" s="247" t="s">
        <v>119</v>
      </c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9"/>
    </row>
    <row r="58" spans="1:16" x14ac:dyDescent="0.3">
      <c r="A58" s="250" t="s">
        <v>118</v>
      </c>
      <c r="B58" s="251"/>
      <c r="C58" s="5" t="s">
        <v>18</v>
      </c>
      <c r="D58" s="13">
        <f>D41+D46+D51+D52+D54+D55+D56</f>
        <v>19471448.903999999</v>
      </c>
      <c r="E58" s="13">
        <f t="shared" ref="E58:O58" si="14">E41+E46+E51+E52+E54+E55+E56</f>
        <v>20617096.684</v>
      </c>
      <c r="F58" s="13">
        <f t="shared" si="14"/>
        <v>21240414.620999999</v>
      </c>
      <c r="G58" s="13">
        <f t="shared" si="14"/>
        <v>21456515.850500003</v>
      </c>
      <c r="H58" s="13">
        <f t="shared" si="14"/>
        <v>20153704.645999998</v>
      </c>
      <c r="I58" s="13">
        <f t="shared" si="14"/>
        <v>26020136.484499998</v>
      </c>
      <c r="J58" s="13">
        <f t="shared" si="14"/>
        <v>20855937.739034999</v>
      </c>
      <c r="K58" s="13">
        <f t="shared" si="14"/>
        <v>15913294.407709999</v>
      </c>
      <c r="L58" s="13">
        <f t="shared" si="14"/>
        <v>11312229.408467321</v>
      </c>
      <c r="M58" s="13">
        <f t="shared" si="14"/>
        <v>8918628.5023600012</v>
      </c>
      <c r="N58" s="13">
        <f t="shared" si="14"/>
        <v>8547389.8890049998</v>
      </c>
      <c r="O58" s="13">
        <f t="shared" si="14"/>
        <v>6435339.3424249999</v>
      </c>
      <c r="P58" s="64">
        <f>SUM(D58:O58)</f>
        <v>200942136.4790023</v>
      </c>
    </row>
    <row r="59" spans="1:16" x14ac:dyDescent="0.3">
      <c r="A59" s="250" t="s">
        <v>117</v>
      </c>
      <c r="B59" s="251"/>
      <c r="C59" s="5" t="s">
        <v>115</v>
      </c>
      <c r="D59" s="15">
        <f t="shared" ref="D59:P59" si="15">D58/D9</f>
        <v>201.88755382749073</v>
      </c>
      <c r="E59" s="15">
        <f t="shared" si="15"/>
        <v>185.52066195750962</v>
      </c>
      <c r="F59" s="15">
        <f t="shared" si="15"/>
        <v>189.46893199232861</v>
      </c>
      <c r="G59" s="15">
        <f t="shared" si="15"/>
        <v>214.6875303973265</v>
      </c>
      <c r="H59" s="15">
        <f t="shared" si="15"/>
        <v>199.52385080537377</v>
      </c>
      <c r="I59" s="15">
        <f t="shared" si="15"/>
        <v>254.87948127595797</v>
      </c>
      <c r="J59" s="15">
        <f t="shared" si="15"/>
        <v>202.61860003725761</v>
      </c>
      <c r="K59" s="15">
        <f t="shared" si="15"/>
        <v>153.71005339338149</v>
      </c>
      <c r="L59" s="15">
        <f t="shared" si="15"/>
        <v>113.07819358917342</v>
      </c>
      <c r="M59" s="15">
        <f t="shared" si="15"/>
        <v>90.425109017134758</v>
      </c>
      <c r="N59" s="15">
        <f t="shared" si="15"/>
        <v>85.197857830678601</v>
      </c>
      <c r="O59" s="15">
        <f t="shared" si="15"/>
        <v>67.61159624741282</v>
      </c>
      <c r="P59" s="103">
        <f t="shared" si="15"/>
        <v>164.25469955131845</v>
      </c>
    </row>
    <row r="60" spans="1:16" x14ac:dyDescent="0.3">
      <c r="A60" s="250" t="s">
        <v>116</v>
      </c>
      <c r="B60" s="251"/>
      <c r="C60" s="5" t="s">
        <v>115</v>
      </c>
      <c r="D60" s="15">
        <f>D58/D22</f>
        <v>269.20294350891743</v>
      </c>
      <c r="E60" s="15">
        <f t="shared" ref="E60:O60" si="16">E58/E22</f>
        <v>258.6685187197242</v>
      </c>
      <c r="F60" s="15">
        <f t="shared" si="16"/>
        <v>252.777217898277</v>
      </c>
      <c r="G60" s="15">
        <f t="shared" si="16"/>
        <v>284.44543819797224</v>
      </c>
      <c r="H60" s="15">
        <f t="shared" si="16"/>
        <v>253.17706632396687</v>
      </c>
      <c r="I60" s="15">
        <f t="shared" si="16"/>
        <v>327.08625106692159</v>
      </c>
      <c r="J60" s="15">
        <f t="shared" si="16"/>
        <v>252.5219303290568</v>
      </c>
      <c r="K60" s="15">
        <f t="shared" si="16"/>
        <v>191.25061633057513</v>
      </c>
      <c r="L60" s="15">
        <f t="shared" si="16"/>
        <v>143.06999067214872</v>
      </c>
      <c r="M60" s="15">
        <f t="shared" si="16"/>
        <v>116.19832974861083</v>
      </c>
      <c r="N60" s="15">
        <f t="shared" si="16"/>
        <v>103.50072338226195</v>
      </c>
      <c r="O60" s="15">
        <f t="shared" si="16"/>
        <v>85.974639719458224</v>
      </c>
      <c r="P60" s="104">
        <f>P58/P22</f>
        <v>211.5841640182098</v>
      </c>
    </row>
    <row r="61" spans="1:16" x14ac:dyDescent="0.3">
      <c r="A61" s="231" t="s">
        <v>114</v>
      </c>
      <c r="B61" s="232"/>
      <c r="C61" s="5" t="s">
        <v>3</v>
      </c>
      <c r="D61" s="34">
        <f>Bangula!D61+Chikwawa!D61+'Miseu Folo'!D61+Nchalo!D61+Nsanje!D61+Ngabu!D61</f>
        <v>39</v>
      </c>
      <c r="E61" s="34">
        <f>Bangula!E61+Chikwawa!E61+'Miseu Folo'!E61+Nchalo!E61+Nsanje!E61+Ngabu!E61</f>
        <v>39</v>
      </c>
      <c r="F61" s="34">
        <f>Bangula!F61+Chikwawa!F61+'Miseu Folo'!F61+Nchalo!F61+Nsanje!F61+Ngabu!F61</f>
        <v>39</v>
      </c>
      <c r="G61" s="34">
        <f>Bangula!G61+Chikwawa!G61+'Miseu Folo'!G61+Nchalo!G61+Nsanje!G61+Ngabu!G61</f>
        <v>40</v>
      </c>
      <c r="H61" s="34">
        <f>Bangula!H61+Chikwawa!H61+'Miseu Folo'!H61+Nchalo!H61+Nsanje!H61+Ngabu!H61</f>
        <v>40</v>
      </c>
      <c r="I61" s="34">
        <f>Bangula!I61+Chikwawa!I61+'Miseu Folo'!I61+Nchalo!I61+Nsanje!I61+Ngabu!I61</f>
        <v>38</v>
      </c>
      <c r="J61" s="34">
        <f>Bangula!J61+Chikwawa!J61+'Miseu Folo'!J61+Nchalo!J61+Nsanje!J61+Ngabu!J61</f>
        <v>38</v>
      </c>
      <c r="K61" s="34">
        <f>Bangula!K61+Chikwawa!K61+'Miseu Folo'!K61+Nchalo!K61+Nsanje!K61+Ngabu!K61</f>
        <v>38</v>
      </c>
      <c r="L61" s="34">
        <f>Bangula!L61+Chikwawa!L61+'Miseu Folo'!L61+Nchalo!L61+Nsanje!L61+Ngabu!L61</f>
        <v>37</v>
      </c>
      <c r="M61" s="34">
        <f>Bangula!M61+Chikwawa!M61+'Miseu Folo'!M61+Nchalo!M61+Nsanje!M61+Ngabu!M61</f>
        <v>37</v>
      </c>
      <c r="N61" s="34">
        <f>Bangula!N61+Chikwawa!N61+'Miseu Folo'!N61+Nchalo!N61+Nsanje!N61+Ngabu!N61</f>
        <v>38</v>
      </c>
      <c r="O61" s="34">
        <f>Bangula!O61+Chikwawa!O61+'Miseu Folo'!O61+Nchalo!O61+Nsanje!O61+Ngabu!O61</f>
        <v>36</v>
      </c>
      <c r="P61" s="39">
        <f>O61</f>
        <v>36</v>
      </c>
    </row>
    <row r="62" spans="1:16" ht="15.6" customHeight="1" x14ac:dyDescent="0.3">
      <c r="A62" s="250" t="s">
        <v>113</v>
      </c>
      <c r="B62" s="251"/>
      <c r="C62" s="5" t="s">
        <v>112</v>
      </c>
      <c r="D62" s="15">
        <f t="shared" ref="D62:P62" si="17">(D61*1000*31)/D9</f>
        <v>12.535382126971291</v>
      </c>
      <c r="E62" s="15">
        <f t="shared" si="17"/>
        <v>10.879052649575726</v>
      </c>
      <c r="F62" s="15">
        <f t="shared" si="17"/>
        <v>10.784532358057179</v>
      </c>
      <c r="G62" s="15">
        <f t="shared" si="17"/>
        <v>12.407072031057703</v>
      </c>
      <c r="H62" s="15">
        <f t="shared" si="17"/>
        <v>12.276133809858527</v>
      </c>
      <c r="I62" s="15">
        <f t="shared" si="17"/>
        <v>11.539064336650732</v>
      </c>
      <c r="J62" s="15">
        <f t="shared" si="17"/>
        <v>11.444448762289667</v>
      </c>
      <c r="K62" s="15">
        <f t="shared" si="17"/>
        <v>11.378564253148907</v>
      </c>
      <c r="L62" s="15">
        <f t="shared" si="17"/>
        <v>11.465528443906877</v>
      </c>
      <c r="M62" s="15">
        <f t="shared" si="17"/>
        <v>11.629321707391261</v>
      </c>
      <c r="N62" s="15">
        <f t="shared" si="17"/>
        <v>11.741956062357961</v>
      </c>
      <c r="O62" s="15">
        <f t="shared" si="17"/>
        <v>11.72502915497841</v>
      </c>
      <c r="P62" s="103">
        <f t="shared" si="17"/>
        <v>0.91224393206561949</v>
      </c>
    </row>
    <row r="63" spans="1:16" x14ac:dyDescent="0.3">
      <c r="A63" s="254" t="s">
        <v>111</v>
      </c>
      <c r="B63" s="255"/>
      <c r="C63" s="38" t="s">
        <v>3</v>
      </c>
      <c r="D63" s="34">
        <f>Bangula!D63+Chikwawa!D63+'Miseu Folo'!D63+Nchalo!D63+Nsanje!D63+Ngabu!D63</f>
        <v>28</v>
      </c>
      <c r="E63" s="34">
        <f>Bangula!E63+Chikwawa!E63+'Miseu Folo'!E63+Nchalo!E63+Nsanje!E63+Ngabu!E63</f>
        <v>28</v>
      </c>
      <c r="F63" s="34">
        <f>Bangula!F63+Chikwawa!F63+'Miseu Folo'!F63+Nchalo!F63+Nsanje!F63+Ngabu!F63</f>
        <v>28</v>
      </c>
      <c r="G63" s="34">
        <f>Bangula!G63+Chikwawa!G63+'Miseu Folo'!G63+Nchalo!G63+Nsanje!G63+Ngabu!G63</f>
        <v>28</v>
      </c>
      <c r="H63" s="34">
        <f>Bangula!H63+Chikwawa!H63+'Miseu Folo'!H63+Nchalo!H63+Nsanje!H63+Ngabu!H63</f>
        <v>28</v>
      </c>
      <c r="I63" s="34">
        <f>Bangula!I63+Chikwawa!I63+'Miseu Folo'!I63+Nchalo!I63+Nsanje!I63+Ngabu!I63</f>
        <v>28</v>
      </c>
      <c r="J63" s="34">
        <f>Bangula!J63+Chikwawa!J63+'Miseu Folo'!J63+Nchalo!J63+Nsanje!J63+Ngabu!J63</f>
        <v>28</v>
      </c>
      <c r="K63" s="34">
        <f>Bangula!K63+Chikwawa!K63+'Miseu Folo'!K63+Nchalo!K63+Nsanje!K63+Ngabu!K63</f>
        <v>31</v>
      </c>
      <c r="L63" s="34">
        <f>Bangula!L63+Chikwawa!L63+'Miseu Folo'!L63+Nchalo!L63+Nsanje!L63+Ngabu!L63</f>
        <v>27</v>
      </c>
      <c r="M63" s="34">
        <f>Bangula!M63+Chikwawa!M63+'Miseu Folo'!M63+Nchalo!M63+Nsanje!M63+Ngabu!M63</f>
        <v>31</v>
      </c>
      <c r="N63" s="34">
        <f>Bangula!N63+Chikwawa!N63+'Miseu Folo'!N63+Nchalo!N63+Nsanje!N63+Ngabu!N63</f>
        <v>31</v>
      </c>
      <c r="O63" s="34">
        <f>Bangula!O63+Chikwawa!O63+'Miseu Folo'!O63+Nchalo!O63+Nsanje!O63+Ngabu!O63</f>
        <v>32</v>
      </c>
      <c r="P63" s="39">
        <f>SUM(D63:O63)</f>
        <v>348</v>
      </c>
    </row>
    <row r="64" spans="1:16" ht="14.4" x14ac:dyDescent="0.3">
      <c r="A64" s="256"/>
      <c r="B64" s="257"/>
      <c r="C64" s="257"/>
      <c r="D64" s="257"/>
      <c r="E64" s="257"/>
      <c r="F64" s="257"/>
      <c r="G64" s="257"/>
      <c r="H64" s="257"/>
      <c r="I64" s="257"/>
      <c r="J64" s="257"/>
      <c r="K64" s="257"/>
      <c r="L64" s="257"/>
      <c r="M64" s="257"/>
      <c r="N64" s="257"/>
      <c r="O64" s="257"/>
      <c r="P64" s="258"/>
    </row>
    <row r="65" spans="1:16" ht="14.4" customHeight="1" x14ac:dyDescent="0.3">
      <c r="A65" s="247" t="s">
        <v>110</v>
      </c>
      <c r="B65" s="248"/>
      <c r="C65" s="248"/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9"/>
    </row>
    <row r="66" spans="1:16" x14ac:dyDescent="0.3">
      <c r="A66" s="325" t="s">
        <v>109</v>
      </c>
      <c r="B66" s="37" t="s">
        <v>85</v>
      </c>
      <c r="C66" s="5" t="s">
        <v>3</v>
      </c>
      <c r="D66" s="26">
        <f>Bangula!D66+Chikwawa!D66+'Miseu Folo'!D66+Nchalo!D66+Nsanje!D66+Ngabu!D66</f>
        <v>779</v>
      </c>
      <c r="E66" s="26">
        <f>Bangula!E66+Chikwawa!E66+'Miseu Folo'!E66+Nchalo!E66+Nsanje!E66+Ngabu!E66</f>
        <v>766</v>
      </c>
      <c r="F66" s="26">
        <f>Bangula!F66+Chikwawa!F66+'Miseu Folo'!F66+Nchalo!F66+Nsanje!F66+Ngabu!F66</f>
        <v>750</v>
      </c>
      <c r="G66" s="26">
        <f>Bangula!G66+Chikwawa!G66+'Miseu Folo'!G66+Nchalo!G66+Nsanje!G66+Ngabu!G66</f>
        <v>744</v>
      </c>
      <c r="H66" s="26">
        <f>Bangula!H66+Chikwawa!H66+'Miseu Folo'!H66+Nchalo!H66+Nsanje!H66+Ngabu!H66</f>
        <v>853</v>
      </c>
      <c r="I66" s="26">
        <f>Bangula!I66+Chikwawa!I66+'Miseu Folo'!I66+Nchalo!I66+Nsanje!I66+Ngabu!I66</f>
        <v>848</v>
      </c>
      <c r="J66" s="26">
        <f>Bangula!J66+Chikwawa!J66+'Miseu Folo'!J66+Nchalo!J66+Nsanje!J66+Ngabu!J66</f>
        <v>823</v>
      </c>
      <c r="K66" s="26">
        <f>Bangula!K66+Chikwawa!K66+'Miseu Folo'!K66+Nchalo!K66+Nsanje!K66+Ngabu!K66</f>
        <v>798</v>
      </c>
      <c r="L66" s="26">
        <f>Bangula!L66+Chikwawa!L66+'Miseu Folo'!L66+Nchalo!L66+Nsanje!L66+Ngabu!L66</f>
        <v>775</v>
      </c>
      <c r="M66" s="26">
        <f>Bangula!M66+Chikwawa!M66+'Miseu Folo'!M66+Nchalo!M66+Nsanje!M66+Ngabu!M66</f>
        <v>781</v>
      </c>
      <c r="N66" s="26">
        <f>Bangula!N66+Chikwawa!N66+'Miseu Folo'!N66+Nchalo!N66+Nsanje!N66+Ngabu!N66</f>
        <v>733</v>
      </c>
      <c r="O66" s="26">
        <f>Bangula!O66+Chikwawa!O66+'Miseu Folo'!O66+Nchalo!O66+Nsanje!O66+Ngabu!O66</f>
        <v>714</v>
      </c>
      <c r="P66" s="35">
        <f>D66</f>
        <v>779</v>
      </c>
    </row>
    <row r="67" spans="1:16" x14ac:dyDescent="0.3">
      <c r="A67" s="326"/>
      <c r="B67" s="24" t="s">
        <v>104</v>
      </c>
      <c r="C67" s="5" t="s">
        <v>3</v>
      </c>
      <c r="D67" s="26">
        <f>Bangula!D67+Chikwawa!D67+'Miseu Folo'!D67+Nchalo!D67+Nsanje!D67+Ngabu!D67</f>
        <v>57</v>
      </c>
      <c r="E67" s="26">
        <f>Bangula!E67+Chikwawa!E67+'Miseu Folo'!E67+Nchalo!E67+Nsanje!E67+Ngabu!E67</f>
        <v>46</v>
      </c>
      <c r="F67" s="26">
        <f>Bangula!F67+Chikwawa!F67+'Miseu Folo'!F67+Nchalo!F67+Nsanje!F67+Ngabu!F67</f>
        <v>99</v>
      </c>
      <c r="G67" s="26">
        <f>Bangula!G67+Chikwawa!G67+'Miseu Folo'!G67+Nchalo!G67+Nsanje!G67+Ngabu!G67</f>
        <v>242</v>
      </c>
      <c r="H67" s="26">
        <f>Bangula!H67+Chikwawa!H67+'Miseu Folo'!H67+Nchalo!H67+Nsanje!H67+Ngabu!H67</f>
        <v>103</v>
      </c>
      <c r="I67" s="26">
        <f>Bangula!I67+Chikwawa!I67+'Miseu Folo'!I67+Nchalo!I67+Nsanje!I67+Ngabu!I67</f>
        <v>76</v>
      </c>
      <c r="J67" s="26">
        <f>Bangula!J67+Chikwawa!J67+'Miseu Folo'!J67+Nchalo!J67+Nsanje!J67+Ngabu!J67</f>
        <v>51</v>
      </c>
      <c r="K67" s="26">
        <f>Bangula!K67+Chikwawa!K67+'Miseu Folo'!K67+Nchalo!K67+Nsanje!K67+Ngabu!K67</f>
        <v>52</v>
      </c>
      <c r="L67" s="26">
        <f>Bangula!L67+Chikwawa!L67+'Miseu Folo'!L67+Nchalo!L67+Nsanje!L67+Ngabu!L67</f>
        <v>61</v>
      </c>
      <c r="M67" s="26">
        <f>Bangula!M67+Chikwawa!M67+'Miseu Folo'!M67+Nchalo!M67+Nsanje!M67+Ngabu!M67</f>
        <v>25</v>
      </c>
      <c r="N67" s="26">
        <f>Bangula!N67+Chikwawa!N67+'Miseu Folo'!N67+Nchalo!N67+Nsanje!N67+Ngabu!N67</f>
        <v>34</v>
      </c>
      <c r="O67" s="26">
        <f>Bangula!O67+Chikwawa!O67+'Miseu Folo'!O67+Nchalo!O67+Nsanje!O67+Ngabu!O67</f>
        <v>48</v>
      </c>
      <c r="P67" s="35">
        <f>SUM(D67:O67)</f>
        <v>894</v>
      </c>
    </row>
    <row r="68" spans="1:16" ht="27" x14ac:dyDescent="0.3">
      <c r="A68" s="326"/>
      <c r="B68" s="24" t="s">
        <v>103</v>
      </c>
      <c r="C68" s="5" t="s">
        <v>3</v>
      </c>
      <c r="D68" s="26">
        <f>Bangula!D68+Chikwawa!D68+'Miseu Folo'!D68+Nchalo!D68+Nsanje!D68+Ngabu!D68</f>
        <v>70</v>
      </c>
      <c r="E68" s="26">
        <f>Bangula!E68+Chikwawa!E68+'Miseu Folo'!E68+Nchalo!E68+Nsanje!E68+Ngabu!E68</f>
        <v>62</v>
      </c>
      <c r="F68" s="26">
        <f>Bangula!F68+Chikwawa!F68+'Miseu Folo'!F68+Nchalo!F68+Nsanje!F68+Ngabu!F68</f>
        <v>105</v>
      </c>
      <c r="G68" s="26">
        <f>Bangula!G68+Chikwawa!G68+'Miseu Folo'!G68+Nchalo!G68+Nsanje!G68+Ngabu!G68</f>
        <v>133</v>
      </c>
      <c r="H68" s="26">
        <f>Bangula!H68+Chikwawa!H68+'Miseu Folo'!H68+Nchalo!H68+Nsanje!H68+Ngabu!H68</f>
        <v>106</v>
      </c>
      <c r="I68" s="26">
        <f>Bangula!I68+Chikwawa!I68+'Miseu Folo'!I68+Nchalo!I68+Nsanje!I68+Ngabu!I68</f>
        <v>75</v>
      </c>
      <c r="J68" s="26">
        <f>Bangula!J68+Chikwawa!J68+'Miseu Folo'!J68+Nchalo!J68+Nsanje!J68+Ngabu!J68</f>
        <v>76</v>
      </c>
      <c r="K68" s="26">
        <f>Bangula!K68+Chikwawa!K68+'Miseu Folo'!K68+Nchalo!K68+Nsanje!K68+Ngabu!K68</f>
        <v>68</v>
      </c>
      <c r="L68" s="26">
        <f>Bangula!L68+Chikwawa!L68+'Miseu Folo'!L68+Nchalo!L68+Nsanje!L68+Ngabu!L68</f>
        <v>51</v>
      </c>
      <c r="M68" s="26">
        <f>Bangula!M68+Chikwawa!M68+'Miseu Folo'!M68+Nchalo!M68+Nsanje!M68+Ngabu!M68</f>
        <v>73</v>
      </c>
      <c r="N68" s="26">
        <f>Bangula!N68+Chikwawa!N68+'Miseu Folo'!N68+Nchalo!N68+Nsanje!N68+Ngabu!N68</f>
        <v>53</v>
      </c>
      <c r="O68" s="26">
        <f>Bangula!O68+Chikwawa!O68+'Miseu Folo'!O68+Nchalo!O68+Nsanje!O68+Ngabu!O68</f>
        <v>67</v>
      </c>
      <c r="P68" s="35">
        <f t="shared" ref="P68:P69" si="18">SUM(D68:O68)</f>
        <v>939</v>
      </c>
    </row>
    <row r="69" spans="1:16" s="2" customFormat="1" ht="27" x14ac:dyDescent="0.3">
      <c r="A69" s="326"/>
      <c r="B69" s="24" t="s">
        <v>102</v>
      </c>
      <c r="C69" s="11" t="s">
        <v>3</v>
      </c>
      <c r="D69" s="26">
        <f>Bangula!D69+Chikwawa!D69+'Miseu Folo'!D69+Nchalo!D69+Nsanje!D69+Ngabu!D69</f>
        <v>0</v>
      </c>
      <c r="E69" s="26">
        <f>Bangula!E69+Chikwawa!E69+'Miseu Folo'!E69+Nchalo!E69+Nsanje!E69+Ngabu!E69</f>
        <v>0</v>
      </c>
      <c r="F69" s="26">
        <f>Bangula!F69+Chikwawa!F69+'Miseu Folo'!F69+Nchalo!F69+Nsanje!F69+Ngabu!F69</f>
        <v>0</v>
      </c>
      <c r="G69" s="26">
        <f>Bangula!G69+Chikwawa!G69+'Miseu Folo'!G69+Nchalo!G69+Nsanje!G69+Ngabu!G69</f>
        <v>0</v>
      </c>
      <c r="H69" s="26">
        <f>Bangula!H69+Chikwawa!H69+'Miseu Folo'!H69+Nchalo!H69+Nsanje!H69+Ngabu!H69</f>
        <v>2</v>
      </c>
      <c r="I69" s="26">
        <f>Bangula!I69+Chikwawa!I69+'Miseu Folo'!I69+Nchalo!I69+Nsanje!I69+Ngabu!I69</f>
        <v>26</v>
      </c>
      <c r="J69" s="26">
        <f>Bangula!J69+Chikwawa!J69+'Miseu Folo'!J69+Nchalo!J69+Nsanje!J69+Ngabu!J69</f>
        <v>0</v>
      </c>
      <c r="K69" s="26">
        <f>Bangula!K69+Chikwawa!K69+'Miseu Folo'!K69+Nchalo!K69+Nsanje!K69+Ngabu!K69</f>
        <v>7</v>
      </c>
      <c r="L69" s="26">
        <f>Bangula!L69+Chikwawa!L69+'Miseu Folo'!L69+Nchalo!L69+Nsanje!L69+Ngabu!L69</f>
        <v>4</v>
      </c>
      <c r="M69" s="26">
        <f>Bangula!M69+Chikwawa!M69+'Miseu Folo'!M69+Nchalo!M69+Nsanje!M69+Ngabu!M69</f>
        <v>0</v>
      </c>
      <c r="N69" s="26">
        <f>Bangula!N69+Chikwawa!N69+'Miseu Folo'!N69+Nchalo!N69+Nsanje!N69+Ngabu!N69</f>
        <v>0</v>
      </c>
      <c r="O69" s="26">
        <f>Bangula!O69+Chikwawa!O69+'Miseu Folo'!O69+Nchalo!O69+Nsanje!O69+Ngabu!O69</f>
        <v>0</v>
      </c>
      <c r="P69" s="74">
        <f t="shared" si="18"/>
        <v>39</v>
      </c>
    </row>
    <row r="70" spans="1:16" s="2" customFormat="1" x14ac:dyDescent="0.3">
      <c r="A70" s="326"/>
      <c r="B70" s="24" t="s">
        <v>188</v>
      </c>
      <c r="C70" s="11" t="s">
        <v>3</v>
      </c>
      <c r="D70" s="4">
        <f>D68+D69</f>
        <v>70</v>
      </c>
      <c r="E70" s="4">
        <f t="shared" ref="E70:P70" si="19">E68+E69</f>
        <v>62</v>
      </c>
      <c r="F70" s="4">
        <f t="shared" si="19"/>
        <v>105</v>
      </c>
      <c r="G70" s="4">
        <f t="shared" si="19"/>
        <v>133</v>
      </c>
      <c r="H70" s="4">
        <f t="shared" si="19"/>
        <v>108</v>
      </c>
      <c r="I70" s="4">
        <f t="shared" si="19"/>
        <v>101</v>
      </c>
      <c r="J70" s="4">
        <f t="shared" si="19"/>
        <v>76</v>
      </c>
      <c r="K70" s="4">
        <f t="shared" si="19"/>
        <v>75</v>
      </c>
      <c r="L70" s="4">
        <f t="shared" si="19"/>
        <v>55</v>
      </c>
      <c r="M70" s="4">
        <f t="shared" si="19"/>
        <v>73</v>
      </c>
      <c r="N70" s="4">
        <f t="shared" si="19"/>
        <v>53</v>
      </c>
      <c r="O70" s="4">
        <f t="shared" si="19"/>
        <v>67</v>
      </c>
      <c r="P70" s="4">
        <f t="shared" si="19"/>
        <v>978</v>
      </c>
    </row>
    <row r="71" spans="1:16" x14ac:dyDescent="0.3">
      <c r="A71" s="327"/>
      <c r="B71" s="37" t="s">
        <v>81</v>
      </c>
      <c r="C71" s="5" t="s">
        <v>3</v>
      </c>
      <c r="D71" s="26">
        <f>D66+D67-D70</f>
        <v>766</v>
      </c>
      <c r="E71" s="26">
        <f t="shared" ref="E71" si="20">E66+E67-E70</f>
        <v>750</v>
      </c>
      <c r="F71" s="26">
        <f t="shared" ref="F71:G71" si="21">F66+F67-F70</f>
        <v>744</v>
      </c>
      <c r="G71" s="26">
        <f t="shared" si="21"/>
        <v>853</v>
      </c>
      <c r="H71" s="26">
        <f t="shared" ref="H71:O71" si="22">H66+H67-H70</f>
        <v>848</v>
      </c>
      <c r="I71" s="26">
        <f t="shared" si="22"/>
        <v>823</v>
      </c>
      <c r="J71" s="26">
        <f t="shared" si="22"/>
        <v>798</v>
      </c>
      <c r="K71" s="26">
        <f t="shared" si="22"/>
        <v>775</v>
      </c>
      <c r="L71" s="26">
        <f t="shared" si="22"/>
        <v>781</v>
      </c>
      <c r="M71" s="26">
        <f t="shared" si="22"/>
        <v>733</v>
      </c>
      <c r="N71" s="26">
        <f t="shared" si="22"/>
        <v>714</v>
      </c>
      <c r="O71" s="26">
        <f t="shared" si="22"/>
        <v>695</v>
      </c>
      <c r="P71" s="106">
        <f>P66+P67-P70</f>
        <v>695</v>
      </c>
    </row>
    <row r="72" spans="1:16" x14ac:dyDescent="0.3">
      <c r="A72" s="325" t="s">
        <v>108</v>
      </c>
      <c r="B72" s="37" t="s">
        <v>85</v>
      </c>
      <c r="C72" s="5" t="s">
        <v>3</v>
      </c>
      <c r="D72" s="26">
        <f>Bangula!D72+Chikwawa!D72+'Miseu Folo'!D72+Nchalo!D72+Nsanje!D72+Ngabu!D72</f>
        <v>0</v>
      </c>
      <c r="E72" s="26">
        <f>Bangula!E72+Chikwawa!E72+'Miseu Folo'!E72+Nchalo!E72+Nsanje!E72+Ngabu!E72</f>
        <v>0</v>
      </c>
      <c r="F72" s="26">
        <f>Bangula!F72+Chikwawa!F72+'Miseu Folo'!F72+Nchalo!F72+Nsanje!F72+Ngabu!F72</f>
        <v>0</v>
      </c>
      <c r="G72" s="26">
        <f>Bangula!G72+Chikwawa!G72+'Miseu Folo'!G72+Nchalo!G72+Nsanje!G72+Ngabu!G72</f>
        <v>0</v>
      </c>
      <c r="H72" s="26">
        <f>Bangula!H72+Chikwawa!H72+'Miseu Folo'!H72+Nchalo!H72+Nsanje!H72+Ngabu!H72</f>
        <v>0</v>
      </c>
      <c r="I72" s="26">
        <f>Bangula!I72+Chikwawa!I72+'Miseu Folo'!I72+Nchalo!I72+Nsanje!I72+Ngabu!I72</f>
        <v>0</v>
      </c>
      <c r="J72" s="26">
        <f>Bangula!J72+Chikwawa!J72+'Miseu Folo'!J72+Nchalo!J72+Nsanje!J72+Ngabu!J72</f>
        <v>0</v>
      </c>
      <c r="K72" s="26">
        <f>Bangula!K72+Chikwawa!K72+'Miseu Folo'!K72+Nchalo!K72+Nsanje!K72+Ngabu!K72</f>
        <v>0</v>
      </c>
      <c r="L72" s="26">
        <f>Bangula!L72+Chikwawa!L72+'Miseu Folo'!L72+Nchalo!L72+Nsanje!L72+Ngabu!L72</f>
        <v>0</v>
      </c>
      <c r="M72" s="26">
        <f>Bangula!M72+Chikwawa!M72+'Miseu Folo'!M72+Nchalo!M72+Nsanje!M72+Ngabu!M72</f>
        <v>0</v>
      </c>
      <c r="N72" s="26">
        <f>Bangula!N72+Chikwawa!N72+'Miseu Folo'!N72+Nchalo!N72+Nsanje!N72+Ngabu!N72</f>
        <v>0</v>
      </c>
      <c r="O72" s="26">
        <f>Bangula!O72+Chikwawa!O72+'Miseu Folo'!O72+Nchalo!O72+Nsanje!O72+Ngabu!O72</f>
        <v>0</v>
      </c>
      <c r="P72" s="35">
        <f>D72</f>
        <v>0</v>
      </c>
    </row>
    <row r="73" spans="1:16" x14ac:dyDescent="0.3">
      <c r="A73" s="326"/>
      <c r="B73" s="24" t="s">
        <v>104</v>
      </c>
      <c r="C73" s="5" t="s">
        <v>3</v>
      </c>
      <c r="D73" s="26">
        <f>Bangula!D73+Chikwawa!D73+'Miseu Folo'!D73+Nchalo!D73+Nsanje!D73+Ngabu!D73</f>
        <v>1</v>
      </c>
      <c r="E73" s="26">
        <f>Bangula!E73+Chikwawa!E73+'Miseu Folo'!E73+Nchalo!E73+Nsanje!E73+Ngabu!E73</f>
        <v>0</v>
      </c>
      <c r="F73" s="26">
        <f>Bangula!F73+Chikwawa!F73+'Miseu Folo'!F73+Nchalo!F73+Nsanje!F73+Ngabu!F73</f>
        <v>0</v>
      </c>
      <c r="G73" s="26">
        <f>Bangula!G73+Chikwawa!G73+'Miseu Folo'!G73+Nchalo!G73+Nsanje!G73+Ngabu!G73</f>
        <v>1</v>
      </c>
      <c r="H73" s="26">
        <f>Bangula!H73+Chikwawa!H73+'Miseu Folo'!H73+Nchalo!H73+Nsanje!H73+Ngabu!H73</f>
        <v>0</v>
      </c>
      <c r="I73" s="26">
        <f>Bangula!I73+Chikwawa!I73+'Miseu Folo'!I73+Nchalo!I73+Nsanje!I73+Ngabu!I73</f>
        <v>0</v>
      </c>
      <c r="J73" s="26">
        <f>Bangula!J73+Chikwawa!J73+'Miseu Folo'!J73+Nchalo!J73+Nsanje!J73+Ngabu!J73</f>
        <v>0</v>
      </c>
      <c r="K73" s="26">
        <f>Bangula!K73+Chikwawa!K73+'Miseu Folo'!K73+Nchalo!K73+Nsanje!K73+Ngabu!K73</f>
        <v>0</v>
      </c>
      <c r="L73" s="26">
        <f>Bangula!L73+Chikwawa!L73+'Miseu Folo'!L73+Nchalo!L73+Nsanje!L73+Ngabu!L73</f>
        <v>0</v>
      </c>
      <c r="M73" s="26">
        <f>Bangula!M73+Chikwawa!M73+'Miseu Folo'!M73+Nchalo!M73+Nsanje!M73+Ngabu!M73</f>
        <v>0</v>
      </c>
      <c r="N73" s="26">
        <f>Bangula!N73+Chikwawa!N73+'Miseu Folo'!N73+Nchalo!N73+Nsanje!N73+Ngabu!N73</f>
        <v>0</v>
      </c>
      <c r="O73" s="26">
        <f>Bangula!O73+Chikwawa!O73+'Miseu Folo'!O73+Nchalo!O73+Nsanje!O73+Ngabu!O73</f>
        <v>0</v>
      </c>
      <c r="P73" s="35">
        <f>SUM(D73:O73)</f>
        <v>2</v>
      </c>
    </row>
    <row r="74" spans="1:16" ht="27" x14ac:dyDescent="0.3">
      <c r="A74" s="326"/>
      <c r="B74" s="24" t="s">
        <v>103</v>
      </c>
      <c r="C74" s="5" t="s">
        <v>3</v>
      </c>
      <c r="D74" s="26">
        <f>Bangula!D74+Chikwawa!D74+'Miseu Folo'!D74+Nchalo!D74+Nsanje!D74+Ngabu!D74</f>
        <v>1</v>
      </c>
      <c r="E74" s="26">
        <f>Bangula!E74+Chikwawa!E74+'Miseu Folo'!E74+Nchalo!E74+Nsanje!E74+Ngabu!E74</f>
        <v>0</v>
      </c>
      <c r="F74" s="26">
        <f>Bangula!F74+Chikwawa!F74+'Miseu Folo'!F74+Nchalo!F74+Nsanje!F74+Ngabu!F74</f>
        <v>0</v>
      </c>
      <c r="G74" s="26">
        <f>Bangula!G74+Chikwawa!G74+'Miseu Folo'!G74+Nchalo!G74+Nsanje!G74+Ngabu!G74</f>
        <v>1</v>
      </c>
      <c r="H74" s="26">
        <f>Bangula!H74+Chikwawa!H74+'Miseu Folo'!H74+Nchalo!H74+Nsanje!H74+Ngabu!H74</f>
        <v>0</v>
      </c>
      <c r="I74" s="26">
        <f>Bangula!I74+Chikwawa!I74+'Miseu Folo'!I74+Nchalo!I74+Nsanje!I74+Ngabu!I74</f>
        <v>0</v>
      </c>
      <c r="J74" s="26">
        <f>Bangula!J74+Chikwawa!J74+'Miseu Folo'!J74+Nchalo!J74+Nsanje!J74+Ngabu!J74</f>
        <v>0</v>
      </c>
      <c r="K74" s="26">
        <f>Bangula!K74+Chikwawa!K74+'Miseu Folo'!K74+Nchalo!K74+Nsanje!K74+Ngabu!K74</f>
        <v>0</v>
      </c>
      <c r="L74" s="26">
        <f>Bangula!L74+Chikwawa!L74+'Miseu Folo'!L74+Nchalo!L74+Nsanje!L74+Ngabu!L74</f>
        <v>0</v>
      </c>
      <c r="M74" s="26">
        <f>Bangula!M74+Chikwawa!M74+'Miseu Folo'!M74+Nchalo!M74+Nsanje!M74+Ngabu!M74</f>
        <v>0</v>
      </c>
      <c r="N74" s="26">
        <f>Bangula!N74+Chikwawa!N74+'Miseu Folo'!N74+Nchalo!N74+Nsanje!N74+Ngabu!N74</f>
        <v>0</v>
      </c>
      <c r="O74" s="26">
        <f>Bangula!O74+Chikwawa!O74+'Miseu Folo'!O74+Nchalo!O74+Nsanje!O74+Ngabu!O74</f>
        <v>0</v>
      </c>
      <c r="P74" s="35">
        <f>SUM(D74:O74)</f>
        <v>2</v>
      </c>
    </row>
    <row r="75" spans="1:16" s="2" customFormat="1" ht="27" x14ac:dyDescent="0.3">
      <c r="A75" s="326"/>
      <c r="B75" s="24" t="s">
        <v>102</v>
      </c>
      <c r="C75" s="11" t="s">
        <v>3</v>
      </c>
      <c r="D75" s="26">
        <f>Bangula!D75+Chikwawa!D75+'Miseu Folo'!D75+Nchalo!D75+Nsanje!D75+Ngabu!D75</f>
        <v>0</v>
      </c>
      <c r="E75" s="26">
        <f>Bangula!E75+Chikwawa!E75+'Miseu Folo'!E75+Nchalo!E75+Nsanje!E75+Ngabu!E75</f>
        <v>0</v>
      </c>
      <c r="F75" s="26">
        <f>Bangula!F75+Chikwawa!F75+'Miseu Folo'!F75+Nchalo!F75+Nsanje!F75+Ngabu!F75</f>
        <v>0</v>
      </c>
      <c r="G75" s="26">
        <f>Bangula!G75+Chikwawa!G75+'Miseu Folo'!G75+Nchalo!G75+Nsanje!G75+Ngabu!G75</f>
        <v>0</v>
      </c>
      <c r="H75" s="26">
        <f>Bangula!H75+Chikwawa!H75+'Miseu Folo'!H75+Nchalo!H75+Nsanje!H75+Ngabu!H75</f>
        <v>0</v>
      </c>
      <c r="I75" s="26">
        <f>Bangula!I75+Chikwawa!I75+'Miseu Folo'!I75+Nchalo!I75+Nsanje!I75+Ngabu!I75</f>
        <v>0</v>
      </c>
      <c r="J75" s="26">
        <f>Bangula!J75+Chikwawa!J75+'Miseu Folo'!J75+Nchalo!J75+Nsanje!J75+Ngabu!J75</f>
        <v>0</v>
      </c>
      <c r="K75" s="26">
        <f>Bangula!K75+Chikwawa!K75+'Miseu Folo'!K75+Nchalo!K75+Nsanje!K75+Ngabu!K75</f>
        <v>0</v>
      </c>
      <c r="L75" s="26">
        <f>Bangula!L75+Chikwawa!L75+'Miseu Folo'!L75+Nchalo!L75+Nsanje!L75+Ngabu!L75</f>
        <v>0</v>
      </c>
      <c r="M75" s="26">
        <f>Bangula!M75+Chikwawa!M75+'Miseu Folo'!M75+Nchalo!M75+Nsanje!M75+Ngabu!M75</f>
        <v>0</v>
      </c>
      <c r="N75" s="26">
        <f>Bangula!N75+Chikwawa!N75+'Miseu Folo'!N75+Nchalo!N75+Nsanje!N75+Ngabu!N75</f>
        <v>0</v>
      </c>
      <c r="O75" s="26">
        <f>Bangula!O75+Chikwawa!O75+'Miseu Folo'!O75+Nchalo!O75+Nsanje!O75+Ngabu!O75</f>
        <v>0</v>
      </c>
      <c r="P75" s="74"/>
    </row>
    <row r="76" spans="1:16" s="2" customFormat="1" x14ac:dyDescent="0.3">
      <c r="A76" s="326"/>
      <c r="B76" s="24" t="s">
        <v>188</v>
      </c>
      <c r="C76" s="11" t="s">
        <v>3</v>
      </c>
      <c r="D76" s="4">
        <f>D74+D75</f>
        <v>1</v>
      </c>
      <c r="E76" s="4">
        <f t="shared" ref="E76:H76" si="23">E74+E75</f>
        <v>0</v>
      </c>
      <c r="F76" s="4">
        <f t="shared" si="23"/>
        <v>0</v>
      </c>
      <c r="G76" s="4">
        <f t="shared" si="23"/>
        <v>1</v>
      </c>
      <c r="H76" s="4">
        <f t="shared" si="23"/>
        <v>0</v>
      </c>
      <c r="I76" s="4">
        <f t="shared" ref="I76:O76" si="24">I74+I75</f>
        <v>0</v>
      </c>
      <c r="J76" s="4">
        <f t="shared" si="24"/>
        <v>0</v>
      </c>
      <c r="K76" s="4">
        <f t="shared" si="24"/>
        <v>0</v>
      </c>
      <c r="L76" s="4">
        <f t="shared" si="24"/>
        <v>0</v>
      </c>
      <c r="M76" s="4">
        <f t="shared" si="24"/>
        <v>0</v>
      </c>
      <c r="N76" s="4">
        <f t="shared" si="24"/>
        <v>0</v>
      </c>
      <c r="O76" s="4">
        <f t="shared" si="24"/>
        <v>0</v>
      </c>
      <c r="P76" s="105">
        <f t="shared" ref="P76" si="25">P74+P75</f>
        <v>2</v>
      </c>
    </row>
    <row r="77" spans="1:16" x14ac:dyDescent="0.3">
      <c r="A77" s="327"/>
      <c r="B77" s="37" t="s">
        <v>81</v>
      </c>
      <c r="C77" s="5" t="s">
        <v>3</v>
      </c>
      <c r="D77" s="26">
        <f>D72+D73-D76</f>
        <v>0</v>
      </c>
      <c r="E77" s="26">
        <f t="shared" ref="E77:H77" si="26">E72+E73-E76</f>
        <v>0</v>
      </c>
      <c r="F77" s="26">
        <f t="shared" si="26"/>
        <v>0</v>
      </c>
      <c r="G77" s="26">
        <f t="shared" si="26"/>
        <v>0</v>
      </c>
      <c r="H77" s="26">
        <f t="shared" si="26"/>
        <v>0</v>
      </c>
      <c r="I77" s="26">
        <f t="shared" ref="I77:O77" si="27">I72+I73-I76</f>
        <v>0</v>
      </c>
      <c r="J77" s="26">
        <f t="shared" si="27"/>
        <v>0</v>
      </c>
      <c r="K77" s="26">
        <f t="shared" si="27"/>
        <v>0</v>
      </c>
      <c r="L77" s="26">
        <f t="shared" si="27"/>
        <v>0</v>
      </c>
      <c r="M77" s="26">
        <f t="shared" si="27"/>
        <v>0</v>
      </c>
      <c r="N77" s="26">
        <f t="shared" si="27"/>
        <v>0</v>
      </c>
      <c r="O77" s="26">
        <f t="shared" si="27"/>
        <v>0</v>
      </c>
      <c r="P77" s="106">
        <f t="shared" ref="P77" si="28">P73+P74-P76</f>
        <v>2</v>
      </c>
    </row>
    <row r="78" spans="1:16" ht="15.6" customHeight="1" x14ac:dyDescent="0.3">
      <c r="A78" s="325" t="s">
        <v>107</v>
      </c>
      <c r="B78" s="37" t="s">
        <v>85</v>
      </c>
      <c r="C78" s="5" t="s">
        <v>3</v>
      </c>
      <c r="D78" s="26">
        <f>Bangula!D78+Chikwawa!D78+'Miseu Folo'!D78+Nchalo!D78+Nsanje!D78+Ngabu!D78</f>
        <v>0</v>
      </c>
      <c r="E78" s="26">
        <f>Bangula!E78+Chikwawa!E78+'Miseu Folo'!E78+Nchalo!E78+Nsanje!E78+Ngabu!E78</f>
        <v>0</v>
      </c>
      <c r="F78" s="26">
        <f>Bangula!F78+Chikwawa!F78+'Miseu Folo'!F78+Nchalo!F78+Nsanje!F78+Ngabu!F78</f>
        <v>1</v>
      </c>
      <c r="G78" s="26">
        <f>Bangula!G78+Chikwawa!G78+'Miseu Folo'!G78+Nchalo!G78+Nsanje!G78+Ngabu!G78</f>
        <v>1</v>
      </c>
      <c r="H78" s="26">
        <f>Bangula!H78+Chikwawa!H78+'Miseu Folo'!H78+Nchalo!H78+Nsanje!H78+Ngabu!H78</f>
        <v>1</v>
      </c>
      <c r="I78" s="26">
        <f>Bangula!I78+Chikwawa!I78+'Miseu Folo'!I78+Nchalo!I78+Nsanje!I78+Ngabu!I78</f>
        <v>3</v>
      </c>
      <c r="J78" s="26">
        <f>Bangula!J78+Chikwawa!J78+'Miseu Folo'!J78+Nchalo!J78+Nsanje!J78+Ngabu!J78</f>
        <v>3</v>
      </c>
      <c r="K78" s="26">
        <f>Bangula!K78+Chikwawa!K78+'Miseu Folo'!K78+Nchalo!K78+Nsanje!K78+Ngabu!K78</f>
        <v>3</v>
      </c>
      <c r="L78" s="26">
        <f>Bangula!L78+Chikwawa!L78+'Miseu Folo'!L78+Nchalo!L78+Nsanje!L78+Ngabu!L78</f>
        <v>3</v>
      </c>
      <c r="M78" s="26">
        <f>Bangula!M78+Chikwawa!M78+'Miseu Folo'!M78+Nchalo!M78+Nsanje!M78+Ngabu!M78</f>
        <v>3</v>
      </c>
      <c r="N78" s="26">
        <f>Bangula!N78+Chikwawa!N78+'Miseu Folo'!N78+Nchalo!N78+Nsanje!N78+Ngabu!N78</f>
        <v>3</v>
      </c>
      <c r="O78" s="26">
        <f>Bangula!O78+Chikwawa!O78+'Miseu Folo'!O78+Nchalo!O78+Nsanje!O78+Ngabu!O78</f>
        <v>3</v>
      </c>
      <c r="P78" s="35">
        <f>D78</f>
        <v>0</v>
      </c>
    </row>
    <row r="79" spans="1:16" x14ac:dyDescent="0.3">
      <c r="A79" s="326"/>
      <c r="B79" s="24" t="s">
        <v>104</v>
      </c>
      <c r="C79" s="5" t="s">
        <v>3</v>
      </c>
      <c r="D79" s="26">
        <f>Bangula!D79+Chikwawa!D79+'Miseu Folo'!D79+Nchalo!D79+Nsanje!D79+Ngabu!D79</f>
        <v>0</v>
      </c>
      <c r="E79" s="26">
        <f>Bangula!E79+Chikwawa!E79+'Miseu Folo'!E79+Nchalo!E79+Nsanje!E79+Ngabu!E79</f>
        <v>1</v>
      </c>
      <c r="F79" s="26">
        <f>Bangula!F79+Chikwawa!F79+'Miseu Folo'!F79+Nchalo!F79+Nsanje!F79+Ngabu!F79</f>
        <v>1</v>
      </c>
      <c r="G79" s="26">
        <f>Bangula!G79+Chikwawa!G79+'Miseu Folo'!G79+Nchalo!G79+Nsanje!G79+Ngabu!G79</f>
        <v>0</v>
      </c>
      <c r="H79" s="26">
        <f>Bangula!H79+Chikwawa!H79+'Miseu Folo'!H79+Nchalo!H79+Nsanje!H79+Ngabu!H79</f>
        <v>3</v>
      </c>
      <c r="I79" s="26">
        <f>Bangula!I79+Chikwawa!I79+'Miseu Folo'!I79+Nchalo!I79+Nsanje!I79+Ngabu!I79</f>
        <v>0</v>
      </c>
      <c r="J79" s="26">
        <f>Bangula!J79+Chikwawa!J79+'Miseu Folo'!J79+Nchalo!J79+Nsanje!J79+Ngabu!J79</f>
        <v>0</v>
      </c>
      <c r="K79" s="26">
        <f>Bangula!K79+Chikwawa!K79+'Miseu Folo'!K79+Nchalo!K79+Nsanje!K79+Ngabu!K79</f>
        <v>0</v>
      </c>
      <c r="L79" s="26">
        <f>Bangula!L79+Chikwawa!L79+'Miseu Folo'!L79+Nchalo!L79+Nsanje!L79+Ngabu!L79</f>
        <v>0</v>
      </c>
      <c r="M79" s="26">
        <f>Bangula!M79+Chikwawa!M79+'Miseu Folo'!M79+Nchalo!M79+Nsanje!M79+Ngabu!M79</f>
        <v>0</v>
      </c>
      <c r="N79" s="26">
        <f>Bangula!N79+Chikwawa!N79+'Miseu Folo'!N79+Nchalo!N79+Nsanje!N79+Ngabu!N79</f>
        <v>0</v>
      </c>
      <c r="O79" s="26">
        <f>Bangula!O79+Chikwawa!O79+'Miseu Folo'!O79+Nchalo!O79+Nsanje!O79+Ngabu!O79</f>
        <v>0</v>
      </c>
      <c r="P79" s="35">
        <f>SUM(D79:O79)</f>
        <v>5</v>
      </c>
    </row>
    <row r="80" spans="1:16" ht="27" x14ac:dyDescent="0.3">
      <c r="A80" s="326"/>
      <c r="B80" s="24" t="s">
        <v>103</v>
      </c>
      <c r="C80" s="5" t="s">
        <v>3</v>
      </c>
      <c r="D80" s="26">
        <f>Bangula!D80+Chikwawa!D80+'Miseu Folo'!D80+Nchalo!D80+Nsanje!D80+Ngabu!D80</f>
        <v>0</v>
      </c>
      <c r="E80" s="26">
        <f>Bangula!E80+Chikwawa!E80+'Miseu Folo'!E80+Nchalo!E80+Nsanje!E80+Ngabu!E80</f>
        <v>0</v>
      </c>
      <c r="F80" s="26">
        <f>Bangula!F80+Chikwawa!F80+'Miseu Folo'!F80+Nchalo!F80+Nsanje!F80+Ngabu!F80</f>
        <v>1</v>
      </c>
      <c r="G80" s="26">
        <f>Bangula!G80+Chikwawa!G80+'Miseu Folo'!G80+Nchalo!G80+Nsanje!G80+Ngabu!G80</f>
        <v>0</v>
      </c>
      <c r="H80" s="26">
        <f>Bangula!H80+Chikwawa!H80+'Miseu Folo'!H80+Nchalo!H80+Nsanje!H80+Ngabu!H80</f>
        <v>0</v>
      </c>
      <c r="I80" s="26">
        <f>Bangula!I80+Chikwawa!I80+'Miseu Folo'!I80+Nchalo!I80+Nsanje!I80+Ngabu!I80</f>
        <v>0</v>
      </c>
      <c r="J80" s="26">
        <f>Bangula!J80+Chikwawa!J80+'Miseu Folo'!J80+Nchalo!J80+Nsanje!J80+Ngabu!J80</f>
        <v>0</v>
      </c>
      <c r="K80" s="26">
        <f>Bangula!K80+Chikwawa!K80+'Miseu Folo'!K80+Nchalo!K80+Nsanje!K80+Ngabu!K80</f>
        <v>0</v>
      </c>
      <c r="L80" s="26">
        <f>Bangula!L80+Chikwawa!L80+'Miseu Folo'!L80+Nchalo!L80+Nsanje!L80+Ngabu!L80</f>
        <v>0</v>
      </c>
      <c r="M80" s="26">
        <f>Bangula!M80+Chikwawa!M80+'Miseu Folo'!M80+Nchalo!M80+Nsanje!M80+Ngabu!M80</f>
        <v>0</v>
      </c>
      <c r="N80" s="26">
        <f>Bangula!N80+Chikwawa!N80+'Miseu Folo'!N80+Nchalo!N80+Nsanje!N80+Ngabu!N80</f>
        <v>0</v>
      </c>
      <c r="O80" s="26">
        <f>Bangula!O80+Chikwawa!O80+'Miseu Folo'!O80+Nchalo!O80+Nsanje!O80+Ngabu!O80</f>
        <v>0</v>
      </c>
      <c r="P80" s="35"/>
    </row>
    <row r="81" spans="1:16" s="2" customFormat="1" ht="27" x14ac:dyDescent="0.3">
      <c r="A81" s="326"/>
      <c r="B81" s="24" t="s">
        <v>102</v>
      </c>
      <c r="C81" s="11" t="s">
        <v>3</v>
      </c>
      <c r="D81" s="26">
        <f>Bangula!D81+Chikwawa!D81+'Miseu Folo'!D81+Nchalo!D81+Nsanje!D81+Ngabu!D81</f>
        <v>0</v>
      </c>
      <c r="E81" s="26">
        <f>Bangula!E81+Chikwawa!E81+'Miseu Folo'!E81+Nchalo!E81+Nsanje!E81+Ngabu!E81</f>
        <v>0</v>
      </c>
      <c r="F81" s="26">
        <f>Bangula!F81+Chikwawa!F81+'Miseu Folo'!F81+Nchalo!F81+Nsanje!F81+Ngabu!F81</f>
        <v>0</v>
      </c>
      <c r="G81" s="26">
        <f>Bangula!G81+Chikwawa!G81+'Miseu Folo'!G81+Nchalo!G81+Nsanje!G81+Ngabu!G81</f>
        <v>0</v>
      </c>
      <c r="H81" s="26">
        <f>Bangula!H81+Chikwawa!H81+'Miseu Folo'!H81+Nchalo!H81+Nsanje!H81+Ngabu!H81</f>
        <v>1</v>
      </c>
      <c r="I81" s="26">
        <f>Bangula!I81+Chikwawa!I81+'Miseu Folo'!I81+Nchalo!I81+Nsanje!I81+Ngabu!I81</f>
        <v>0</v>
      </c>
      <c r="J81" s="26">
        <f>Bangula!J81+Chikwawa!J81+'Miseu Folo'!J81+Nchalo!J81+Nsanje!J81+Ngabu!J81</f>
        <v>0</v>
      </c>
      <c r="K81" s="26">
        <f>Bangula!K81+Chikwawa!K81+'Miseu Folo'!K81+Nchalo!K81+Nsanje!K81+Ngabu!K81</f>
        <v>0</v>
      </c>
      <c r="L81" s="26">
        <f>Bangula!L81+Chikwawa!L81+'Miseu Folo'!L81+Nchalo!L81+Nsanje!L81+Ngabu!L81</f>
        <v>0</v>
      </c>
      <c r="M81" s="26">
        <f>Bangula!M81+Chikwawa!M81+'Miseu Folo'!M81+Nchalo!M81+Nsanje!M81+Ngabu!M81</f>
        <v>0</v>
      </c>
      <c r="N81" s="26">
        <f>Bangula!N81+Chikwawa!N81+'Miseu Folo'!N81+Nchalo!N81+Nsanje!N81+Ngabu!N81</f>
        <v>0</v>
      </c>
      <c r="O81" s="26">
        <f>Bangula!O81+Chikwawa!O81+'Miseu Folo'!O81+Nchalo!O81+Nsanje!O81+Ngabu!O81</f>
        <v>0</v>
      </c>
      <c r="P81" s="74">
        <f>SUM(D81:O81)</f>
        <v>1</v>
      </c>
    </row>
    <row r="82" spans="1:16" s="2" customFormat="1" x14ac:dyDescent="0.3">
      <c r="A82" s="326"/>
      <c r="B82" s="24" t="s">
        <v>188</v>
      </c>
      <c r="C82" s="11" t="s">
        <v>3</v>
      </c>
      <c r="D82" s="4">
        <f>D81+D80</f>
        <v>0</v>
      </c>
      <c r="E82" s="4">
        <f t="shared" ref="E82:P82" si="29">E81+E80</f>
        <v>0</v>
      </c>
      <c r="F82" s="4">
        <f t="shared" ref="F82:G82" si="30">F81+F80</f>
        <v>1</v>
      </c>
      <c r="G82" s="4">
        <f t="shared" si="30"/>
        <v>0</v>
      </c>
      <c r="H82" s="4">
        <f t="shared" ref="H82:O82" si="31">H81+H80</f>
        <v>1</v>
      </c>
      <c r="I82" s="4">
        <f t="shared" si="31"/>
        <v>0</v>
      </c>
      <c r="J82" s="4">
        <f t="shared" si="31"/>
        <v>0</v>
      </c>
      <c r="K82" s="4">
        <f t="shared" si="31"/>
        <v>0</v>
      </c>
      <c r="L82" s="4">
        <f t="shared" si="31"/>
        <v>0</v>
      </c>
      <c r="M82" s="4">
        <f t="shared" si="31"/>
        <v>0</v>
      </c>
      <c r="N82" s="4">
        <f t="shared" si="31"/>
        <v>0</v>
      </c>
      <c r="O82" s="4">
        <f t="shared" si="31"/>
        <v>0</v>
      </c>
      <c r="P82" s="105">
        <f t="shared" si="29"/>
        <v>1</v>
      </c>
    </row>
    <row r="83" spans="1:16" x14ac:dyDescent="0.3">
      <c r="A83" s="327"/>
      <c r="B83" s="37" t="s">
        <v>81</v>
      </c>
      <c r="C83" s="5" t="s">
        <v>3</v>
      </c>
      <c r="D83" s="26">
        <f>D78+D79-D82</f>
        <v>0</v>
      </c>
      <c r="E83" s="26">
        <f t="shared" ref="E83:P83" si="32">E78+E79-E82</f>
        <v>1</v>
      </c>
      <c r="F83" s="26">
        <f t="shared" ref="F83:G83" si="33">F78+F79-F82</f>
        <v>1</v>
      </c>
      <c r="G83" s="26">
        <f t="shared" si="33"/>
        <v>1</v>
      </c>
      <c r="H83" s="26">
        <f t="shared" ref="H83:O83" si="34">H78+H79-H82</f>
        <v>3</v>
      </c>
      <c r="I83" s="26">
        <f t="shared" si="34"/>
        <v>3</v>
      </c>
      <c r="J83" s="26">
        <f t="shared" si="34"/>
        <v>3</v>
      </c>
      <c r="K83" s="26">
        <f t="shared" si="34"/>
        <v>3</v>
      </c>
      <c r="L83" s="26">
        <f t="shared" si="34"/>
        <v>3</v>
      </c>
      <c r="M83" s="26">
        <f t="shared" si="34"/>
        <v>3</v>
      </c>
      <c r="N83" s="26">
        <f t="shared" si="34"/>
        <v>3</v>
      </c>
      <c r="O83" s="26">
        <f t="shared" si="34"/>
        <v>3</v>
      </c>
      <c r="P83" s="106">
        <f t="shared" si="32"/>
        <v>4</v>
      </c>
    </row>
    <row r="84" spans="1:16" x14ac:dyDescent="0.3">
      <c r="A84" s="261" t="s">
        <v>106</v>
      </c>
      <c r="B84" s="37" t="s">
        <v>85</v>
      </c>
      <c r="C84" s="5" t="s">
        <v>3</v>
      </c>
      <c r="D84" s="26">
        <f>Bangula!D84+Chikwawa!D84+'Miseu Folo'!D84+Nchalo!D84+Nsanje!D84+Ngabu!D84</f>
        <v>0</v>
      </c>
      <c r="E84" s="26">
        <f>Bangula!E84+Chikwawa!E84+'Miseu Folo'!E84+Nchalo!E84+Nsanje!E84+Ngabu!E84</f>
        <v>0</v>
      </c>
      <c r="F84" s="26">
        <f>Bangula!F84+Chikwawa!F84+'Miseu Folo'!F84+Nchalo!F84+Nsanje!F84+Ngabu!F84</f>
        <v>0</v>
      </c>
      <c r="G84" s="26">
        <f>Bangula!G84+Chikwawa!G84+'Miseu Folo'!G84+Nchalo!G84+Nsanje!G84+Ngabu!G84</f>
        <v>0</v>
      </c>
      <c r="H84" s="26">
        <f>Bangula!H84+Chikwawa!H84+'Miseu Folo'!H84+Nchalo!H84+Nsanje!H84+Ngabu!H84</f>
        <v>0</v>
      </c>
      <c r="I84" s="26">
        <f>Bangula!I84+Chikwawa!I84+'Miseu Folo'!I84+Nchalo!I84+Nsanje!I84+Ngabu!I84</f>
        <v>0</v>
      </c>
      <c r="J84" s="26">
        <f>Bangula!J84+Chikwawa!J84+'Miseu Folo'!J84+Nchalo!J84+Nsanje!J84+Ngabu!J84</f>
        <v>0</v>
      </c>
      <c r="K84" s="26">
        <f>Bangula!K84+Chikwawa!K84+'Miseu Folo'!K84+Nchalo!K84+Nsanje!K84+Ngabu!K84</f>
        <v>0</v>
      </c>
      <c r="L84" s="26">
        <f>Bangula!L84+Chikwawa!L84+'Miseu Folo'!L84+Nchalo!L84+Nsanje!L84+Ngabu!L84</f>
        <v>0</v>
      </c>
      <c r="M84" s="26">
        <f>Bangula!M84+Chikwawa!M84+'Miseu Folo'!M84+Nchalo!M84+Nsanje!M84+Ngabu!M84</f>
        <v>0</v>
      </c>
      <c r="N84" s="26">
        <f>Bangula!N84+Chikwawa!N84+'Miseu Folo'!N84+Nchalo!N84+Nsanje!N84+Ngabu!N84</f>
        <v>0</v>
      </c>
      <c r="O84" s="26">
        <f>Bangula!O84+Chikwawa!O84+'Miseu Folo'!O84+Nchalo!O84+Nsanje!O84+Ngabu!O84</f>
        <v>0</v>
      </c>
      <c r="P84" s="35">
        <f>D84</f>
        <v>0</v>
      </c>
    </row>
    <row r="85" spans="1:16" x14ac:dyDescent="0.3">
      <c r="A85" s="262"/>
      <c r="B85" s="37" t="s">
        <v>104</v>
      </c>
      <c r="C85" s="5" t="s">
        <v>3</v>
      </c>
      <c r="D85" s="26">
        <f>Bangula!D85+Chikwawa!D85+'Miseu Folo'!D85+Nchalo!D85+Nsanje!D85+Ngabu!D85</f>
        <v>0</v>
      </c>
      <c r="E85" s="26">
        <f>Bangula!E85+Chikwawa!E85+'Miseu Folo'!E85+Nchalo!E85+Nsanje!E85+Ngabu!E85</f>
        <v>0</v>
      </c>
      <c r="F85" s="26">
        <f>Bangula!F85+Chikwawa!F85+'Miseu Folo'!F85+Nchalo!F85+Nsanje!F85+Ngabu!F85</f>
        <v>0</v>
      </c>
      <c r="G85" s="26">
        <f>Bangula!G85+Chikwawa!G85+'Miseu Folo'!G85+Nchalo!G85+Nsanje!G85+Ngabu!G85</f>
        <v>0</v>
      </c>
      <c r="H85" s="26">
        <f>Bangula!H85+Chikwawa!H85+'Miseu Folo'!H85+Nchalo!H85+Nsanje!H85+Ngabu!H85</f>
        <v>0</v>
      </c>
      <c r="I85" s="26">
        <f>Bangula!I85+Chikwawa!I85+'Miseu Folo'!I85+Nchalo!I85+Nsanje!I85+Ngabu!I85</f>
        <v>1</v>
      </c>
      <c r="J85" s="26">
        <f>Bangula!J85+Chikwawa!J85+'Miseu Folo'!J85+Nchalo!J85+Nsanje!J85+Ngabu!J85</f>
        <v>0</v>
      </c>
      <c r="K85" s="26">
        <f>Bangula!K85+Chikwawa!K85+'Miseu Folo'!K85+Nchalo!K85+Nsanje!K85+Ngabu!K85</f>
        <v>0</v>
      </c>
      <c r="L85" s="26">
        <f>Bangula!L85+Chikwawa!L85+'Miseu Folo'!L85+Nchalo!L85+Nsanje!L85+Ngabu!L85</f>
        <v>0</v>
      </c>
      <c r="M85" s="26">
        <f>Bangula!M85+Chikwawa!M85+'Miseu Folo'!M85+Nchalo!M85+Nsanje!M85+Ngabu!M85</f>
        <v>0</v>
      </c>
      <c r="N85" s="26">
        <f>Bangula!N85+Chikwawa!N85+'Miseu Folo'!N85+Nchalo!N85+Nsanje!N85+Ngabu!N85</f>
        <v>0</v>
      </c>
      <c r="O85" s="26">
        <f>Bangula!O85+Chikwawa!O85+'Miseu Folo'!O85+Nchalo!O85+Nsanje!O85+Ngabu!O85</f>
        <v>0</v>
      </c>
      <c r="P85" s="35">
        <f>SUM(D85:O85)</f>
        <v>1</v>
      </c>
    </row>
    <row r="86" spans="1:16" ht="27" x14ac:dyDescent="0.3">
      <c r="A86" s="262"/>
      <c r="B86" s="37" t="s">
        <v>103</v>
      </c>
      <c r="C86" s="5" t="s">
        <v>3</v>
      </c>
      <c r="D86" s="26">
        <f>Bangula!D86+Chikwawa!D86+'Miseu Folo'!D86+Nchalo!D86+Nsanje!D86+Ngabu!D86</f>
        <v>0</v>
      </c>
      <c r="E86" s="26">
        <f>Bangula!E86+Chikwawa!E86+'Miseu Folo'!E86+Nchalo!E86+Nsanje!E86+Ngabu!E86</f>
        <v>0</v>
      </c>
      <c r="F86" s="26">
        <f>Bangula!F86+Chikwawa!F86+'Miseu Folo'!F86+Nchalo!F86+Nsanje!F86+Ngabu!F86</f>
        <v>0</v>
      </c>
      <c r="G86" s="26">
        <f>Bangula!G86+Chikwawa!G86+'Miseu Folo'!G86+Nchalo!G86+Nsanje!G86+Ngabu!G86</f>
        <v>0</v>
      </c>
      <c r="H86" s="26">
        <f>Bangula!H86+Chikwawa!H86+'Miseu Folo'!H86+Nchalo!H86+Nsanje!H86+Ngabu!H86</f>
        <v>0</v>
      </c>
      <c r="I86" s="26">
        <f>Bangula!I86+Chikwawa!I86+'Miseu Folo'!I86+Nchalo!I86+Nsanje!I86+Ngabu!I86</f>
        <v>1</v>
      </c>
      <c r="J86" s="26">
        <f>Bangula!J86+Chikwawa!J86+'Miseu Folo'!J86+Nchalo!J86+Nsanje!J86+Ngabu!J86</f>
        <v>0</v>
      </c>
      <c r="K86" s="26">
        <f>Bangula!K86+Chikwawa!K86+'Miseu Folo'!K86+Nchalo!K86+Nsanje!K86+Ngabu!K86</f>
        <v>0</v>
      </c>
      <c r="L86" s="26">
        <f>Bangula!L86+Chikwawa!L86+'Miseu Folo'!L86+Nchalo!L86+Nsanje!L86+Ngabu!L86</f>
        <v>0</v>
      </c>
      <c r="M86" s="26">
        <f>Bangula!M86+Chikwawa!M86+'Miseu Folo'!M86+Nchalo!M86+Nsanje!M86+Ngabu!M86</f>
        <v>0</v>
      </c>
      <c r="N86" s="26">
        <f>Bangula!N86+Chikwawa!N86+'Miseu Folo'!N86+Nchalo!N86+Nsanje!N86+Ngabu!N86</f>
        <v>0</v>
      </c>
      <c r="O86" s="26">
        <f>Bangula!O86+Chikwawa!O86+'Miseu Folo'!O86+Nchalo!O86+Nsanje!O86+Ngabu!O86</f>
        <v>0</v>
      </c>
      <c r="P86" s="35"/>
    </row>
    <row r="87" spans="1:16" s="2" customFormat="1" ht="27" x14ac:dyDescent="0.3">
      <c r="A87" s="262"/>
      <c r="B87" s="24" t="s">
        <v>102</v>
      </c>
      <c r="C87" s="11" t="s">
        <v>3</v>
      </c>
      <c r="D87" s="26">
        <f>Bangula!D87+Chikwawa!D87+'Miseu Folo'!D87+Nchalo!D87+Nsanje!D87+Ngabu!D87</f>
        <v>0</v>
      </c>
      <c r="E87" s="26">
        <f>Bangula!E87+Chikwawa!E87+'Miseu Folo'!E87+Nchalo!E87+Nsanje!E87+Ngabu!E87</f>
        <v>0</v>
      </c>
      <c r="F87" s="26">
        <f>Bangula!F87+Chikwawa!F87+'Miseu Folo'!F87+Nchalo!F87+Nsanje!F87+Ngabu!F87</f>
        <v>0</v>
      </c>
      <c r="G87" s="26">
        <f>Bangula!G87+Chikwawa!G87+'Miseu Folo'!G87+Nchalo!G87+Nsanje!G87+Ngabu!G87</f>
        <v>0</v>
      </c>
      <c r="H87" s="26">
        <f>Bangula!H87+Chikwawa!H87+'Miseu Folo'!H87+Nchalo!H87+Nsanje!H87+Ngabu!H87</f>
        <v>0</v>
      </c>
      <c r="I87" s="26">
        <f>Bangula!I87+Chikwawa!I87+'Miseu Folo'!I87+Nchalo!I87+Nsanje!I87+Ngabu!I87</f>
        <v>0</v>
      </c>
      <c r="J87" s="26">
        <f>Bangula!J87+Chikwawa!J87+'Miseu Folo'!J87+Nchalo!J87+Nsanje!J87+Ngabu!J87</f>
        <v>0</v>
      </c>
      <c r="K87" s="26">
        <f>Bangula!K87+Chikwawa!K87+'Miseu Folo'!K87+Nchalo!K87+Nsanje!K87+Ngabu!K87</f>
        <v>0</v>
      </c>
      <c r="L87" s="26">
        <f>Bangula!L87+Chikwawa!L87+'Miseu Folo'!L87+Nchalo!L87+Nsanje!L87+Ngabu!L87</f>
        <v>0</v>
      </c>
      <c r="M87" s="26">
        <f>Bangula!M87+Chikwawa!M87+'Miseu Folo'!M87+Nchalo!M87+Nsanje!M87+Ngabu!M87</f>
        <v>0</v>
      </c>
      <c r="N87" s="26">
        <f>Bangula!N87+Chikwawa!N87+'Miseu Folo'!N87+Nchalo!N87+Nsanje!N87+Ngabu!N87</f>
        <v>0</v>
      </c>
      <c r="O87" s="26">
        <f>Bangula!O87+Chikwawa!O87+'Miseu Folo'!O87+Nchalo!O87+Nsanje!O87+Ngabu!O87</f>
        <v>0</v>
      </c>
      <c r="P87" s="74">
        <f>SUM(D87:O87)</f>
        <v>0</v>
      </c>
    </row>
    <row r="88" spans="1:16" s="2" customFormat="1" x14ac:dyDescent="0.3">
      <c r="A88" s="262"/>
      <c r="B88" s="24" t="s">
        <v>188</v>
      </c>
      <c r="C88" s="11" t="s">
        <v>3</v>
      </c>
      <c r="D88" s="4">
        <f>D87+D86</f>
        <v>0</v>
      </c>
      <c r="E88" s="4">
        <f>E87+E86</f>
        <v>0</v>
      </c>
      <c r="F88" s="4">
        <f>F87+F86</f>
        <v>0</v>
      </c>
      <c r="G88" s="4">
        <f>G87+G86</f>
        <v>0</v>
      </c>
      <c r="H88" s="4">
        <f>H87+H86</f>
        <v>0</v>
      </c>
      <c r="I88" s="4">
        <f t="shared" ref="I88:O88" si="35">I87+I86</f>
        <v>1</v>
      </c>
      <c r="J88" s="4">
        <f t="shared" si="35"/>
        <v>0</v>
      </c>
      <c r="K88" s="4">
        <f t="shared" si="35"/>
        <v>0</v>
      </c>
      <c r="L88" s="4">
        <f t="shared" si="35"/>
        <v>0</v>
      </c>
      <c r="M88" s="4">
        <f t="shared" si="35"/>
        <v>0</v>
      </c>
      <c r="N88" s="4">
        <f t="shared" si="35"/>
        <v>0</v>
      </c>
      <c r="O88" s="4">
        <f t="shared" si="35"/>
        <v>0</v>
      </c>
      <c r="P88" s="74"/>
    </row>
    <row r="89" spans="1:16" x14ac:dyDescent="0.3">
      <c r="A89" s="263"/>
      <c r="B89" s="36" t="s">
        <v>81</v>
      </c>
      <c r="C89" s="5" t="s">
        <v>3</v>
      </c>
      <c r="D89" s="26">
        <f>D84+D85-D88</f>
        <v>0</v>
      </c>
      <c r="E89" s="26">
        <f>E84+E85-E88</f>
        <v>0</v>
      </c>
      <c r="F89" s="26">
        <f>F84+F85-F88</f>
        <v>0</v>
      </c>
      <c r="G89" s="26">
        <f>G84+G85-G88</f>
        <v>0</v>
      </c>
      <c r="H89" s="26">
        <f>H84+H85-H88</f>
        <v>0</v>
      </c>
      <c r="I89" s="26">
        <f t="shared" ref="I89:O89" si="36">I84+I85-I88</f>
        <v>0</v>
      </c>
      <c r="J89" s="26">
        <f t="shared" si="36"/>
        <v>0</v>
      </c>
      <c r="K89" s="26">
        <f t="shared" si="36"/>
        <v>0</v>
      </c>
      <c r="L89" s="26">
        <f t="shared" si="36"/>
        <v>0</v>
      </c>
      <c r="M89" s="26">
        <f t="shared" si="36"/>
        <v>0</v>
      </c>
      <c r="N89" s="26">
        <f t="shared" si="36"/>
        <v>0</v>
      </c>
      <c r="O89" s="26">
        <f t="shared" si="36"/>
        <v>0</v>
      </c>
      <c r="P89" s="106">
        <f t="shared" ref="P89" si="37">P84+P85-P86-P87</f>
        <v>1</v>
      </c>
    </row>
    <row r="90" spans="1:16" x14ac:dyDescent="0.3">
      <c r="A90" s="264" t="s">
        <v>105</v>
      </c>
      <c r="B90" s="24" t="s">
        <v>85</v>
      </c>
      <c r="C90" s="11" t="s">
        <v>3</v>
      </c>
      <c r="D90" s="136">
        <f>D66+D72+D78+D84</f>
        <v>779</v>
      </c>
      <c r="E90" s="136">
        <f>E66+E72+E78+E84</f>
        <v>766</v>
      </c>
      <c r="F90" s="136">
        <f>F66+F72+F78+F84</f>
        <v>751</v>
      </c>
      <c r="G90" s="136">
        <f>G66+G72+G78+G84</f>
        <v>745</v>
      </c>
      <c r="H90" s="136">
        <f>H66+H72+H78+H84</f>
        <v>854</v>
      </c>
      <c r="I90" s="136">
        <f t="shared" ref="I90:O90" si="38">I66+I72+I78+I84</f>
        <v>851</v>
      </c>
      <c r="J90" s="136">
        <f t="shared" si="38"/>
        <v>826</v>
      </c>
      <c r="K90" s="136">
        <f t="shared" si="38"/>
        <v>801</v>
      </c>
      <c r="L90" s="136">
        <f t="shared" si="38"/>
        <v>778</v>
      </c>
      <c r="M90" s="136">
        <f t="shared" si="38"/>
        <v>784</v>
      </c>
      <c r="N90" s="136">
        <f t="shared" si="38"/>
        <v>736</v>
      </c>
      <c r="O90" s="136">
        <f t="shared" si="38"/>
        <v>717</v>
      </c>
      <c r="P90" s="35">
        <f>D90</f>
        <v>779</v>
      </c>
    </row>
    <row r="91" spans="1:16" x14ac:dyDescent="0.3">
      <c r="A91" s="265"/>
      <c r="B91" s="24" t="s">
        <v>104</v>
      </c>
      <c r="C91" s="11" t="s">
        <v>3</v>
      </c>
      <c r="D91" s="136">
        <f t="shared" ref="D91:E93" si="39">D67+D73+D79+D85</f>
        <v>58</v>
      </c>
      <c r="E91" s="136">
        <f t="shared" si="39"/>
        <v>47</v>
      </c>
      <c r="F91" s="136">
        <f t="shared" ref="F91:G91" si="40">F67+F73+F79+F85</f>
        <v>100</v>
      </c>
      <c r="G91" s="136">
        <f t="shared" si="40"/>
        <v>243</v>
      </c>
      <c r="H91" s="136">
        <f t="shared" ref="H91:O91" si="41">H67+H73+H79+H85</f>
        <v>106</v>
      </c>
      <c r="I91" s="136">
        <f t="shared" si="41"/>
        <v>77</v>
      </c>
      <c r="J91" s="136">
        <f t="shared" si="41"/>
        <v>51</v>
      </c>
      <c r="K91" s="136">
        <f t="shared" si="41"/>
        <v>52</v>
      </c>
      <c r="L91" s="136">
        <f t="shared" si="41"/>
        <v>61</v>
      </c>
      <c r="M91" s="136">
        <f t="shared" si="41"/>
        <v>25</v>
      </c>
      <c r="N91" s="136">
        <f t="shared" si="41"/>
        <v>34</v>
      </c>
      <c r="O91" s="136">
        <f t="shared" si="41"/>
        <v>48</v>
      </c>
      <c r="P91" s="35">
        <f>SUM(D91:O91)</f>
        <v>902</v>
      </c>
    </row>
    <row r="92" spans="1:16" ht="27" x14ac:dyDescent="0.3">
      <c r="A92" s="265"/>
      <c r="B92" s="24" t="s">
        <v>103</v>
      </c>
      <c r="C92" s="11" t="s">
        <v>3</v>
      </c>
      <c r="D92" s="136">
        <f t="shared" si="39"/>
        <v>71</v>
      </c>
      <c r="E92" s="136">
        <f t="shared" si="39"/>
        <v>62</v>
      </c>
      <c r="F92" s="136">
        <f t="shared" ref="F92:G92" si="42">F68+F74+F80+F86</f>
        <v>106</v>
      </c>
      <c r="G92" s="136">
        <f t="shared" si="42"/>
        <v>134</v>
      </c>
      <c r="H92" s="136">
        <f t="shared" ref="H92:O92" si="43">H68+H74+H80+H86</f>
        <v>106</v>
      </c>
      <c r="I92" s="136">
        <f t="shared" si="43"/>
        <v>76</v>
      </c>
      <c r="J92" s="136">
        <f t="shared" si="43"/>
        <v>76</v>
      </c>
      <c r="K92" s="136">
        <f t="shared" si="43"/>
        <v>68</v>
      </c>
      <c r="L92" s="136">
        <f t="shared" si="43"/>
        <v>51</v>
      </c>
      <c r="M92" s="136">
        <f t="shared" si="43"/>
        <v>73</v>
      </c>
      <c r="N92" s="136">
        <f t="shared" si="43"/>
        <v>53</v>
      </c>
      <c r="O92" s="136">
        <f t="shared" si="43"/>
        <v>67</v>
      </c>
      <c r="P92" s="35">
        <f>SUM(D92:O92)</f>
        <v>943</v>
      </c>
    </row>
    <row r="93" spans="1:16" s="2" customFormat="1" ht="27" x14ac:dyDescent="0.3">
      <c r="A93" s="265"/>
      <c r="B93" s="24" t="s">
        <v>102</v>
      </c>
      <c r="C93" s="11"/>
      <c r="D93" s="136">
        <f t="shared" si="39"/>
        <v>0</v>
      </c>
      <c r="E93" s="136">
        <f t="shared" si="39"/>
        <v>0</v>
      </c>
      <c r="F93" s="136">
        <f t="shared" ref="F93:G93" si="44">F69+F75+F81+F87</f>
        <v>0</v>
      </c>
      <c r="G93" s="136">
        <f t="shared" si="44"/>
        <v>0</v>
      </c>
      <c r="H93" s="136">
        <f t="shared" ref="H93:O93" si="45">H69+H75+H81+H87</f>
        <v>3</v>
      </c>
      <c r="I93" s="136">
        <f t="shared" si="45"/>
        <v>26</v>
      </c>
      <c r="J93" s="136">
        <f t="shared" si="45"/>
        <v>0</v>
      </c>
      <c r="K93" s="136">
        <f t="shared" si="45"/>
        <v>7</v>
      </c>
      <c r="L93" s="136">
        <f t="shared" si="45"/>
        <v>4</v>
      </c>
      <c r="M93" s="136">
        <f t="shared" si="45"/>
        <v>0</v>
      </c>
      <c r="N93" s="136">
        <f t="shared" si="45"/>
        <v>0</v>
      </c>
      <c r="O93" s="136">
        <f t="shared" si="45"/>
        <v>0</v>
      </c>
      <c r="P93" s="35">
        <f>SUM(D93:O93)</f>
        <v>40</v>
      </c>
    </row>
    <row r="94" spans="1:16" s="2" customFormat="1" x14ac:dyDescent="0.3">
      <c r="A94" s="265"/>
      <c r="B94" s="24" t="s">
        <v>188</v>
      </c>
      <c r="C94" s="11" t="s">
        <v>3</v>
      </c>
      <c r="D94" s="137">
        <f>D93+D92</f>
        <v>71</v>
      </c>
      <c r="E94" s="137">
        <f t="shared" ref="E94:P94" si="46">E93+E92</f>
        <v>62</v>
      </c>
      <c r="F94" s="137">
        <f t="shared" si="46"/>
        <v>106</v>
      </c>
      <c r="G94" s="137">
        <f t="shared" ref="G94:H94" si="47">G93+G92</f>
        <v>134</v>
      </c>
      <c r="H94" s="137">
        <f t="shared" si="47"/>
        <v>109</v>
      </c>
      <c r="I94" s="137">
        <f t="shared" ref="I94:O94" si="48">I93+I92</f>
        <v>102</v>
      </c>
      <c r="J94" s="137">
        <f t="shared" si="48"/>
        <v>76</v>
      </c>
      <c r="K94" s="137">
        <f t="shared" si="48"/>
        <v>75</v>
      </c>
      <c r="L94" s="137">
        <f t="shared" si="48"/>
        <v>55</v>
      </c>
      <c r="M94" s="137">
        <f t="shared" si="48"/>
        <v>73</v>
      </c>
      <c r="N94" s="137">
        <f t="shared" si="48"/>
        <v>53</v>
      </c>
      <c r="O94" s="137">
        <f t="shared" si="48"/>
        <v>67</v>
      </c>
      <c r="P94" s="144">
        <f t="shared" si="46"/>
        <v>983</v>
      </c>
    </row>
    <row r="95" spans="1:16" ht="16.2" thickBot="1" x14ac:dyDescent="0.35">
      <c r="A95" s="266"/>
      <c r="B95" s="24" t="s">
        <v>81</v>
      </c>
      <c r="C95" s="11" t="s">
        <v>3</v>
      </c>
      <c r="D95" s="138">
        <f>D90+D91-D94</f>
        <v>766</v>
      </c>
      <c r="E95" s="138">
        <f t="shared" ref="E95:H95" si="49">E90+E91-E94</f>
        <v>751</v>
      </c>
      <c r="F95" s="138">
        <f t="shared" si="49"/>
        <v>745</v>
      </c>
      <c r="G95" s="138">
        <f t="shared" si="49"/>
        <v>854</v>
      </c>
      <c r="H95" s="138">
        <f t="shared" si="49"/>
        <v>851</v>
      </c>
      <c r="I95" s="138">
        <f t="shared" ref="I95:O95" si="50">I90+I91-I94</f>
        <v>826</v>
      </c>
      <c r="J95" s="138">
        <f t="shared" si="50"/>
        <v>801</v>
      </c>
      <c r="K95" s="138">
        <f t="shared" si="50"/>
        <v>778</v>
      </c>
      <c r="L95" s="138">
        <f t="shared" si="50"/>
        <v>784</v>
      </c>
      <c r="M95" s="138">
        <f t="shared" si="50"/>
        <v>736</v>
      </c>
      <c r="N95" s="138">
        <f t="shared" si="50"/>
        <v>717</v>
      </c>
      <c r="O95" s="138">
        <f t="shared" si="50"/>
        <v>698</v>
      </c>
      <c r="P95" s="145">
        <f t="shared" ref="P95" si="51">P90+P91-P94</f>
        <v>698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7"/>
    </row>
    <row r="97" spans="1:16" s="2" customFormat="1" ht="15.75" customHeight="1" thickBot="1" x14ac:dyDescent="0.35">
      <c r="A97" s="267" t="s">
        <v>189</v>
      </c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9"/>
    </row>
    <row r="98" spans="1:16" x14ac:dyDescent="0.3">
      <c r="A98" s="88" t="s">
        <v>190</v>
      </c>
      <c r="B98" s="69"/>
      <c r="C98" s="11" t="s">
        <v>3</v>
      </c>
      <c r="D98" s="26">
        <f>Bangula!D98+Chikwawa!D98+'Miseu Folo'!D98+Nchalo!D98+Nsanje!D98+Ngabu!D98</f>
        <v>0</v>
      </c>
      <c r="E98" s="26">
        <f>Bangula!E98+Chikwawa!E98+'Miseu Folo'!E98+Nchalo!E98+Nsanje!E98+Ngabu!E98</f>
        <v>0</v>
      </c>
      <c r="F98" s="26">
        <f>Bangula!F98+Chikwawa!F98+'Miseu Folo'!F98+Nchalo!F98+Nsanje!F98+Ngabu!F98</f>
        <v>5</v>
      </c>
      <c r="G98" s="26">
        <f>Bangula!G98+Chikwawa!G98+'Miseu Folo'!G98+Nchalo!G98+Nsanje!G98+Ngabu!G98</f>
        <v>0</v>
      </c>
      <c r="H98" s="26">
        <f>Bangula!H98+Chikwawa!H98+'Miseu Folo'!H98+Nchalo!H98+Nsanje!H98+Ngabu!H98</f>
        <v>0</v>
      </c>
      <c r="I98" s="26">
        <f>Bangula!I98+Chikwawa!I98+'Miseu Folo'!I98+Nchalo!I98+Nsanje!I98+Ngabu!I98</f>
        <v>0</v>
      </c>
      <c r="J98" s="26">
        <f>Bangula!J98+Chikwawa!J98+'Miseu Folo'!J98+Nchalo!J98+Nsanje!J98+Ngabu!J98</f>
        <v>0</v>
      </c>
      <c r="K98" s="26">
        <f>Bangula!K98+Chikwawa!K98+'Miseu Folo'!K98+Nchalo!K98+Nsanje!K98+Ngabu!K98</f>
        <v>0</v>
      </c>
      <c r="L98" s="26">
        <f>Bangula!L98+Chikwawa!L98+'Miseu Folo'!L98+Nchalo!L98+Nsanje!L98+Ngabu!L98</f>
        <v>0</v>
      </c>
      <c r="M98" s="26">
        <f>Bangula!M98+Chikwawa!M98+'Miseu Folo'!M98+Nchalo!M98+Nsanje!M98+Ngabu!M98</f>
        <v>0</v>
      </c>
      <c r="N98" s="26">
        <f>Bangula!N98+Chikwawa!N98+'Miseu Folo'!N98+Nchalo!N98+Nsanje!N98+Ngabu!N98</f>
        <v>0</v>
      </c>
      <c r="O98" s="26">
        <f>Bangula!O98+Chikwawa!O98+'Miseu Folo'!O98+Nchalo!O98+Nsanje!O98+Ngabu!O98</f>
        <v>0</v>
      </c>
      <c r="P98" s="108">
        <f>SUM(D98:O98)</f>
        <v>5</v>
      </c>
    </row>
    <row r="99" spans="1:1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7"/>
    </row>
    <row r="100" spans="1:16" s="2" customFormat="1" ht="14.4" x14ac:dyDescent="0.3">
      <c r="A100" s="273" t="s">
        <v>101</v>
      </c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5"/>
    </row>
    <row r="101" spans="1:16" x14ac:dyDescent="0.3">
      <c r="A101" s="231" t="s">
        <v>100</v>
      </c>
      <c r="B101" s="232"/>
      <c r="C101" s="11" t="s">
        <v>3</v>
      </c>
      <c r="D101" s="26">
        <f>Bangula!D101+Chikwawa!D101+'Miseu Folo'!D101+Nchalo!D101+Nsanje!D101+Ngabu!D101</f>
        <v>2300</v>
      </c>
      <c r="E101" s="26">
        <f>Bangula!E101+Chikwawa!E101+'Miseu Folo'!E101+Nchalo!E101+Nsanje!E101+Ngabu!E101</f>
        <v>2332</v>
      </c>
      <c r="F101" s="26">
        <f>Bangula!F101+Chikwawa!F101+'Miseu Folo'!F101+Nchalo!F101+Nsanje!F101+Ngabu!F101</f>
        <v>2349</v>
      </c>
      <c r="G101" s="26">
        <f>Bangula!G101+Chikwawa!G101+'Miseu Folo'!G101+Nchalo!G101+Nsanje!G101+Ngabu!G101</f>
        <v>2387</v>
      </c>
      <c r="H101" s="26">
        <f>Bangula!H101+Chikwawa!H101+'Miseu Folo'!H101+Nchalo!H101+Nsanje!H101+Ngabu!H101</f>
        <v>2647</v>
      </c>
      <c r="I101" s="26">
        <f>Bangula!I101+Chikwawa!I101+'Miseu Folo'!I101+Nchalo!I101+Nsanje!I101+Ngabu!I101</f>
        <v>2640</v>
      </c>
      <c r="J101" s="26">
        <f>Bangula!J101+Chikwawa!J101+'Miseu Folo'!J101+Nchalo!J101+Nsanje!J101+Ngabu!J101</f>
        <v>2627</v>
      </c>
      <c r="K101" s="26">
        <f>Bangula!K101+Chikwawa!K101+'Miseu Folo'!K101+Nchalo!K101+Nsanje!K101+Ngabu!K101</f>
        <v>2637</v>
      </c>
      <c r="L101" s="26">
        <f>Bangula!L101+Chikwawa!L101+'Miseu Folo'!L101+Nchalo!L101+Nsanje!L101+Ngabu!L101</f>
        <v>2717</v>
      </c>
      <c r="M101" s="26">
        <f>Bangula!M101+Chikwawa!M101+'Miseu Folo'!M101+Nchalo!M101+Nsanje!M101+Ngabu!M101</f>
        <v>2861</v>
      </c>
      <c r="N101" s="26">
        <f>Bangula!N101+Chikwawa!N101+'Miseu Folo'!N101+Nchalo!N101+Nsanje!N101+Ngabu!N101</f>
        <v>2833</v>
      </c>
      <c r="O101" s="26">
        <f>Bangula!O101+Chikwawa!O101+'Miseu Folo'!O101+Nchalo!O101+Nsanje!O101+Ngabu!O101</f>
        <v>2806</v>
      </c>
      <c r="P101" s="32">
        <f t="shared" ref="P101:P111" si="52">O101</f>
        <v>2806</v>
      </c>
    </row>
    <row r="102" spans="1:16" x14ac:dyDescent="0.3">
      <c r="A102" s="231" t="s">
        <v>99</v>
      </c>
      <c r="B102" s="232"/>
      <c r="C102" s="11" t="s">
        <v>3</v>
      </c>
      <c r="D102" s="26">
        <f>Bangula!D102+Chikwawa!D102+'Miseu Folo'!D102+Nchalo!D102+Nsanje!D102+Ngabu!D102</f>
        <v>72</v>
      </c>
      <c r="E102" s="26">
        <f>Bangula!E102+Chikwawa!E102+'Miseu Folo'!E102+Nchalo!E102+Nsanje!E102+Ngabu!E102</f>
        <v>67</v>
      </c>
      <c r="F102" s="26">
        <f>Bangula!F102+Chikwawa!F102+'Miseu Folo'!F102+Nchalo!F102+Nsanje!F102+Ngabu!F102</f>
        <v>67</v>
      </c>
      <c r="G102" s="26">
        <f>Bangula!G102+Chikwawa!G102+'Miseu Folo'!G102+Nchalo!G102+Nsanje!G102+Ngabu!G102</f>
        <v>69</v>
      </c>
      <c r="H102" s="26">
        <f>Bangula!H102+Chikwawa!H102+'Miseu Folo'!H102+Nchalo!H102+Nsanje!H102+Ngabu!H102</f>
        <v>70</v>
      </c>
      <c r="I102" s="26">
        <f>Bangula!I102+Chikwawa!I102+'Miseu Folo'!I102+Nchalo!I102+Nsanje!I102+Ngabu!I102</f>
        <v>71</v>
      </c>
      <c r="J102" s="26">
        <f>Bangula!J102+Chikwawa!J102+'Miseu Folo'!J102+Nchalo!J102+Nsanje!J102+Ngabu!J102</f>
        <v>71</v>
      </c>
      <c r="K102" s="26">
        <f>Bangula!K102+Chikwawa!K102+'Miseu Folo'!K102+Nchalo!K102+Nsanje!K102+Ngabu!K102</f>
        <v>75</v>
      </c>
      <c r="L102" s="26">
        <f>Bangula!L102+Chikwawa!L102+'Miseu Folo'!L102+Nchalo!L102+Nsanje!L102+Ngabu!L102</f>
        <v>75</v>
      </c>
      <c r="M102" s="26">
        <f>Bangula!M102+Chikwawa!M102+'Miseu Folo'!M102+Nchalo!M102+Nsanje!M102+Ngabu!M102</f>
        <v>75</v>
      </c>
      <c r="N102" s="26">
        <f>Bangula!N102+Chikwawa!N102+'Miseu Folo'!N102+Nchalo!N102+Nsanje!N102+Ngabu!N102</f>
        <v>102</v>
      </c>
      <c r="O102" s="26">
        <f>Bangula!O102+Chikwawa!O102+'Miseu Folo'!O102+Nchalo!O102+Nsanje!O102+Ngabu!O102</f>
        <v>107</v>
      </c>
      <c r="P102" s="32">
        <f t="shared" si="52"/>
        <v>107</v>
      </c>
    </row>
    <row r="103" spans="1:16" ht="15.6" customHeight="1" x14ac:dyDescent="0.3">
      <c r="A103" s="237" t="s">
        <v>98</v>
      </c>
      <c r="B103" s="238"/>
      <c r="C103" s="11" t="s">
        <v>3</v>
      </c>
      <c r="D103" s="26">
        <f>Bangula!D103+Chikwawa!D103+'Miseu Folo'!D103+Nchalo!D103+Nsanje!D103+Ngabu!D103</f>
        <v>62</v>
      </c>
      <c r="E103" s="26">
        <f>Bangula!E103+Chikwawa!E103+'Miseu Folo'!E103+Nchalo!E103+Nsanje!E103+Ngabu!E103</f>
        <v>61</v>
      </c>
      <c r="F103" s="26">
        <f>Bangula!F103+Chikwawa!F103+'Miseu Folo'!F103+Nchalo!F103+Nsanje!F103+Ngabu!F103</f>
        <v>62</v>
      </c>
      <c r="G103" s="26">
        <f>Bangula!G103+Chikwawa!G103+'Miseu Folo'!G103+Nchalo!G103+Nsanje!G103+Ngabu!G103</f>
        <v>65</v>
      </c>
      <c r="H103" s="26">
        <f>Bangula!H103+Chikwawa!H103+'Miseu Folo'!H103+Nchalo!H103+Nsanje!H103+Ngabu!H103</f>
        <v>63</v>
      </c>
      <c r="I103" s="26">
        <f>Bangula!I103+Chikwawa!I103+'Miseu Folo'!I103+Nchalo!I103+Nsanje!I103+Ngabu!I103</f>
        <v>63</v>
      </c>
      <c r="J103" s="26">
        <f>Bangula!J103+Chikwawa!J103+'Miseu Folo'!J103+Nchalo!J103+Nsanje!J103+Ngabu!J103</f>
        <v>63</v>
      </c>
      <c r="K103" s="26">
        <f>Bangula!K103+Chikwawa!K103+'Miseu Folo'!K103+Nchalo!K103+Nsanje!K103+Ngabu!K103</f>
        <v>67</v>
      </c>
      <c r="L103" s="26">
        <f>Bangula!L103+Chikwawa!L103+'Miseu Folo'!L103+Nchalo!L103+Nsanje!L103+Ngabu!L103</f>
        <v>67</v>
      </c>
      <c r="M103" s="26">
        <f>Bangula!M103+Chikwawa!M103+'Miseu Folo'!M103+Nchalo!M103+Nsanje!M103+Ngabu!M103</f>
        <v>67</v>
      </c>
      <c r="N103" s="26">
        <f>Bangula!N103+Chikwawa!N103+'Miseu Folo'!N103+Nchalo!N103+Nsanje!N103+Ngabu!N103</f>
        <v>96</v>
      </c>
      <c r="O103" s="26">
        <f>Bangula!O103+Chikwawa!O103+'Miseu Folo'!O103+Nchalo!O103+Nsanje!O103+Ngabu!O103</f>
        <v>111</v>
      </c>
      <c r="P103" s="32">
        <f t="shared" si="52"/>
        <v>111</v>
      </c>
    </row>
    <row r="104" spans="1:16" x14ac:dyDescent="0.3">
      <c r="A104" s="237" t="s">
        <v>97</v>
      </c>
      <c r="B104" s="238"/>
      <c r="C104" s="11" t="s">
        <v>3</v>
      </c>
      <c r="D104" s="26">
        <f>Bangula!D104+Chikwawa!D104+'Miseu Folo'!D104+Nchalo!D104+Nsanje!D104+Ngabu!D104</f>
        <v>65</v>
      </c>
      <c r="E104" s="26">
        <f>Bangula!E104+Chikwawa!E104+'Miseu Folo'!E104+Nchalo!E104+Nsanje!E104+Ngabu!E104</f>
        <v>74</v>
      </c>
      <c r="F104" s="26">
        <f>Bangula!F104+Chikwawa!F104+'Miseu Folo'!F104+Nchalo!F104+Nsanje!F104+Ngabu!F104</f>
        <v>74</v>
      </c>
      <c r="G104" s="26">
        <f>Bangula!G104+Chikwawa!G104+'Miseu Folo'!G104+Nchalo!G104+Nsanje!G104+Ngabu!G104</f>
        <v>74</v>
      </c>
      <c r="H104" s="26">
        <f>Bangula!H104+Chikwawa!H104+'Miseu Folo'!H104+Nchalo!H104+Nsanje!H104+Ngabu!H104</f>
        <v>76</v>
      </c>
      <c r="I104" s="26">
        <f>Bangula!I104+Chikwawa!I104+'Miseu Folo'!I104+Nchalo!I104+Nsanje!I104+Ngabu!I104</f>
        <v>76</v>
      </c>
      <c r="J104" s="26">
        <f>Bangula!J104+Chikwawa!J104+'Miseu Folo'!J104+Nchalo!J104+Nsanje!J104+Ngabu!J104</f>
        <v>76</v>
      </c>
      <c r="K104" s="26">
        <f>Bangula!K104+Chikwawa!K104+'Miseu Folo'!K104+Nchalo!K104+Nsanje!K104+Ngabu!K104</f>
        <v>76</v>
      </c>
      <c r="L104" s="26">
        <f>Bangula!L104+Chikwawa!L104+'Miseu Folo'!L104+Nchalo!L104+Nsanje!L104+Ngabu!L104</f>
        <v>76</v>
      </c>
      <c r="M104" s="26">
        <f>Bangula!M104+Chikwawa!M104+'Miseu Folo'!M104+Nchalo!M104+Nsanje!M104+Ngabu!M104</f>
        <v>76</v>
      </c>
      <c r="N104" s="26">
        <f>Bangula!N104+Chikwawa!N104+'Miseu Folo'!N104+Nchalo!N104+Nsanje!N104+Ngabu!N104</f>
        <v>76</v>
      </c>
      <c r="O104" s="26">
        <f>Bangula!O104+Chikwawa!O104+'Miseu Folo'!O104+Nchalo!O104+Nsanje!O104+Ngabu!O104</f>
        <v>76</v>
      </c>
      <c r="P104" s="32">
        <f t="shared" si="52"/>
        <v>76</v>
      </c>
    </row>
    <row r="105" spans="1:16" x14ac:dyDescent="0.3">
      <c r="A105" s="259" t="s">
        <v>96</v>
      </c>
      <c r="B105" s="260"/>
      <c r="C105" s="11" t="s">
        <v>3</v>
      </c>
      <c r="D105" s="33">
        <f>SUM(D101:D104)</f>
        <v>2499</v>
      </c>
      <c r="E105" s="33">
        <f t="shared" ref="E105:O105" si="53">SUM(E101:E104)</f>
        <v>2534</v>
      </c>
      <c r="F105" s="33">
        <f t="shared" si="53"/>
        <v>2552</v>
      </c>
      <c r="G105" s="33">
        <f t="shared" ref="G105" si="54">SUM(G101:G104)</f>
        <v>2595</v>
      </c>
      <c r="H105" s="33">
        <f t="shared" si="53"/>
        <v>2856</v>
      </c>
      <c r="I105" s="33">
        <f t="shared" si="53"/>
        <v>2850</v>
      </c>
      <c r="J105" s="33">
        <f t="shared" si="53"/>
        <v>2837</v>
      </c>
      <c r="K105" s="33">
        <f t="shared" si="53"/>
        <v>2855</v>
      </c>
      <c r="L105" s="33">
        <f t="shared" si="53"/>
        <v>2935</v>
      </c>
      <c r="M105" s="33">
        <f t="shared" si="53"/>
        <v>3079</v>
      </c>
      <c r="N105" s="33">
        <f t="shared" si="53"/>
        <v>3107</v>
      </c>
      <c r="O105" s="33">
        <f t="shared" si="53"/>
        <v>3100</v>
      </c>
      <c r="P105" s="32">
        <f t="shared" si="52"/>
        <v>3100</v>
      </c>
    </row>
    <row r="106" spans="1:16" s="2" customFormat="1" ht="15.6" customHeight="1" x14ac:dyDescent="0.3">
      <c r="A106" s="292" t="s">
        <v>210</v>
      </c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4"/>
    </row>
    <row r="107" spans="1:16" x14ac:dyDescent="0.3">
      <c r="A107" s="231" t="s">
        <v>193</v>
      </c>
      <c r="B107" s="232"/>
      <c r="C107" s="11" t="s">
        <v>3</v>
      </c>
      <c r="D107" s="26">
        <f>Bangula!D107+Chikwawa!D107+'Miseu Folo'!D107+Nchalo!D107+Nsanje!D107+Ngabu!D107</f>
        <v>5559</v>
      </c>
      <c r="E107" s="26">
        <f>Bangula!E107+Chikwawa!E107+'Miseu Folo'!E107+Nchalo!E107+Nsanje!E107+Ngabu!E107</f>
        <v>5574</v>
      </c>
      <c r="F107" s="26">
        <f>Bangula!F107+Chikwawa!F107+'Miseu Folo'!F107+Nchalo!F107+Nsanje!F107+Ngabu!F107</f>
        <v>5684</v>
      </c>
      <c r="G107" s="26">
        <f>Bangula!G107+Chikwawa!G107+'Miseu Folo'!G107+Nchalo!G107+Nsanje!G107+Ngabu!G107</f>
        <v>5763</v>
      </c>
      <c r="H107" s="26">
        <f>Bangula!H107+Chikwawa!H107+'Miseu Folo'!H107+Nchalo!H107+Nsanje!H107+Ngabu!H107</f>
        <v>5608</v>
      </c>
      <c r="I107" s="26">
        <f>Bangula!I107+Chikwawa!I107+'Miseu Folo'!I107+Nchalo!I107+Nsanje!I107+Ngabu!I107</f>
        <v>5689</v>
      </c>
      <c r="J107" s="26">
        <f>Bangula!J107+Chikwawa!J107+'Miseu Folo'!J107+Nchalo!J107+Nsanje!J107+Ngabu!J107</f>
        <v>5778</v>
      </c>
      <c r="K107" s="26">
        <f>Bangula!K107+Chikwawa!K107+'Miseu Folo'!K107+Nchalo!K107+Nsanje!K107+Ngabu!K107</f>
        <v>5828</v>
      </c>
      <c r="L107" s="26">
        <f>Bangula!L107+Chikwawa!L107+'Miseu Folo'!L107+Nchalo!L107+Nsanje!L107+Ngabu!L107</f>
        <v>5799</v>
      </c>
      <c r="M107" s="26">
        <f>Bangula!M107+Chikwawa!M107+'Miseu Folo'!M107+Nchalo!M107+Nsanje!M107+Ngabu!M107</f>
        <v>5728</v>
      </c>
      <c r="N107" s="26">
        <f>Bangula!N107+Chikwawa!N107+'Miseu Folo'!N107+Nchalo!N107+Nsanje!N107+Ngabu!N107</f>
        <v>5753</v>
      </c>
      <c r="O107" s="26">
        <f>Bangula!O107+Chikwawa!O107+'Miseu Folo'!O107+Nchalo!O107+Nsanje!O107+Ngabu!O107</f>
        <v>5827</v>
      </c>
      <c r="P107" s="32">
        <f t="shared" si="52"/>
        <v>5827</v>
      </c>
    </row>
    <row r="108" spans="1:16" x14ac:dyDescent="0.3">
      <c r="A108" s="231" t="s">
        <v>194</v>
      </c>
      <c r="B108" s="232"/>
      <c r="C108" s="11" t="s">
        <v>3</v>
      </c>
      <c r="D108" s="26">
        <f>Bangula!D108+Chikwawa!D108+'Miseu Folo'!D108+Nchalo!D108+Nsanje!D108+Ngabu!D108</f>
        <v>48</v>
      </c>
      <c r="E108" s="26">
        <f>Bangula!E108+Chikwawa!E108+'Miseu Folo'!E108+Nchalo!E108+Nsanje!E108+Ngabu!E108</f>
        <v>48</v>
      </c>
      <c r="F108" s="26">
        <f>Bangula!F108+Chikwawa!F108+'Miseu Folo'!F108+Nchalo!F108+Nsanje!F108+Ngabu!F108</f>
        <v>48</v>
      </c>
      <c r="G108" s="26">
        <f>Bangula!G108+Chikwawa!G108+'Miseu Folo'!G108+Nchalo!G108+Nsanje!G108+Ngabu!G108</f>
        <v>49</v>
      </c>
      <c r="H108" s="26">
        <f>Bangula!H108+Chikwawa!H108+'Miseu Folo'!H108+Nchalo!H108+Nsanje!H108+Ngabu!H108</f>
        <v>49</v>
      </c>
      <c r="I108" s="26">
        <f>Bangula!I108+Chikwawa!I108+'Miseu Folo'!I108+Nchalo!I108+Nsanje!I108+Ngabu!I108</f>
        <v>49</v>
      </c>
      <c r="J108" s="26">
        <f>Bangula!J108+Chikwawa!J108+'Miseu Folo'!J108+Nchalo!J108+Nsanje!J108+Ngabu!J108</f>
        <v>49</v>
      </c>
      <c r="K108" s="26">
        <f>Bangula!K108+Chikwawa!K108+'Miseu Folo'!K108+Nchalo!K108+Nsanje!K108+Ngabu!K108</f>
        <v>49</v>
      </c>
      <c r="L108" s="26">
        <f>Bangula!L108+Chikwawa!L108+'Miseu Folo'!L108+Nchalo!L108+Nsanje!L108+Ngabu!L108</f>
        <v>49</v>
      </c>
      <c r="M108" s="26">
        <f>Bangula!M108+Chikwawa!M108+'Miseu Folo'!M108+Nchalo!M108+Nsanje!M108+Ngabu!M108</f>
        <v>49</v>
      </c>
      <c r="N108" s="26">
        <f>Bangula!N108+Chikwawa!N108+'Miseu Folo'!N108+Nchalo!N108+Nsanje!N108+Ngabu!N108</f>
        <v>49</v>
      </c>
      <c r="O108" s="26">
        <f>Bangula!O108+Chikwawa!O108+'Miseu Folo'!O108+Nchalo!O108+Nsanje!O108+Ngabu!O108</f>
        <v>49</v>
      </c>
      <c r="P108" s="32">
        <f t="shared" si="52"/>
        <v>49</v>
      </c>
    </row>
    <row r="109" spans="1:16" x14ac:dyDescent="0.3">
      <c r="A109" s="231" t="s">
        <v>195</v>
      </c>
      <c r="B109" s="232"/>
      <c r="C109" s="11" t="s">
        <v>3</v>
      </c>
      <c r="D109" s="26">
        <f>Bangula!D109+Chikwawa!D109+'Miseu Folo'!D109+Nchalo!D109+Nsanje!D109+Ngabu!D109</f>
        <v>29</v>
      </c>
      <c r="E109" s="26">
        <f>Bangula!E109+Chikwawa!E109+'Miseu Folo'!E109+Nchalo!E109+Nsanje!E109+Ngabu!E109</f>
        <v>29</v>
      </c>
      <c r="F109" s="26">
        <f>Bangula!F109+Chikwawa!F109+'Miseu Folo'!F109+Nchalo!F109+Nsanje!F109+Ngabu!F109</f>
        <v>30</v>
      </c>
      <c r="G109" s="26">
        <f>Bangula!G109+Chikwawa!G109+'Miseu Folo'!G109+Nchalo!G109+Nsanje!G109+Ngabu!G109</f>
        <v>30</v>
      </c>
      <c r="H109" s="26">
        <f>Bangula!H109+Chikwawa!H109+'Miseu Folo'!H109+Nchalo!H109+Nsanje!H109+Ngabu!H109</f>
        <v>30</v>
      </c>
      <c r="I109" s="26">
        <f>Bangula!I109+Chikwawa!I109+'Miseu Folo'!I109+Nchalo!I109+Nsanje!I109+Ngabu!I109</f>
        <v>30</v>
      </c>
      <c r="J109" s="26">
        <f>Bangula!J109+Chikwawa!J109+'Miseu Folo'!J109+Nchalo!J109+Nsanje!J109+Ngabu!J109</f>
        <v>30</v>
      </c>
      <c r="K109" s="26">
        <f>Bangula!K109+Chikwawa!K109+'Miseu Folo'!K109+Nchalo!K109+Nsanje!K109+Ngabu!K109</f>
        <v>30</v>
      </c>
      <c r="L109" s="26">
        <f>Bangula!L109+Chikwawa!L109+'Miseu Folo'!L109+Nchalo!L109+Nsanje!L109+Ngabu!L109</f>
        <v>30</v>
      </c>
      <c r="M109" s="26">
        <f>Bangula!M109+Chikwawa!M109+'Miseu Folo'!M109+Nchalo!M109+Nsanje!M109+Ngabu!M109</f>
        <v>30</v>
      </c>
      <c r="N109" s="26">
        <f>Bangula!N109+Chikwawa!N109+'Miseu Folo'!N109+Nchalo!N109+Nsanje!N109+Ngabu!N109</f>
        <v>30</v>
      </c>
      <c r="O109" s="26">
        <f>Bangula!O109+Chikwawa!O109+'Miseu Folo'!O109+Nchalo!O109+Nsanje!O109+Ngabu!O109</f>
        <v>30</v>
      </c>
      <c r="P109" s="32">
        <f t="shared" si="52"/>
        <v>30</v>
      </c>
    </row>
    <row r="110" spans="1:16" x14ac:dyDescent="0.3">
      <c r="A110" s="231" t="s">
        <v>196</v>
      </c>
      <c r="B110" s="232"/>
      <c r="C110" s="11" t="s">
        <v>3</v>
      </c>
      <c r="D110" s="26">
        <f>Bangula!D110+Chikwawa!D110+'Miseu Folo'!D110+Nchalo!D110+Nsanje!D110+Ngabu!D110</f>
        <v>65</v>
      </c>
      <c r="E110" s="26">
        <f>Bangula!E110+Chikwawa!E110+'Miseu Folo'!E110+Nchalo!E110+Nsanje!E110+Ngabu!E110</f>
        <v>65</v>
      </c>
      <c r="F110" s="26">
        <f>Bangula!F110+Chikwawa!F110+'Miseu Folo'!F110+Nchalo!F110+Nsanje!F110+Ngabu!F110</f>
        <v>65</v>
      </c>
      <c r="G110" s="26">
        <f>Bangula!G110+Chikwawa!G110+'Miseu Folo'!G110+Nchalo!G110+Nsanje!G110+Ngabu!G110</f>
        <v>65</v>
      </c>
      <c r="H110" s="26">
        <f>Bangula!H110+Chikwawa!H110+'Miseu Folo'!H110+Nchalo!H110+Nsanje!H110+Ngabu!H110</f>
        <v>65</v>
      </c>
      <c r="I110" s="26">
        <f>Bangula!I110+Chikwawa!I110+'Miseu Folo'!I110+Nchalo!I110+Nsanje!I110+Ngabu!I110</f>
        <v>66</v>
      </c>
      <c r="J110" s="26">
        <f>Bangula!J110+Chikwawa!J110+'Miseu Folo'!J110+Nchalo!J110+Nsanje!J110+Ngabu!J110</f>
        <v>66</v>
      </c>
      <c r="K110" s="26">
        <f>Bangula!K110+Chikwawa!K110+'Miseu Folo'!K110+Nchalo!K110+Nsanje!K110+Ngabu!K110</f>
        <v>66</v>
      </c>
      <c r="L110" s="26">
        <f>Bangula!L110+Chikwawa!L110+'Miseu Folo'!L110+Nchalo!L110+Nsanje!L110+Ngabu!L110</f>
        <v>66</v>
      </c>
      <c r="M110" s="26">
        <f>Bangula!M110+Chikwawa!M110+'Miseu Folo'!M110+Nchalo!M110+Nsanje!M110+Ngabu!M110</f>
        <v>66</v>
      </c>
      <c r="N110" s="26">
        <f>Bangula!N110+Chikwawa!N110+'Miseu Folo'!N110+Nchalo!N110+Nsanje!N110+Ngabu!N110</f>
        <v>66</v>
      </c>
      <c r="O110" s="26">
        <f>Bangula!O110+Chikwawa!O110+'Miseu Folo'!O110+Nchalo!O110+Nsanje!O110+Ngabu!O110</f>
        <v>66</v>
      </c>
      <c r="P110" s="32">
        <f t="shared" si="52"/>
        <v>66</v>
      </c>
    </row>
    <row r="111" spans="1:16" x14ac:dyDescent="0.3">
      <c r="A111" s="233" t="s">
        <v>95</v>
      </c>
      <c r="B111" s="234"/>
      <c r="C111" s="11" t="s">
        <v>3</v>
      </c>
      <c r="D111" s="33">
        <f>SUM(D107:D110)</f>
        <v>5701</v>
      </c>
      <c r="E111" s="33">
        <f t="shared" ref="E111:O111" si="55">SUM(E107:E110)</f>
        <v>5716</v>
      </c>
      <c r="F111" s="33">
        <f t="shared" si="55"/>
        <v>5827</v>
      </c>
      <c r="G111" s="33">
        <f t="shared" ref="G111" si="56">SUM(G107:G110)</f>
        <v>5907</v>
      </c>
      <c r="H111" s="33">
        <f t="shared" si="55"/>
        <v>5752</v>
      </c>
      <c r="I111" s="33">
        <f t="shared" si="55"/>
        <v>5834</v>
      </c>
      <c r="J111" s="33">
        <f t="shared" si="55"/>
        <v>5923</v>
      </c>
      <c r="K111" s="33">
        <f t="shared" si="55"/>
        <v>5973</v>
      </c>
      <c r="L111" s="33">
        <f t="shared" si="55"/>
        <v>5944</v>
      </c>
      <c r="M111" s="33">
        <f t="shared" si="55"/>
        <v>5873</v>
      </c>
      <c r="N111" s="33">
        <f t="shared" si="55"/>
        <v>5898</v>
      </c>
      <c r="O111" s="33">
        <f t="shared" si="55"/>
        <v>5972</v>
      </c>
      <c r="P111" s="32">
        <f t="shared" si="52"/>
        <v>5972</v>
      </c>
    </row>
    <row r="112" spans="1:16" s="2" customFormat="1" ht="15.6" customHeight="1" x14ac:dyDescent="0.3">
      <c r="A112" s="273" t="s">
        <v>210</v>
      </c>
      <c r="B112" s="274"/>
      <c r="C112" s="274"/>
      <c r="D112" s="274"/>
      <c r="E112" s="274"/>
      <c r="F112" s="274"/>
      <c r="G112" s="274"/>
      <c r="H112" s="274"/>
      <c r="I112" s="274"/>
      <c r="J112" s="274"/>
      <c r="K112" s="274"/>
      <c r="L112" s="274"/>
      <c r="M112" s="274"/>
      <c r="N112" s="274"/>
      <c r="O112" s="274"/>
      <c r="P112" s="275"/>
    </row>
    <row r="113" spans="1:16" x14ac:dyDescent="0.3">
      <c r="A113" s="231" t="s">
        <v>197</v>
      </c>
      <c r="B113" s="232"/>
      <c r="C113" s="11" t="s">
        <v>3</v>
      </c>
      <c r="D113" s="26">
        <f>Bangula!D113+Chikwawa!D113+'Miseu Folo'!D113+Nchalo!D113+Nsanje!D113+Ngabu!D113</f>
        <v>2315</v>
      </c>
      <c r="E113" s="26">
        <f>Bangula!E113+Chikwawa!E113+'Miseu Folo'!E113+Nchalo!E113+Nsanje!E113+Ngabu!E113</f>
        <v>2675</v>
      </c>
      <c r="F113" s="26">
        <f>Bangula!F113+Chikwawa!F113+'Miseu Folo'!F113+Nchalo!F113+Nsanje!F113+Ngabu!F113</f>
        <v>3000</v>
      </c>
      <c r="G113" s="26">
        <f>Bangula!G113+Chikwawa!G113+'Miseu Folo'!G113+Nchalo!G113+Nsanje!G113+Ngabu!G113</f>
        <v>3289</v>
      </c>
      <c r="H113" s="26">
        <f>Bangula!H113+Chikwawa!H113+'Miseu Folo'!H113+Nchalo!H113+Nsanje!H113+Ngabu!H113</f>
        <v>2317</v>
      </c>
      <c r="I113" s="26">
        <f>Bangula!I113+Chikwawa!I113+'Miseu Folo'!I113+Nchalo!I113+Nsanje!I113+Ngabu!I113</f>
        <v>2336</v>
      </c>
      <c r="J113" s="26">
        <f>Bangula!J113+Chikwawa!J113+'Miseu Folo'!J113+Nchalo!J113+Nsanje!J113+Ngabu!J113</f>
        <v>2336</v>
      </c>
      <c r="K113" s="26">
        <f>Bangula!K113+Chikwawa!K113+'Miseu Folo'!K113+Nchalo!K113+Nsanje!K113+Ngabu!K113</f>
        <v>2343</v>
      </c>
      <c r="L113" s="26">
        <f>Bangula!L113+Chikwawa!L113+'Miseu Folo'!L113+Nchalo!L113+Nsanje!L113+Ngabu!L113</f>
        <v>2347</v>
      </c>
      <c r="M113" s="26">
        <f>Bangula!M113+Chikwawa!M113+'Miseu Folo'!M113+Nchalo!M113+Nsanje!M113+Ngabu!M113</f>
        <v>2347</v>
      </c>
      <c r="N113" s="26">
        <f>Bangula!N113+Chikwawa!N113+'Miseu Folo'!N113+Nchalo!N113+Nsanje!N113+Ngabu!N113</f>
        <v>2347</v>
      </c>
      <c r="O113" s="26">
        <f>Bangula!O113+Chikwawa!O113+'Miseu Folo'!O113+Nchalo!O113+Nsanje!O113+Ngabu!O113</f>
        <v>2347</v>
      </c>
      <c r="P113" s="32">
        <f>O113</f>
        <v>2347</v>
      </c>
    </row>
    <row r="114" spans="1:16" x14ac:dyDescent="0.3">
      <c r="A114" s="231" t="s">
        <v>198</v>
      </c>
      <c r="B114" s="232"/>
      <c r="C114" s="11" t="s">
        <v>3</v>
      </c>
      <c r="D114" s="26">
        <f>Bangula!D114+Chikwawa!D114+'Miseu Folo'!D114+Nchalo!D114+Nsanje!D114+Ngabu!D114</f>
        <v>188</v>
      </c>
      <c r="E114" s="26">
        <f>Bangula!E114+Chikwawa!E114+'Miseu Folo'!E114+Nchalo!E114+Nsanje!E114+Ngabu!E114</f>
        <v>188</v>
      </c>
      <c r="F114" s="26">
        <f>Bangula!F114+Chikwawa!F114+'Miseu Folo'!F114+Nchalo!F114+Nsanje!F114+Ngabu!F114</f>
        <v>188</v>
      </c>
      <c r="G114" s="26">
        <f>Bangula!G114+Chikwawa!G114+'Miseu Folo'!G114+Nchalo!G114+Nsanje!G114+Ngabu!G114</f>
        <v>188</v>
      </c>
      <c r="H114" s="26">
        <f>Bangula!H114+Chikwawa!H114+'Miseu Folo'!H114+Nchalo!H114+Nsanje!H114+Ngabu!H114</f>
        <v>188</v>
      </c>
      <c r="I114" s="26">
        <f>Bangula!I114+Chikwawa!I114+'Miseu Folo'!I114+Nchalo!I114+Nsanje!I114+Ngabu!I114</f>
        <v>188</v>
      </c>
      <c r="J114" s="26">
        <f>Bangula!J114+Chikwawa!J114+'Miseu Folo'!J114+Nchalo!J114+Nsanje!J114+Ngabu!J114</f>
        <v>188</v>
      </c>
      <c r="K114" s="26">
        <f>Bangula!K114+Chikwawa!K114+'Miseu Folo'!K114+Nchalo!K114+Nsanje!K114+Ngabu!K114</f>
        <v>188</v>
      </c>
      <c r="L114" s="26">
        <f>Bangula!L114+Chikwawa!L114+'Miseu Folo'!L114+Nchalo!L114+Nsanje!L114+Ngabu!L114</f>
        <v>188</v>
      </c>
      <c r="M114" s="26">
        <f>Bangula!M114+Chikwawa!M114+'Miseu Folo'!M114+Nchalo!M114+Nsanje!M114+Ngabu!M114</f>
        <v>188</v>
      </c>
      <c r="N114" s="26">
        <f>Bangula!N114+Chikwawa!N114+'Miseu Folo'!N114+Nchalo!N114+Nsanje!N114+Ngabu!N114</f>
        <v>188</v>
      </c>
      <c r="O114" s="26">
        <f>Bangula!O114+Chikwawa!O114+'Miseu Folo'!O114+Nchalo!O114+Nsanje!O114+Ngabu!O114</f>
        <v>188</v>
      </c>
      <c r="P114" s="32">
        <f>O114</f>
        <v>188</v>
      </c>
    </row>
    <row r="115" spans="1:16" x14ac:dyDescent="0.3">
      <c r="A115" s="231" t="s">
        <v>199</v>
      </c>
      <c r="B115" s="232"/>
      <c r="C115" s="11" t="s">
        <v>3</v>
      </c>
      <c r="D115" s="26">
        <f>Bangula!D115+Chikwawa!D115+'Miseu Folo'!D115+Nchalo!D115+Nsanje!D115+Ngabu!D115</f>
        <v>231</v>
      </c>
      <c r="E115" s="26">
        <f>Bangula!E115+Chikwawa!E115+'Miseu Folo'!E115+Nchalo!E115+Nsanje!E115+Ngabu!E115</f>
        <v>231</v>
      </c>
      <c r="F115" s="26">
        <f>Bangula!F115+Chikwawa!F115+'Miseu Folo'!F115+Nchalo!F115+Nsanje!F115+Ngabu!F115</f>
        <v>231</v>
      </c>
      <c r="G115" s="26">
        <f>Bangula!G115+Chikwawa!G115+'Miseu Folo'!G115+Nchalo!G115+Nsanje!G115+Ngabu!G115</f>
        <v>231</v>
      </c>
      <c r="H115" s="26">
        <f>Bangula!H115+Chikwawa!H115+'Miseu Folo'!H115+Nchalo!H115+Nsanje!H115+Ngabu!H115</f>
        <v>232</v>
      </c>
      <c r="I115" s="26">
        <f>Bangula!I115+Chikwawa!I115+'Miseu Folo'!I115+Nchalo!I115+Nsanje!I115+Ngabu!I115</f>
        <v>232</v>
      </c>
      <c r="J115" s="26">
        <f>Bangula!J115+Chikwawa!J115+'Miseu Folo'!J115+Nchalo!J115+Nsanje!J115+Ngabu!J115</f>
        <v>232</v>
      </c>
      <c r="K115" s="26">
        <f>Bangula!K115+Chikwawa!K115+'Miseu Folo'!K115+Nchalo!K115+Nsanje!K115+Ngabu!K115</f>
        <v>234</v>
      </c>
      <c r="L115" s="26">
        <f>Bangula!L115+Chikwawa!L115+'Miseu Folo'!L115+Nchalo!L115+Nsanje!L115+Ngabu!L115</f>
        <v>232</v>
      </c>
      <c r="M115" s="26">
        <f>Bangula!M115+Chikwawa!M115+'Miseu Folo'!M115+Nchalo!M115+Nsanje!M115+Ngabu!M115</f>
        <v>232</v>
      </c>
      <c r="N115" s="26">
        <f>Bangula!N115+Chikwawa!N115+'Miseu Folo'!N115+Nchalo!N115+Nsanje!N115+Ngabu!N115</f>
        <v>232</v>
      </c>
      <c r="O115" s="26">
        <f>Bangula!O115+Chikwawa!O115+'Miseu Folo'!O115+Nchalo!O115+Nsanje!O115+Ngabu!O115</f>
        <v>232</v>
      </c>
      <c r="P115" s="32">
        <f t="shared" ref="P115:P116" si="57">O115</f>
        <v>232</v>
      </c>
    </row>
    <row r="116" spans="1:16" x14ac:dyDescent="0.3">
      <c r="A116" s="231" t="s">
        <v>200</v>
      </c>
      <c r="B116" s="232"/>
      <c r="C116" s="11" t="s">
        <v>3</v>
      </c>
      <c r="D116" s="26">
        <f>Bangula!D116+Chikwawa!D116+'Miseu Folo'!D116+Nchalo!D116+Nsanje!D116+Ngabu!D116</f>
        <v>21</v>
      </c>
      <c r="E116" s="26">
        <f>Bangula!E116+Chikwawa!E116+'Miseu Folo'!E116+Nchalo!E116+Nsanje!E116+Ngabu!E116</f>
        <v>21</v>
      </c>
      <c r="F116" s="26">
        <f>Bangula!F116+Chikwawa!F116+'Miseu Folo'!F116+Nchalo!F116+Nsanje!F116+Ngabu!F116</f>
        <v>21</v>
      </c>
      <c r="G116" s="26">
        <f>Bangula!G116+Chikwawa!G116+'Miseu Folo'!G116+Nchalo!G116+Nsanje!G116+Ngabu!G116</f>
        <v>21</v>
      </c>
      <c r="H116" s="26">
        <f>Bangula!H116+Chikwawa!H116+'Miseu Folo'!H116+Nchalo!H116+Nsanje!H116+Ngabu!H116</f>
        <v>21</v>
      </c>
      <c r="I116" s="26">
        <f>Bangula!I116+Chikwawa!I116+'Miseu Folo'!I116+Nchalo!I116+Nsanje!I116+Ngabu!I116</f>
        <v>21</v>
      </c>
      <c r="J116" s="26">
        <f>Bangula!J116+Chikwawa!J116+'Miseu Folo'!J116+Nchalo!J116+Nsanje!J116+Ngabu!J116</f>
        <v>21</v>
      </c>
      <c r="K116" s="26">
        <f>Bangula!K116+Chikwawa!K116+'Miseu Folo'!K116+Nchalo!K116+Nsanje!K116+Ngabu!K116</f>
        <v>21</v>
      </c>
      <c r="L116" s="26">
        <f>Bangula!L116+Chikwawa!L116+'Miseu Folo'!L116+Nchalo!L116+Nsanje!L116+Ngabu!L116</f>
        <v>21</v>
      </c>
      <c r="M116" s="26">
        <f>Bangula!M116+Chikwawa!M116+'Miseu Folo'!M116+Nchalo!M116+Nsanje!M116+Ngabu!M116</f>
        <v>21</v>
      </c>
      <c r="N116" s="26">
        <f>Bangula!N116+Chikwawa!N116+'Miseu Folo'!N116+Nchalo!N116+Nsanje!N116+Ngabu!N116</f>
        <v>21</v>
      </c>
      <c r="O116" s="26">
        <f>Bangula!O116+Chikwawa!O116+'Miseu Folo'!O116+Nchalo!O116+Nsanje!O116+Ngabu!O116</f>
        <v>21</v>
      </c>
      <c r="P116" s="32">
        <f t="shared" si="57"/>
        <v>21</v>
      </c>
    </row>
    <row r="117" spans="1:16" x14ac:dyDescent="0.3">
      <c r="A117" s="233" t="s">
        <v>94</v>
      </c>
      <c r="B117" s="234"/>
      <c r="C117" s="11" t="s">
        <v>3</v>
      </c>
      <c r="D117" s="33">
        <f>SUM(D113:D116)</f>
        <v>2755</v>
      </c>
      <c r="E117" s="33">
        <f>SUM(E113:E116)</f>
        <v>3115</v>
      </c>
      <c r="F117" s="33">
        <f>SUM(F113:F116)</f>
        <v>3440</v>
      </c>
      <c r="G117" s="33">
        <f>SUM(G113:G116)</f>
        <v>3729</v>
      </c>
      <c r="H117" s="33">
        <f>SUM(H113:H116)</f>
        <v>2758</v>
      </c>
      <c r="I117" s="33">
        <f t="shared" ref="I117:O117" si="58">SUM(I113:I116)</f>
        <v>2777</v>
      </c>
      <c r="J117" s="33">
        <f t="shared" si="58"/>
        <v>2777</v>
      </c>
      <c r="K117" s="33">
        <f t="shared" si="58"/>
        <v>2786</v>
      </c>
      <c r="L117" s="33">
        <f t="shared" si="58"/>
        <v>2788</v>
      </c>
      <c r="M117" s="33">
        <f t="shared" si="58"/>
        <v>2788</v>
      </c>
      <c r="N117" s="33">
        <f t="shared" si="58"/>
        <v>2788</v>
      </c>
      <c r="O117" s="33">
        <f t="shared" si="58"/>
        <v>2788</v>
      </c>
      <c r="P117" s="55">
        <f t="shared" ref="P117" si="59">SUM(P113:P116)</f>
        <v>2788</v>
      </c>
    </row>
    <row r="118" spans="1:16" s="2" customFormat="1" x14ac:dyDescent="0.3">
      <c r="A118" s="320" t="s">
        <v>191</v>
      </c>
      <c r="B118" s="321"/>
      <c r="C118" s="11" t="s">
        <v>3</v>
      </c>
      <c r="D118" s="33">
        <f>D111+D117</f>
        <v>8456</v>
      </c>
      <c r="E118" s="33">
        <f>E111+E117</f>
        <v>8831</v>
      </c>
      <c r="F118" s="33">
        <f>F111+F117</f>
        <v>9267</v>
      </c>
      <c r="G118" s="33">
        <f>G111+G117</f>
        <v>9636</v>
      </c>
      <c r="H118" s="33">
        <f>H111+H117</f>
        <v>8510</v>
      </c>
      <c r="I118" s="33">
        <f t="shared" ref="I118:P118" si="60">I111+I117</f>
        <v>8611</v>
      </c>
      <c r="J118" s="33">
        <f t="shared" si="60"/>
        <v>8700</v>
      </c>
      <c r="K118" s="33">
        <f t="shared" si="60"/>
        <v>8759</v>
      </c>
      <c r="L118" s="33">
        <f t="shared" si="60"/>
        <v>8732</v>
      </c>
      <c r="M118" s="33">
        <f t="shared" si="60"/>
        <v>8661</v>
      </c>
      <c r="N118" s="33">
        <f t="shared" si="60"/>
        <v>8686</v>
      </c>
      <c r="O118" s="33">
        <f t="shared" si="60"/>
        <v>8760</v>
      </c>
      <c r="P118" s="55">
        <f t="shared" si="60"/>
        <v>8760</v>
      </c>
    </row>
    <row r="119" spans="1:16" x14ac:dyDescent="0.3">
      <c r="A119" s="233" t="s">
        <v>192</v>
      </c>
      <c r="B119" s="234"/>
      <c r="C119" s="11" t="s">
        <v>3</v>
      </c>
      <c r="D119" s="33">
        <f>D118+D105</f>
        <v>10955</v>
      </c>
      <c r="E119" s="33">
        <f>E118+E105</f>
        <v>11365</v>
      </c>
      <c r="F119" s="337">
        <f>F118+F105</f>
        <v>11819</v>
      </c>
      <c r="G119" s="33">
        <f>G118+G105</f>
        <v>12231</v>
      </c>
      <c r="H119" s="33">
        <f>H118+H105</f>
        <v>11366</v>
      </c>
      <c r="I119" s="33">
        <f t="shared" ref="I119:P119" si="61">I118+I105</f>
        <v>11461</v>
      </c>
      <c r="J119" s="33">
        <f t="shared" si="61"/>
        <v>11537</v>
      </c>
      <c r="K119" s="33">
        <f t="shared" si="61"/>
        <v>11614</v>
      </c>
      <c r="L119" s="33">
        <f t="shared" si="61"/>
        <v>11667</v>
      </c>
      <c r="M119" s="33">
        <f t="shared" si="61"/>
        <v>11740</v>
      </c>
      <c r="N119" s="33">
        <f t="shared" si="61"/>
        <v>11793</v>
      </c>
      <c r="O119" s="33">
        <f t="shared" si="61"/>
        <v>11860</v>
      </c>
      <c r="P119" s="55">
        <f t="shared" si="61"/>
        <v>11860</v>
      </c>
    </row>
    <row r="120" spans="1:16" ht="14.4" x14ac:dyDescent="0.3">
      <c r="A120" s="277" t="s">
        <v>201</v>
      </c>
      <c r="B120" s="278"/>
      <c r="C120" s="278"/>
      <c r="D120" s="278"/>
      <c r="E120" s="278"/>
      <c r="F120" s="278"/>
      <c r="G120" s="278"/>
      <c r="H120" s="278"/>
      <c r="I120" s="278"/>
      <c r="J120" s="278"/>
      <c r="K120" s="278"/>
      <c r="L120" s="278"/>
      <c r="M120" s="278"/>
      <c r="N120" s="278"/>
      <c r="O120" s="278"/>
      <c r="P120" s="279"/>
    </row>
    <row r="121" spans="1:16" x14ac:dyDescent="0.3">
      <c r="A121" s="231" t="s">
        <v>93</v>
      </c>
      <c r="B121" s="232"/>
      <c r="C121" s="5" t="s">
        <v>3</v>
      </c>
      <c r="D121" s="26">
        <f>Bangula!D121+Chikwawa!D121+'Miseu Folo'!D121+Nchalo!D121+Nsanje!D121+Ngabu!D121</f>
        <v>98610</v>
      </c>
      <c r="E121" s="26">
        <f>Bangula!E121+Chikwawa!E121+'Miseu Folo'!E121+Nchalo!E121+Nsanje!E121+Ngabu!E121</f>
        <v>98796.069900000002</v>
      </c>
      <c r="F121" s="26">
        <f>Bangula!F121+Chikwawa!F121+'Miseu Folo'!F121+Nchalo!F121+Nsanje!F121+Ngabu!F121</f>
        <v>98982.492984630022</v>
      </c>
      <c r="G121" s="26">
        <f>Bangula!G121+Chikwawa!G121+'Miseu Folo'!G121+Nchalo!G121+Nsanje!G121+Ngabu!G121</f>
        <v>99169.269928035486</v>
      </c>
      <c r="H121" s="26">
        <f>Bangula!H121+Chikwawa!H121+'Miseu Folo'!H121+Nchalo!H121+Nsanje!H121+Ngabu!H121</f>
        <v>99356.401405655401</v>
      </c>
      <c r="I121" s="26">
        <f>Bangula!I121+Chikwawa!I121+'Miseu Folo'!I121+Nchalo!I121+Nsanje!I121+Ngabu!I121</f>
        <v>106743.66424810211</v>
      </c>
      <c r="J121" s="26">
        <f>Bangula!J121+Chikwawa!J121+'Miseu Folo'!J121+Nchalo!J121+Nsanje!J121+Ngabu!J121</f>
        <v>106945.90404511598</v>
      </c>
      <c r="K121" s="26">
        <f>Bangula!K121+Chikwawa!K121+'Miseu Folo'!K121+Nchalo!K121+Nsanje!K121+Ngabu!K121</f>
        <v>107148.52920092038</v>
      </c>
      <c r="L121" s="26">
        <f>Bangula!L121+Chikwawa!L121+'Miseu Folo'!L121+Nchalo!L121+Nsanje!L121+Ngabu!L121</f>
        <v>107343.72457400792</v>
      </c>
      <c r="M121" s="26">
        <f>Bangula!M121+Chikwawa!M121+'Miseu Folo'!M121+Nchalo!M121+Nsanje!M121+Ngabu!M121</f>
        <v>107547.10937645561</v>
      </c>
      <c r="N121" s="26">
        <f>Bangula!N121+Chikwawa!N121+'Miseu Folo'!N121+Nchalo!N121+Nsanje!N121+Ngabu!N121</f>
        <v>107750.88173400881</v>
      </c>
      <c r="O121" s="26">
        <f>Bangula!O121+Chikwawa!O121+'Miseu Folo'!O121+Nchalo!O121+Nsanje!O121+Ngabu!O121</f>
        <v>107955.04238911308</v>
      </c>
      <c r="P121" s="31">
        <f>O121</f>
        <v>107955.04238911308</v>
      </c>
    </row>
    <row r="122" spans="1:16" x14ac:dyDescent="0.3">
      <c r="A122" s="231" t="s">
        <v>92</v>
      </c>
      <c r="B122" s="232"/>
      <c r="C122" s="5" t="s">
        <v>3</v>
      </c>
      <c r="D122" s="26">
        <f>Bangula!D122+Chikwawa!D122+'Miseu Folo'!D122+Nchalo!D122+Nsanje!D122+Ngabu!D122</f>
        <v>70018</v>
      </c>
      <c r="E122" s="26">
        <f>Bangula!E122+Chikwawa!E122+'Miseu Folo'!E122+Nchalo!E122+Nsanje!E122+Ngabu!E122</f>
        <v>70018</v>
      </c>
      <c r="F122" s="26">
        <f>Bangula!F122+Chikwawa!F122+'Miseu Folo'!F122+Nchalo!F122+Nsanje!F122+Ngabu!F122</f>
        <v>70018</v>
      </c>
      <c r="G122" s="26">
        <f>Bangula!G122+Chikwawa!G122+'Miseu Folo'!G122+Nchalo!G122+Nsanje!G122+Ngabu!G122</f>
        <v>70018</v>
      </c>
      <c r="H122" s="26">
        <f>Bangula!H122+Chikwawa!H122+'Miseu Folo'!H122+Nchalo!H122+Nsanje!H122+Ngabu!H122</f>
        <v>70148</v>
      </c>
      <c r="I122" s="26">
        <f>Bangula!I122+Chikwawa!I122+'Miseu Folo'!I122+Nchalo!I122+Nsanje!I122+Ngabu!I122</f>
        <v>75537</v>
      </c>
      <c r="J122" s="26">
        <f>Bangula!J122+Chikwawa!J122+'Miseu Folo'!J122+Nchalo!J122+Nsanje!J122+Ngabu!J122</f>
        <v>75563</v>
      </c>
      <c r="K122" s="26">
        <f>Bangula!K122+Chikwawa!K122+'Miseu Folo'!K122+Nchalo!K122+Nsanje!K122+Ngabu!K122</f>
        <v>75589</v>
      </c>
      <c r="L122" s="26">
        <f>Bangula!L122+Chikwawa!L122+'Miseu Folo'!L122+Nchalo!L122+Nsanje!L122+Ngabu!L122</f>
        <v>76334</v>
      </c>
      <c r="M122" s="26">
        <f>Bangula!M122+Chikwawa!M122+'Miseu Folo'!M122+Nchalo!M122+Nsanje!M122+Ngabu!M122</f>
        <v>76656</v>
      </c>
      <c r="N122" s="26">
        <f>Bangula!N122+Chikwawa!N122+'Miseu Folo'!N122+Nchalo!N122+Nsanje!N122+Ngabu!N122</f>
        <v>76708</v>
      </c>
      <c r="O122" s="26">
        <f>Bangula!O122+Chikwawa!O122+'Miseu Folo'!O122+Nchalo!O122+Nsanje!O122+Ngabu!O122</f>
        <v>76690</v>
      </c>
      <c r="P122" s="31">
        <f>O122</f>
        <v>76690</v>
      </c>
    </row>
    <row r="123" spans="1:16" x14ac:dyDescent="0.3">
      <c r="A123" s="280" t="s">
        <v>91</v>
      </c>
      <c r="B123" s="281"/>
      <c r="C123" s="30" t="s">
        <v>6</v>
      </c>
      <c r="D123" s="29">
        <f t="shared" ref="D123:P123" si="62">D122/D121</f>
        <v>0.71004969070074031</v>
      </c>
      <c r="E123" s="29">
        <f t="shared" si="62"/>
        <v>0.70871240192925933</v>
      </c>
      <c r="F123" s="29">
        <f t="shared" si="62"/>
        <v>0.70737761687687917</v>
      </c>
      <c r="G123" s="29">
        <f t="shared" si="62"/>
        <v>0.70604533088536614</v>
      </c>
      <c r="H123" s="29">
        <f t="shared" si="62"/>
        <v>0.70602396028412473</v>
      </c>
      <c r="I123" s="29">
        <f t="shared" si="62"/>
        <v>0.7076485572429938</v>
      </c>
      <c r="J123" s="29">
        <f t="shared" si="62"/>
        <v>0.70655347369005495</v>
      </c>
      <c r="K123" s="29">
        <f t="shared" si="62"/>
        <v>0.70545998683993794</v>
      </c>
      <c r="L123" s="29">
        <f t="shared" si="62"/>
        <v>0.71111749012744263</v>
      </c>
      <c r="M123" s="29">
        <f t="shared" si="62"/>
        <v>0.71276671632033339</v>
      </c>
      <c r="N123" s="29">
        <f t="shared" si="62"/>
        <v>0.71190136698240192</v>
      </c>
      <c r="O123" s="29">
        <f t="shared" si="62"/>
        <v>0.71038830889972349</v>
      </c>
      <c r="P123" s="109">
        <f t="shared" si="62"/>
        <v>0.71038830889972349</v>
      </c>
    </row>
    <row r="124" spans="1:16" ht="14.4" x14ac:dyDescent="0.3">
      <c r="A124" s="303" t="s">
        <v>90</v>
      </c>
      <c r="B124" s="304"/>
      <c r="C124" s="304"/>
      <c r="D124" s="304"/>
      <c r="E124" s="304"/>
      <c r="F124" s="304"/>
      <c r="G124" s="304"/>
      <c r="H124" s="304"/>
      <c r="I124" s="304"/>
      <c r="J124" s="304"/>
      <c r="K124" s="304"/>
      <c r="L124" s="304"/>
      <c r="M124" s="304"/>
      <c r="N124" s="304"/>
      <c r="O124" s="304"/>
      <c r="P124" s="305"/>
    </row>
    <row r="125" spans="1:16" x14ac:dyDescent="0.3">
      <c r="A125" s="241" t="s">
        <v>227</v>
      </c>
      <c r="B125" s="24" t="s">
        <v>85</v>
      </c>
      <c r="C125" s="11" t="s">
        <v>3</v>
      </c>
      <c r="D125" s="132">
        <f>Bangula!D125+Chikwawa!D125+'Miseu Folo'!D125+Nchalo!D125+Nsanje!D125+Ngabu!D125</f>
        <v>1</v>
      </c>
      <c r="E125" s="132">
        <f>Bangula!E125+Chikwawa!E125+'Miseu Folo'!E125+Nchalo!E125+Nsanje!E125+Ngabu!E125</f>
        <v>1</v>
      </c>
      <c r="F125" s="132">
        <f>Bangula!F125+Chikwawa!F125+'Miseu Folo'!F125+Nchalo!F125+Nsanje!F125+Ngabu!F125</f>
        <v>1</v>
      </c>
      <c r="G125" s="132">
        <f>Bangula!G125+Chikwawa!G125+'Miseu Folo'!G125+Nchalo!G125+Nsanje!G125+Ngabu!G125</f>
        <v>1</v>
      </c>
      <c r="H125" s="132">
        <f>Bangula!H125+Chikwawa!H125+'Miseu Folo'!H125+Nchalo!H125+Nsanje!H125+Ngabu!H125</f>
        <v>1</v>
      </c>
      <c r="I125" s="132">
        <f>Bangula!I125+Chikwawa!I125+'Miseu Folo'!I125+Nchalo!I125+Nsanje!I125+Ngabu!I125</f>
        <v>2</v>
      </c>
      <c r="J125" s="132">
        <f>Bangula!J125+Chikwawa!J125+'Miseu Folo'!J125+Nchalo!J125+Nsanje!J125+Ngabu!J125</f>
        <v>1</v>
      </c>
      <c r="K125" s="132">
        <f>Bangula!K125+Chikwawa!K125+'Miseu Folo'!K125+Nchalo!K125+Nsanje!K125+Ngabu!K125</f>
        <v>1</v>
      </c>
      <c r="L125" s="132">
        <f>Bangula!L125+Chikwawa!L125+'Miseu Folo'!L125+Nchalo!L125+Nsanje!L125+Ngabu!L125</f>
        <v>1</v>
      </c>
      <c r="M125" s="132">
        <f>Bangula!M125+Chikwawa!M125+'Miseu Folo'!M125+Nchalo!M125+Nsanje!M125+Ngabu!M125</f>
        <v>1</v>
      </c>
      <c r="N125" s="132">
        <f>Bangula!N125+Chikwawa!N125+'Miseu Folo'!N125+Nchalo!N125+Nsanje!N125+Ngabu!N125</f>
        <v>1</v>
      </c>
      <c r="O125" s="132">
        <f>Bangula!O125+Chikwawa!O125+'Miseu Folo'!O125+Nchalo!O125+Nsanje!O125+Ngabu!O125</f>
        <v>1</v>
      </c>
      <c r="P125" s="35">
        <f>D125</f>
        <v>1</v>
      </c>
    </row>
    <row r="126" spans="1:16" x14ac:dyDescent="0.3">
      <c r="A126" s="276"/>
      <c r="B126" s="24" t="s">
        <v>84</v>
      </c>
      <c r="C126" s="11" t="s">
        <v>3</v>
      </c>
      <c r="D126" s="132">
        <f>Bangula!D126+Chikwawa!D126+'Miseu Folo'!D126+Nchalo!D126+Nsanje!D126+Ngabu!D126</f>
        <v>0</v>
      </c>
      <c r="E126" s="132">
        <f>Bangula!E126+Chikwawa!E126+'Miseu Folo'!E126+Nchalo!E126+Nsanje!E126+Ngabu!E126</f>
        <v>0</v>
      </c>
      <c r="F126" s="132">
        <f>Bangula!F126+Chikwawa!F126+'Miseu Folo'!F126+Nchalo!F126+Nsanje!F126+Ngabu!F126</f>
        <v>0</v>
      </c>
      <c r="G126" s="132">
        <f>Bangula!G126+Chikwawa!G126+'Miseu Folo'!G126+Nchalo!G126+Nsanje!G126+Ngabu!G126</f>
        <v>0</v>
      </c>
      <c r="H126" s="132">
        <f>Bangula!H126+Chikwawa!H126+'Miseu Folo'!H126+Nchalo!H126+Nsanje!H126+Ngabu!H126</f>
        <v>0</v>
      </c>
      <c r="I126" s="132">
        <f>Bangula!I126+Chikwawa!I126+'Miseu Folo'!I126+Nchalo!I126+Nsanje!I126+Ngabu!I126</f>
        <v>0</v>
      </c>
      <c r="J126" s="132">
        <f>Bangula!J126+Chikwawa!J126+'Miseu Folo'!J126+Nchalo!J126+Nsanje!J126+Ngabu!J126</f>
        <v>0</v>
      </c>
      <c r="K126" s="132">
        <f>Bangula!K126+Chikwawa!K126+'Miseu Folo'!K126+Nchalo!K126+Nsanje!K126+Ngabu!K126</f>
        <v>0</v>
      </c>
      <c r="L126" s="132">
        <f>Bangula!L126+Chikwawa!L126+'Miseu Folo'!L126+Nchalo!L126+Nsanje!L126+Ngabu!L126</f>
        <v>0</v>
      </c>
      <c r="M126" s="132">
        <f>Bangula!M126+Chikwawa!M126+'Miseu Folo'!M126+Nchalo!M126+Nsanje!M126+Ngabu!M126</f>
        <v>0</v>
      </c>
      <c r="N126" s="132">
        <f>Bangula!N126+Chikwawa!N126+'Miseu Folo'!N126+Nchalo!N126+Nsanje!N126+Ngabu!N126</f>
        <v>0</v>
      </c>
      <c r="O126" s="132">
        <f>Bangula!O126+Chikwawa!O126+'Miseu Folo'!O126+Nchalo!O126+Nsanje!O126+Ngabu!O126</f>
        <v>0</v>
      </c>
      <c r="P126" s="74">
        <f>SUM(D126:O126)</f>
        <v>0</v>
      </c>
    </row>
    <row r="127" spans="1:16" x14ac:dyDescent="0.3">
      <c r="A127" s="276"/>
      <c r="B127" s="82" t="s">
        <v>88</v>
      </c>
      <c r="C127" s="11" t="s">
        <v>3</v>
      </c>
      <c r="D127" s="132">
        <f>Bangula!D127+Chikwawa!D127+'Miseu Folo'!D127+Nchalo!D127+Nsanje!D127+Ngabu!D127</f>
        <v>0</v>
      </c>
      <c r="E127" s="132">
        <f>Bangula!E127+Chikwawa!E127+'Miseu Folo'!E127+Nchalo!E127+Nsanje!E127+Ngabu!E127</f>
        <v>0</v>
      </c>
      <c r="F127" s="132">
        <f>Bangula!F127+Chikwawa!F127+'Miseu Folo'!F127+Nchalo!F127+Nsanje!F127+Ngabu!F127</f>
        <v>0</v>
      </c>
      <c r="G127" s="132">
        <f>Bangula!G127+Chikwawa!G127+'Miseu Folo'!G127+Nchalo!G127+Nsanje!G127+Ngabu!G127</f>
        <v>0</v>
      </c>
      <c r="H127" s="132">
        <f>Bangula!H127+Chikwawa!H127+'Miseu Folo'!H127+Nchalo!H127+Nsanje!H127+Ngabu!H127</f>
        <v>0</v>
      </c>
      <c r="I127" s="132">
        <f>Bangula!I127+Chikwawa!I127+'Miseu Folo'!I127+Nchalo!I127+Nsanje!I127+Ngabu!I127</f>
        <v>0</v>
      </c>
      <c r="J127" s="132">
        <f>Bangula!J127+Chikwawa!J127+'Miseu Folo'!J127+Nchalo!J127+Nsanje!J127+Ngabu!J127</f>
        <v>0</v>
      </c>
      <c r="K127" s="132">
        <f>Bangula!K127+Chikwawa!K127+'Miseu Folo'!K127+Nchalo!K127+Nsanje!K127+Ngabu!K127</f>
        <v>0</v>
      </c>
      <c r="L127" s="132">
        <f>Bangula!L127+Chikwawa!L127+'Miseu Folo'!L127+Nchalo!L127+Nsanje!L127+Ngabu!L127</f>
        <v>0</v>
      </c>
      <c r="M127" s="132">
        <f>Bangula!M127+Chikwawa!M127+'Miseu Folo'!M127+Nchalo!M127+Nsanje!M127+Ngabu!M127</f>
        <v>0</v>
      </c>
      <c r="N127" s="132">
        <f>Bangula!N127+Chikwawa!N127+'Miseu Folo'!N127+Nchalo!N127+Nsanje!N127+Ngabu!N127</f>
        <v>0</v>
      </c>
      <c r="O127" s="132">
        <f>Bangula!O127+Chikwawa!O127+'Miseu Folo'!O127+Nchalo!O127+Nsanje!O127+Ngabu!O127</f>
        <v>0</v>
      </c>
      <c r="P127" s="74">
        <f>SUM(D127:O127)</f>
        <v>0</v>
      </c>
    </row>
    <row r="128" spans="1:16" x14ac:dyDescent="0.3">
      <c r="A128" s="276"/>
      <c r="B128" s="24" t="s">
        <v>82</v>
      </c>
      <c r="C128" s="11" t="s">
        <v>3</v>
      </c>
      <c r="D128" s="132">
        <f>Bangula!D128+Chikwawa!D128+'Miseu Folo'!D128+Nchalo!D128+Nsanje!D128+Ngabu!D128</f>
        <v>0</v>
      </c>
      <c r="E128" s="132">
        <f>Bangula!E128+Chikwawa!E128+'Miseu Folo'!E128+Nchalo!E128+Nsanje!E128+Ngabu!E128</f>
        <v>0</v>
      </c>
      <c r="F128" s="132">
        <f>Bangula!F128+Chikwawa!F128+'Miseu Folo'!F128+Nchalo!F128+Nsanje!F128+Ngabu!F128</f>
        <v>0</v>
      </c>
      <c r="G128" s="132">
        <f>Bangula!G128+Chikwawa!G128+'Miseu Folo'!G128+Nchalo!G128+Nsanje!G128+Ngabu!G128</f>
        <v>0</v>
      </c>
      <c r="H128" s="132">
        <f>Bangula!H128+Chikwawa!H128+'Miseu Folo'!H128+Nchalo!H128+Nsanje!H128+Ngabu!H128</f>
        <v>0</v>
      </c>
      <c r="I128" s="132">
        <f>Bangula!I128+Chikwawa!I128+'Miseu Folo'!I128+Nchalo!I128+Nsanje!I128+Ngabu!I128</f>
        <v>0</v>
      </c>
      <c r="J128" s="132">
        <f>Bangula!J128+Chikwawa!J128+'Miseu Folo'!J128+Nchalo!J128+Nsanje!J128+Ngabu!J128</f>
        <v>0</v>
      </c>
      <c r="K128" s="132">
        <f>Bangula!K128+Chikwawa!K128+'Miseu Folo'!K128+Nchalo!K128+Nsanje!K128+Ngabu!K128</f>
        <v>0</v>
      </c>
      <c r="L128" s="132">
        <f>Bangula!L128+Chikwawa!L128+'Miseu Folo'!L128+Nchalo!L128+Nsanje!L128+Ngabu!L128</f>
        <v>0</v>
      </c>
      <c r="M128" s="132">
        <f>Bangula!M128+Chikwawa!M128+'Miseu Folo'!M128+Nchalo!M128+Nsanje!M128+Ngabu!M128</f>
        <v>0</v>
      </c>
      <c r="N128" s="132">
        <f>Bangula!N128+Chikwawa!N128+'Miseu Folo'!N128+Nchalo!N128+Nsanje!N128+Ngabu!N128</f>
        <v>0</v>
      </c>
      <c r="O128" s="132">
        <f>Bangula!O128+Chikwawa!O128+'Miseu Folo'!O128+Nchalo!O128+Nsanje!O128+Ngabu!O128</f>
        <v>0</v>
      </c>
      <c r="P128" s="74">
        <f>SUM(D128:O128)</f>
        <v>0</v>
      </c>
    </row>
    <row r="129" spans="1:16" x14ac:dyDescent="0.3">
      <c r="A129" s="242"/>
      <c r="B129" s="24" t="s">
        <v>81</v>
      </c>
      <c r="C129" s="11" t="s">
        <v>3</v>
      </c>
      <c r="D129" s="140">
        <f>D125+D126-D127-D128</f>
        <v>1</v>
      </c>
      <c r="E129" s="140">
        <f>E125+E126-E127-E128</f>
        <v>1</v>
      </c>
      <c r="F129" s="140">
        <f>F125+F126-F127-F128</f>
        <v>1</v>
      </c>
      <c r="G129" s="140">
        <f>G125+G126-G127-G128</f>
        <v>1</v>
      </c>
      <c r="H129" s="140">
        <f>H125+H126-H127-H128</f>
        <v>1</v>
      </c>
      <c r="I129" s="140">
        <f t="shared" ref="I129:O129" si="63">I125+I126-I127-I128</f>
        <v>2</v>
      </c>
      <c r="J129" s="140">
        <f t="shared" si="63"/>
        <v>1</v>
      </c>
      <c r="K129" s="140">
        <f t="shared" si="63"/>
        <v>1</v>
      </c>
      <c r="L129" s="140">
        <f t="shared" si="63"/>
        <v>1</v>
      </c>
      <c r="M129" s="140">
        <f t="shared" si="63"/>
        <v>1</v>
      </c>
      <c r="N129" s="140">
        <f t="shared" si="63"/>
        <v>1</v>
      </c>
      <c r="O129" s="140">
        <f t="shared" si="63"/>
        <v>1</v>
      </c>
      <c r="P129" s="35">
        <f>P125+P126-P127-P128</f>
        <v>1</v>
      </c>
    </row>
    <row r="130" spans="1:16" x14ac:dyDescent="0.3">
      <c r="A130" s="241" t="s">
        <v>228</v>
      </c>
      <c r="B130" s="28" t="s">
        <v>85</v>
      </c>
      <c r="C130" s="27" t="s">
        <v>3</v>
      </c>
      <c r="D130" s="132">
        <f>Bangula!D130+Chikwawa!D130+'Miseu Folo'!D130+Nchalo!D130+Nsanje!D130+Ngabu!D130</f>
        <v>1</v>
      </c>
      <c r="E130" s="132">
        <f>Bangula!E130+Chikwawa!E130+'Miseu Folo'!E130+Nchalo!E130+Nsanje!E130+Ngabu!E130</f>
        <v>1</v>
      </c>
      <c r="F130" s="132">
        <f>Bangula!F130+Chikwawa!F130+'Miseu Folo'!F130+Nchalo!F130+Nsanje!F130+Ngabu!F130</f>
        <v>1</v>
      </c>
      <c r="G130" s="132">
        <f>Bangula!G130+Chikwawa!G130+'Miseu Folo'!G130+Nchalo!G130+Nsanje!G130+Ngabu!G130</f>
        <v>1</v>
      </c>
      <c r="H130" s="132">
        <f>Bangula!H130+Chikwawa!H130+'Miseu Folo'!H130+Nchalo!H130+Nsanje!H130+Ngabu!H130</f>
        <v>1</v>
      </c>
      <c r="I130" s="132">
        <f>Bangula!I130+Chikwawa!I130+'Miseu Folo'!I130+Nchalo!I130+Nsanje!I130+Ngabu!I130</f>
        <v>1</v>
      </c>
      <c r="J130" s="132">
        <f>Bangula!J130+Chikwawa!J130+'Miseu Folo'!J130+Nchalo!J130+Nsanje!J130+Ngabu!J130</f>
        <v>1</v>
      </c>
      <c r="K130" s="132">
        <f>Bangula!K130+Chikwawa!K130+'Miseu Folo'!K130+Nchalo!K130+Nsanje!K130+Ngabu!K130</f>
        <v>1</v>
      </c>
      <c r="L130" s="132">
        <f>Bangula!L130+Chikwawa!L130+'Miseu Folo'!L130+Nchalo!L130+Nsanje!L130+Ngabu!L130</f>
        <v>1</v>
      </c>
      <c r="M130" s="132">
        <f>Bangula!M130+Chikwawa!M130+'Miseu Folo'!M130+Nchalo!M130+Nsanje!M130+Ngabu!M130</f>
        <v>1</v>
      </c>
      <c r="N130" s="132">
        <f>Bangula!N130+Chikwawa!N130+'Miseu Folo'!N130+Nchalo!N130+Nsanje!N130+Ngabu!N130</f>
        <v>1</v>
      </c>
      <c r="O130" s="132">
        <f>Bangula!O130+Chikwawa!O130+'Miseu Folo'!O130+Nchalo!O130+Nsanje!O130+Ngabu!O130</f>
        <v>1</v>
      </c>
      <c r="P130" s="35">
        <f>D130</f>
        <v>1</v>
      </c>
    </row>
    <row r="131" spans="1:16" x14ac:dyDescent="0.3">
      <c r="A131" s="276"/>
      <c r="B131" s="24" t="s">
        <v>84</v>
      </c>
      <c r="C131" s="11" t="s">
        <v>3</v>
      </c>
      <c r="D131" s="132">
        <f>Bangula!D131+Chikwawa!D131+'Miseu Folo'!D131+Nchalo!D131+Nsanje!D131+Ngabu!D131</f>
        <v>0</v>
      </c>
      <c r="E131" s="132">
        <f>Bangula!E131+Chikwawa!E131+'Miseu Folo'!E131+Nchalo!E131+Nsanje!E131+Ngabu!E131</f>
        <v>0</v>
      </c>
      <c r="F131" s="132">
        <f>Bangula!F131+Chikwawa!F131+'Miseu Folo'!F131+Nchalo!F131+Nsanje!F131+Ngabu!F131</f>
        <v>0</v>
      </c>
      <c r="G131" s="132">
        <f>Bangula!G131+Chikwawa!G131+'Miseu Folo'!G131+Nchalo!G131+Nsanje!G131+Ngabu!G131</f>
        <v>0</v>
      </c>
      <c r="H131" s="132">
        <f>Bangula!H131+Chikwawa!H131+'Miseu Folo'!H131+Nchalo!H131+Nsanje!H131+Ngabu!H131</f>
        <v>0</v>
      </c>
      <c r="I131" s="132">
        <f>Bangula!I131+Chikwawa!I131+'Miseu Folo'!I131+Nchalo!I131+Nsanje!I131+Ngabu!I131</f>
        <v>0</v>
      </c>
      <c r="J131" s="132">
        <f>Bangula!J131+Chikwawa!J131+'Miseu Folo'!J131+Nchalo!J131+Nsanje!J131+Ngabu!J131</f>
        <v>0</v>
      </c>
      <c r="K131" s="132">
        <f>Bangula!K131+Chikwawa!K131+'Miseu Folo'!K131+Nchalo!K131+Nsanje!K131+Ngabu!K131</f>
        <v>0</v>
      </c>
      <c r="L131" s="132">
        <f>Bangula!L131+Chikwawa!L131+'Miseu Folo'!L131+Nchalo!L131+Nsanje!L131+Ngabu!L131</f>
        <v>0</v>
      </c>
      <c r="M131" s="132">
        <f>Bangula!M131+Chikwawa!M131+'Miseu Folo'!M131+Nchalo!M131+Nsanje!M131+Ngabu!M131</f>
        <v>0</v>
      </c>
      <c r="N131" s="132">
        <f>Bangula!N131+Chikwawa!N131+'Miseu Folo'!N131+Nchalo!N131+Nsanje!N131+Ngabu!N131</f>
        <v>0</v>
      </c>
      <c r="O131" s="132">
        <f>Bangula!O131+Chikwawa!O131+'Miseu Folo'!O131+Nchalo!O131+Nsanje!O131+Ngabu!O131</f>
        <v>0</v>
      </c>
      <c r="P131" s="74">
        <f>SUM(D131:O131)</f>
        <v>0</v>
      </c>
    </row>
    <row r="132" spans="1:16" x14ac:dyDescent="0.3">
      <c r="A132" s="276"/>
      <c r="B132" s="82" t="s">
        <v>88</v>
      </c>
      <c r="C132" s="11" t="s">
        <v>3</v>
      </c>
      <c r="D132" s="132">
        <f>Bangula!D132+Chikwawa!D132+'Miseu Folo'!D132+Nchalo!D132+Nsanje!D132+Ngabu!D132</f>
        <v>0</v>
      </c>
      <c r="E132" s="132">
        <f>Bangula!E132+Chikwawa!E132+'Miseu Folo'!E132+Nchalo!E132+Nsanje!E132+Ngabu!E132</f>
        <v>0</v>
      </c>
      <c r="F132" s="132">
        <f>Bangula!F132+Chikwawa!F132+'Miseu Folo'!F132+Nchalo!F132+Nsanje!F132+Ngabu!F132</f>
        <v>0</v>
      </c>
      <c r="G132" s="132">
        <f>Bangula!G132+Chikwawa!G132+'Miseu Folo'!G132+Nchalo!G132+Nsanje!G132+Ngabu!G132</f>
        <v>0</v>
      </c>
      <c r="H132" s="132">
        <f>Bangula!H132+Chikwawa!H132+'Miseu Folo'!H132+Nchalo!H132+Nsanje!H132+Ngabu!H132</f>
        <v>0</v>
      </c>
      <c r="I132" s="132">
        <f>Bangula!I132+Chikwawa!I132+'Miseu Folo'!I132+Nchalo!I132+Nsanje!I132+Ngabu!I132</f>
        <v>0</v>
      </c>
      <c r="J132" s="132">
        <f>Bangula!J132+Chikwawa!J132+'Miseu Folo'!J132+Nchalo!J132+Nsanje!J132+Ngabu!J132</f>
        <v>0</v>
      </c>
      <c r="K132" s="132">
        <f>Bangula!K132+Chikwawa!K132+'Miseu Folo'!K132+Nchalo!K132+Nsanje!K132+Ngabu!K132</f>
        <v>0</v>
      </c>
      <c r="L132" s="132">
        <f>Bangula!L132+Chikwawa!L132+'Miseu Folo'!L132+Nchalo!L132+Nsanje!L132+Ngabu!L132</f>
        <v>0</v>
      </c>
      <c r="M132" s="132">
        <f>Bangula!M132+Chikwawa!M132+'Miseu Folo'!M132+Nchalo!M132+Nsanje!M132+Ngabu!M132</f>
        <v>0</v>
      </c>
      <c r="N132" s="132">
        <f>Bangula!N132+Chikwawa!N132+'Miseu Folo'!N132+Nchalo!N132+Nsanje!N132+Ngabu!N132</f>
        <v>0</v>
      </c>
      <c r="O132" s="132">
        <f>Bangula!O132+Chikwawa!O132+'Miseu Folo'!O132+Nchalo!O132+Nsanje!O132+Ngabu!O132</f>
        <v>0</v>
      </c>
      <c r="P132" s="74">
        <f>SUM(D132:O132)</f>
        <v>0</v>
      </c>
    </row>
    <row r="133" spans="1:16" x14ac:dyDescent="0.3">
      <c r="A133" s="276"/>
      <c r="B133" s="24" t="s">
        <v>82</v>
      </c>
      <c r="C133" s="11" t="s">
        <v>3</v>
      </c>
      <c r="D133" s="132">
        <f>Bangula!D133+Chikwawa!D133+'Miseu Folo'!D133+Nchalo!D133+Nsanje!D133+Ngabu!D133</f>
        <v>0</v>
      </c>
      <c r="E133" s="132">
        <f>Bangula!E133+Chikwawa!E133+'Miseu Folo'!E133+Nchalo!E133+Nsanje!E133+Ngabu!E133</f>
        <v>0</v>
      </c>
      <c r="F133" s="132">
        <f>Bangula!F133+Chikwawa!F133+'Miseu Folo'!F133+Nchalo!F133+Nsanje!F133+Ngabu!F133</f>
        <v>0</v>
      </c>
      <c r="G133" s="132">
        <f>Bangula!G133+Chikwawa!G133+'Miseu Folo'!G133+Nchalo!G133+Nsanje!G133+Ngabu!G133</f>
        <v>0</v>
      </c>
      <c r="H133" s="132">
        <f>Bangula!H133+Chikwawa!H133+'Miseu Folo'!H133+Nchalo!H133+Nsanje!H133+Ngabu!H133</f>
        <v>0</v>
      </c>
      <c r="I133" s="132">
        <f>Bangula!I133+Chikwawa!I133+'Miseu Folo'!I133+Nchalo!I133+Nsanje!I133+Ngabu!I133</f>
        <v>0</v>
      </c>
      <c r="J133" s="132">
        <f>Bangula!J133+Chikwawa!J133+'Miseu Folo'!J133+Nchalo!J133+Nsanje!J133+Ngabu!J133</f>
        <v>0</v>
      </c>
      <c r="K133" s="132">
        <f>Bangula!K133+Chikwawa!K133+'Miseu Folo'!K133+Nchalo!K133+Nsanje!K133+Ngabu!K133</f>
        <v>0</v>
      </c>
      <c r="L133" s="132">
        <f>Bangula!L133+Chikwawa!L133+'Miseu Folo'!L133+Nchalo!L133+Nsanje!L133+Ngabu!L133</f>
        <v>0</v>
      </c>
      <c r="M133" s="132">
        <f>Bangula!M133+Chikwawa!M133+'Miseu Folo'!M133+Nchalo!M133+Nsanje!M133+Ngabu!M133</f>
        <v>0</v>
      </c>
      <c r="N133" s="132">
        <f>Bangula!N133+Chikwawa!N133+'Miseu Folo'!N133+Nchalo!N133+Nsanje!N133+Ngabu!N133</f>
        <v>0</v>
      </c>
      <c r="O133" s="132">
        <f>Bangula!O133+Chikwawa!O133+'Miseu Folo'!O133+Nchalo!O133+Nsanje!O133+Ngabu!O133</f>
        <v>0</v>
      </c>
      <c r="P133" s="74">
        <f>SUM(D133:O133)</f>
        <v>0</v>
      </c>
    </row>
    <row r="134" spans="1:16" x14ac:dyDescent="0.3">
      <c r="A134" s="242"/>
      <c r="B134" s="24" t="s">
        <v>81</v>
      </c>
      <c r="C134" s="11" t="s">
        <v>3</v>
      </c>
      <c r="D134" s="140">
        <f>D130+D131-D132-D133</f>
        <v>1</v>
      </c>
      <c r="E134" s="140">
        <f>E130+E131-E132-E133</f>
        <v>1</v>
      </c>
      <c r="F134" s="140">
        <f>F130+F131-F132-F133</f>
        <v>1</v>
      </c>
      <c r="G134" s="140">
        <f>G130+G131-G132-G133</f>
        <v>1</v>
      </c>
      <c r="H134" s="140">
        <f>H130+H131-H132-H133</f>
        <v>1</v>
      </c>
      <c r="I134" s="140">
        <f t="shared" ref="I134:O134" si="64">I130+I131-I132-I133</f>
        <v>1</v>
      </c>
      <c r="J134" s="140">
        <f t="shared" si="64"/>
        <v>1</v>
      </c>
      <c r="K134" s="140">
        <f t="shared" si="64"/>
        <v>1</v>
      </c>
      <c r="L134" s="140">
        <f t="shared" si="64"/>
        <v>1</v>
      </c>
      <c r="M134" s="140">
        <f t="shared" si="64"/>
        <v>1</v>
      </c>
      <c r="N134" s="140">
        <f t="shared" si="64"/>
        <v>1</v>
      </c>
      <c r="O134" s="140">
        <f t="shared" si="64"/>
        <v>1</v>
      </c>
      <c r="P134" s="35">
        <f>P130+P131-P132-P133</f>
        <v>1</v>
      </c>
    </row>
    <row r="135" spans="1:16" x14ac:dyDescent="0.3">
      <c r="A135" s="241" t="s">
        <v>89</v>
      </c>
      <c r="B135" s="24" t="s">
        <v>85</v>
      </c>
      <c r="C135" s="11" t="s">
        <v>3</v>
      </c>
      <c r="D135" s="132">
        <f>Bangula!D135+Chikwawa!D135+'Miseu Folo'!D135+Nchalo!D135+Nsanje!D135+Ngabu!D135</f>
        <v>3</v>
      </c>
      <c r="E135" s="132">
        <f>Bangula!E135+Chikwawa!E135+'Miseu Folo'!E135+Nchalo!E135+Nsanje!E135+Ngabu!E135</f>
        <v>2</v>
      </c>
      <c r="F135" s="132">
        <f>Bangula!F135+Chikwawa!F135+'Miseu Folo'!F135+Nchalo!F135+Nsanje!F135+Ngabu!F135</f>
        <v>2</v>
      </c>
      <c r="G135" s="132">
        <f>Bangula!G135+Chikwawa!G135+'Miseu Folo'!G135+Nchalo!G135+Nsanje!G135+Ngabu!G135</f>
        <v>2</v>
      </c>
      <c r="H135" s="132">
        <f>Bangula!H135+Chikwawa!H135+'Miseu Folo'!H135+Nchalo!H135+Nsanje!H135+Ngabu!H135</f>
        <v>2</v>
      </c>
      <c r="I135" s="132">
        <f>Bangula!I135+Chikwawa!I135+'Miseu Folo'!I135+Nchalo!I135+Nsanje!I135+Ngabu!I135</f>
        <v>2</v>
      </c>
      <c r="J135" s="132">
        <f>Bangula!J135+Chikwawa!J135+'Miseu Folo'!J135+Nchalo!J135+Nsanje!J135+Ngabu!J135</f>
        <v>3</v>
      </c>
      <c r="K135" s="132">
        <f>Bangula!K135+Chikwawa!K135+'Miseu Folo'!K135+Nchalo!K135+Nsanje!K135+Ngabu!K135</f>
        <v>3</v>
      </c>
      <c r="L135" s="132">
        <f>Bangula!L135+Chikwawa!L135+'Miseu Folo'!L135+Nchalo!L135+Nsanje!L135+Ngabu!L135</f>
        <v>3</v>
      </c>
      <c r="M135" s="132">
        <f>Bangula!M135+Chikwawa!M135+'Miseu Folo'!M135+Nchalo!M135+Nsanje!M135+Ngabu!M135</f>
        <v>3</v>
      </c>
      <c r="N135" s="132">
        <f>Bangula!N135+Chikwawa!N135+'Miseu Folo'!N135+Nchalo!N135+Nsanje!N135+Ngabu!N135</f>
        <v>4</v>
      </c>
      <c r="O135" s="132">
        <f>Bangula!O135+Chikwawa!O135+'Miseu Folo'!O135+Nchalo!O135+Nsanje!O135+Ngabu!O135</f>
        <v>4</v>
      </c>
      <c r="P135" s="35">
        <f>D135</f>
        <v>3</v>
      </c>
    </row>
    <row r="136" spans="1:16" x14ac:dyDescent="0.3">
      <c r="A136" s="276"/>
      <c r="B136" s="24" t="s">
        <v>84</v>
      </c>
      <c r="C136" s="11" t="s">
        <v>3</v>
      </c>
      <c r="D136" s="132">
        <f>Bangula!D136+Chikwawa!D136+'Miseu Folo'!D136+Nchalo!D136+Nsanje!D136+Ngabu!D136</f>
        <v>0</v>
      </c>
      <c r="E136" s="132">
        <f>Bangula!E136+Chikwawa!E136+'Miseu Folo'!E136+Nchalo!E136+Nsanje!E136+Ngabu!E136</f>
        <v>0</v>
      </c>
      <c r="F136" s="132">
        <f>Bangula!F136+Chikwawa!F136+'Miseu Folo'!F136+Nchalo!F136+Nsanje!F136+Ngabu!F136</f>
        <v>0</v>
      </c>
      <c r="G136" s="132">
        <f>Bangula!G136+Chikwawa!G136+'Miseu Folo'!G136+Nchalo!G136+Nsanje!G136+Ngabu!G136</f>
        <v>0</v>
      </c>
      <c r="H136" s="132">
        <f>Bangula!H136+Chikwawa!H136+'Miseu Folo'!H136+Nchalo!H136+Nsanje!H136+Ngabu!H136</f>
        <v>1</v>
      </c>
      <c r="I136" s="132">
        <f>Bangula!I136+Chikwawa!I136+'Miseu Folo'!I136+Nchalo!I136+Nsanje!I136+Ngabu!I136</f>
        <v>0</v>
      </c>
      <c r="J136" s="132">
        <f>Bangula!J136+Chikwawa!J136+'Miseu Folo'!J136+Nchalo!J136+Nsanje!J136+Ngabu!J136</f>
        <v>0</v>
      </c>
      <c r="K136" s="132">
        <f>Bangula!K136+Chikwawa!K136+'Miseu Folo'!K136+Nchalo!K136+Nsanje!K136+Ngabu!K136</f>
        <v>0</v>
      </c>
      <c r="L136" s="132">
        <f>Bangula!L136+Chikwawa!L136+'Miseu Folo'!L136+Nchalo!L136+Nsanje!L136+Ngabu!L136</f>
        <v>0</v>
      </c>
      <c r="M136" s="132">
        <f>Bangula!M136+Chikwawa!M136+'Miseu Folo'!M136+Nchalo!M136+Nsanje!M136+Ngabu!M136</f>
        <v>1</v>
      </c>
      <c r="N136" s="132">
        <f>Bangula!N136+Chikwawa!N136+'Miseu Folo'!N136+Nchalo!N136+Nsanje!N136+Ngabu!N136</f>
        <v>0</v>
      </c>
      <c r="O136" s="132">
        <f>Bangula!O136+Chikwawa!O136+'Miseu Folo'!O136+Nchalo!O136+Nsanje!O136+Ngabu!O136</f>
        <v>0</v>
      </c>
      <c r="P136" s="74">
        <f>SUM(D136:O136)</f>
        <v>2</v>
      </c>
    </row>
    <row r="137" spans="1:16" x14ac:dyDescent="0.3">
      <c r="A137" s="276"/>
      <c r="B137" s="82" t="s">
        <v>88</v>
      </c>
      <c r="C137" s="11" t="s">
        <v>3</v>
      </c>
      <c r="D137" s="132">
        <f>Bangula!D137+Chikwawa!D137+'Miseu Folo'!D137+Nchalo!D137+Nsanje!D137+Ngabu!D137</f>
        <v>1</v>
      </c>
      <c r="E137" s="132">
        <f>Bangula!E137+Chikwawa!E137+'Miseu Folo'!E137+Nchalo!E137+Nsanje!E137+Ngabu!E137</f>
        <v>0</v>
      </c>
      <c r="F137" s="132">
        <f>Bangula!F137+Chikwawa!F137+'Miseu Folo'!F137+Nchalo!F137+Nsanje!F137+Ngabu!F137</f>
        <v>0</v>
      </c>
      <c r="G137" s="132">
        <f>Bangula!G137+Chikwawa!G137+'Miseu Folo'!G137+Nchalo!G137+Nsanje!G137+Ngabu!G137</f>
        <v>0</v>
      </c>
      <c r="H137" s="132">
        <f>Bangula!H137+Chikwawa!H137+'Miseu Folo'!H137+Nchalo!H137+Nsanje!H137+Ngabu!H137</f>
        <v>0</v>
      </c>
      <c r="I137" s="132">
        <f>Bangula!I137+Chikwawa!I137+'Miseu Folo'!I137+Nchalo!I137+Nsanje!I137+Ngabu!I137</f>
        <v>0</v>
      </c>
      <c r="J137" s="132">
        <f>Bangula!J137+Chikwawa!J137+'Miseu Folo'!J137+Nchalo!J137+Nsanje!J137+Ngabu!J137</f>
        <v>0</v>
      </c>
      <c r="K137" s="132">
        <f>Bangula!K137+Chikwawa!K137+'Miseu Folo'!K137+Nchalo!K137+Nsanje!K137+Ngabu!K137</f>
        <v>0</v>
      </c>
      <c r="L137" s="132">
        <f>Bangula!L137+Chikwawa!L137+'Miseu Folo'!L137+Nchalo!L137+Nsanje!L137+Ngabu!L137</f>
        <v>0</v>
      </c>
      <c r="M137" s="132">
        <f>Bangula!M137+Chikwawa!M137+'Miseu Folo'!M137+Nchalo!M137+Nsanje!M137+Ngabu!M137</f>
        <v>0</v>
      </c>
      <c r="N137" s="132">
        <f>Bangula!N137+Chikwawa!N137+'Miseu Folo'!N137+Nchalo!N137+Nsanje!N137+Ngabu!N137</f>
        <v>0</v>
      </c>
      <c r="O137" s="132">
        <f>Bangula!O137+Chikwawa!O137+'Miseu Folo'!O137+Nchalo!O137+Nsanje!O137+Ngabu!O137</f>
        <v>0</v>
      </c>
      <c r="P137" s="74">
        <f>SUM(D137:O137)</f>
        <v>1</v>
      </c>
    </row>
    <row r="138" spans="1:16" x14ac:dyDescent="0.3">
      <c r="A138" s="276"/>
      <c r="B138" s="24" t="s">
        <v>82</v>
      </c>
      <c r="C138" s="11" t="s">
        <v>3</v>
      </c>
      <c r="D138" s="132">
        <f>Bangula!D138+Chikwawa!D138+'Miseu Folo'!D138+Nchalo!D138+Nsanje!D138+Ngabu!D138</f>
        <v>0</v>
      </c>
      <c r="E138" s="132">
        <f>Bangula!E138+Chikwawa!E138+'Miseu Folo'!E138+Nchalo!E138+Nsanje!E138+Ngabu!E138</f>
        <v>0</v>
      </c>
      <c r="F138" s="132">
        <f>Bangula!F138+Chikwawa!F138+'Miseu Folo'!F138+Nchalo!F138+Nsanje!F138+Ngabu!F138</f>
        <v>0</v>
      </c>
      <c r="G138" s="132">
        <f>Bangula!G138+Chikwawa!G138+'Miseu Folo'!G138+Nchalo!G138+Nsanje!G138+Ngabu!G138</f>
        <v>0</v>
      </c>
      <c r="H138" s="132">
        <f>Bangula!H138+Chikwawa!H138+'Miseu Folo'!H138+Nchalo!H138+Nsanje!H138+Ngabu!H138</f>
        <v>0</v>
      </c>
      <c r="I138" s="132">
        <f>Bangula!I138+Chikwawa!I138+'Miseu Folo'!I138+Nchalo!I138+Nsanje!I138+Ngabu!I138</f>
        <v>0</v>
      </c>
      <c r="J138" s="132">
        <f>Bangula!J138+Chikwawa!J138+'Miseu Folo'!J138+Nchalo!J138+Nsanje!J138+Ngabu!J138</f>
        <v>0</v>
      </c>
      <c r="K138" s="132">
        <f>Bangula!K138+Chikwawa!K138+'Miseu Folo'!K138+Nchalo!K138+Nsanje!K138+Ngabu!K138</f>
        <v>0</v>
      </c>
      <c r="L138" s="132">
        <f>Bangula!L138+Chikwawa!L138+'Miseu Folo'!L138+Nchalo!L138+Nsanje!L138+Ngabu!L138</f>
        <v>0</v>
      </c>
      <c r="M138" s="132">
        <f>Bangula!M138+Chikwawa!M138+'Miseu Folo'!M138+Nchalo!M138+Nsanje!M138+Ngabu!M138</f>
        <v>0</v>
      </c>
      <c r="N138" s="132">
        <f>Bangula!N138+Chikwawa!N138+'Miseu Folo'!N138+Nchalo!N138+Nsanje!N138+Ngabu!N138</f>
        <v>0</v>
      </c>
      <c r="O138" s="132">
        <f>Bangula!O138+Chikwawa!O138+'Miseu Folo'!O138+Nchalo!O138+Nsanje!O138+Ngabu!O138</f>
        <v>0</v>
      </c>
      <c r="P138" s="74">
        <f>SUM(D138:O138)</f>
        <v>0</v>
      </c>
    </row>
    <row r="139" spans="1:16" x14ac:dyDescent="0.3">
      <c r="A139" s="242"/>
      <c r="B139" s="24" t="s">
        <v>81</v>
      </c>
      <c r="C139" s="11" t="s">
        <v>3</v>
      </c>
      <c r="D139" s="140">
        <f>D135+D136-D137-D138</f>
        <v>2</v>
      </c>
      <c r="E139" s="140">
        <f>E135+E136-E137-E138</f>
        <v>2</v>
      </c>
      <c r="F139" s="140">
        <f>F135+F136-F137-F138</f>
        <v>2</v>
      </c>
      <c r="G139" s="140">
        <f>G135+G136-G137-G138</f>
        <v>2</v>
      </c>
      <c r="H139" s="140">
        <f>H135+H136-H137-H138</f>
        <v>3</v>
      </c>
      <c r="I139" s="140">
        <f t="shared" ref="I139:O139" si="65">I135+I136-I137-I138</f>
        <v>2</v>
      </c>
      <c r="J139" s="140">
        <f t="shared" si="65"/>
        <v>3</v>
      </c>
      <c r="K139" s="140">
        <f t="shared" si="65"/>
        <v>3</v>
      </c>
      <c r="L139" s="140">
        <f t="shared" si="65"/>
        <v>3</v>
      </c>
      <c r="M139" s="140">
        <f t="shared" si="65"/>
        <v>4</v>
      </c>
      <c r="N139" s="140">
        <f t="shared" si="65"/>
        <v>4</v>
      </c>
      <c r="O139" s="140">
        <f t="shared" si="65"/>
        <v>4</v>
      </c>
      <c r="P139" s="35">
        <f>P135+P136-P137-P138</f>
        <v>4</v>
      </c>
    </row>
    <row r="140" spans="1:16" x14ac:dyDescent="0.3">
      <c r="A140" s="241" t="s">
        <v>87</v>
      </c>
      <c r="B140" s="24" t="s">
        <v>85</v>
      </c>
      <c r="C140" s="11" t="s">
        <v>3</v>
      </c>
      <c r="D140" s="132">
        <f>Bangula!D140+Chikwawa!D140+'Miseu Folo'!D140+Nchalo!D140+Nsanje!D140+Ngabu!D140</f>
        <v>993</v>
      </c>
      <c r="E140" s="132">
        <f>Bangula!E140+Chikwawa!E140+'Miseu Folo'!E140+Nchalo!E140+Nsanje!E140+Ngabu!E140</f>
        <v>951</v>
      </c>
      <c r="F140" s="132">
        <f>Bangula!F140+Chikwawa!F140+'Miseu Folo'!F140+Nchalo!F140+Nsanje!F140+Ngabu!F140</f>
        <v>955</v>
      </c>
      <c r="G140" s="132">
        <f>Bangula!G140+Chikwawa!G140+'Miseu Folo'!G140+Nchalo!G140+Nsanje!G140+Ngabu!G140</f>
        <v>944</v>
      </c>
      <c r="H140" s="132">
        <f>Bangula!H140+Chikwawa!H140+'Miseu Folo'!H140+Nchalo!H140+Nsanje!H140+Ngabu!H140</f>
        <v>912</v>
      </c>
      <c r="I140" s="132">
        <f>Bangula!I140+Chikwawa!I140+'Miseu Folo'!I140+Nchalo!I140+Nsanje!I140+Ngabu!I140</f>
        <v>870</v>
      </c>
      <c r="J140" s="132">
        <f>Bangula!J140+Chikwawa!J140+'Miseu Folo'!J140+Nchalo!J140+Nsanje!J140+Ngabu!J140</f>
        <v>887</v>
      </c>
      <c r="K140" s="132">
        <f>Bangula!K140+Chikwawa!K140+'Miseu Folo'!K140+Nchalo!K140+Nsanje!K140+Ngabu!K140</f>
        <v>899</v>
      </c>
      <c r="L140" s="132">
        <f>Bangula!L140+Chikwawa!L140+'Miseu Folo'!L140+Nchalo!L140+Nsanje!L140+Ngabu!L140</f>
        <v>534</v>
      </c>
      <c r="M140" s="132">
        <f>Bangula!M140+Chikwawa!M140+'Miseu Folo'!M140+Nchalo!M140+Nsanje!M140+Ngabu!M140</f>
        <v>1093</v>
      </c>
      <c r="N140" s="132">
        <f>Bangula!N140+Chikwawa!N140+'Miseu Folo'!N140+Nchalo!N140+Nsanje!N140+Ngabu!N140</f>
        <v>547</v>
      </c>
      <c r="O140" s="132">
        <f>Bangula!O140+Chikwawa!O140+'Miseu Folo'!O140+Nchalo!O140+Nsanje!O140+Ngabu!O140</f>
        <v>579</v>
      </c>
      <c r="P140" s="35">
        <f>D140</f>
        <v>993</v>
      </c>
    </row>
    <row r="141" spans="1:16" x14ac:dyDescent="0.3">
      <c r="A141" s="276"/>
      <c r="B141" s="24" t="s">
        <v>84</v>
      </c>
      <c r="C141" s="11" t="s">
        <v>3</v>
      </c>
      <c r="D141" s="132">
        <f>Bangula!D141+Chikwawa!D141+'Miseu Folo'!D141+Nchalo!D141+Nsanje!D141+Ngabu!D141</f>
        <v>45</v>
      </c>
      <c r="E141" s="132">
        <f>Bangula!E141+Chikwawa!E141+'Miseu Folo'!E141+Nchalo!E141+Nsanje!E141+Ngabu!E141</f>
        <v>48</v>
      </c>
      <c r="F141" s="132">
        <f>Bangula!F141+Chikwawa!F141+'Miseu Folo'!F141+Nchalo!F141+Nsanje!F141+Ngabu!F141</f>
        <v>26</v>
      </c>
      <c r="G141" s="132">
        <f>Bangula!G141+Chikwawa!G141+'Miseu Folo'!G141+Nchalo!G141+Nsanje!G141+Ngabu!G141</f>
        <v>19</v>
      </c>
      <c r="H141" s="132">
        <f>Bangula!H141+Chikwawa!H141+'Miseu Folo'!H141+Nchalo!H141+Nsanje!H141+Ngabu!H141</f>
        <v>32</v>
      </c>
      <c r="I141" s="132">
        <f>Bangula!I141+Chikwawa!I141+'Miseu Folo'!I141+Nchalo!I141+Nsanje!I141+Ngabu!I141</f>
        <v>38</v>
      </c>
      <c r="J141" s="132">
        <f>Bangula!J141+Chikwawa!J141+'Miseu Folo'!J141+Nchalo!J141+Nsanje!J141+Ngabu!J141</f>
        <v>12</v>
      </c>
      <c r="K141" s="132">
        <f>Bangula!K141+Chikwawa!K141+'Miseu Folo'!K141+Nchalo!K141+Nsanje!K141+Ngabu!K141</f>
        <v>174</v>
      </c>
      <c r="L141" s="132">
        <f>Bangula!L141+Chikwawa!L141+'Miseu Folo'!L141+Nchalo!L141+Nsanje!L141+Ngabu!L141</f>
        <v>32</v>
      </c>
      <c r="M141" s="132">
        <f>Bangula!M141+Chikwawa!M141+'Miseu Folo'!M141+Nchalo!M141+Nsanje!M141+Ngabu!M141</f>
        <v>30</v>
      </c>
      <c r="N141" s="132">
        <f>Bangula!N141+Chikwawa!N141+'Miseu Folo'!N141+Nchalo!N141+Nsanje!N141+Ngabu!N141</f>
        <v>103</v>
      </c>
      <c r="O141" s="132">
        <f>Bangula!O141+Chikwawa!O141+'Miseu Folo'!O141+Nchalo!O141+Nsanje!O141+Ngabu!O141</f>
        <v>33</v>
      </c>
      <c r="P141" s="74">
        <f>SUM(D141:O141)</f>
        <v>592</v>
      </c>
    </row>
    <row r="142" spans="1:16" x14ac:dyDescent="0.3">
      <c r="A142" s="276"/>
      <c r="B142" s="24" t="s">
        <v>83</v>
      </c>
      <c r="C142" s="11" t="s">
        <v>3</v>
      </c>
      <c r="D142" s="132">
        <f>Bangula!D142+Chikwawa!D142+'Miseu Folo'!D142+Nchalo!D142+Nsanje!D142+Ngabu!D142</f>
        <v>83</v>
      </c>
      <c r="E142" s="132">
        <f>Bangula!E142+Chikwawa!E142+'Miseu Folo'!E142+Nchalo!E142+Nsanje!E142+Ngabu!E142</f>
        <v>34</v>
      </c>
      <c r="F142" s="132">
        <f>Bangula!F142+Chikwawa!F142+'Miseu Folo'!F142+Nchalo!F142+Nsanje!F142+Ngabu!F142</f>
        <v>1</v>
      </c>
      <c r="G142" s="132">
        <f>Bangula!G142+Chikwawa!G142+'Miseu Folo'!G142+Nchalo!G142+Nsanje!G142+Ngabu!G142</f>
        <v>31</v>
      </c>
      <c r="H142" s="132">
        <f>Bangula!H142+Chikwawa!H142+'Miseu Folo'!H142+Nchalo!H142+Nsanje!H142+Ngabu!H142</f>
        <v>27</v>
      </c>
      <c r="I142" s="132">
        <f>Bangula!I142+Chikwawa!I142+'Miseu Folo'!I142+Nchalo!I142+Nsanje!I142+Ngabu!I142</f>
        <v>12</v>
      </c>
      <c r="J142" s="132">
        <f>Bangula!J142+Chikwawa!J142+'Miseu Folo'!J142+Nchalo!J142+Nsanje!J142+Ngabu!J142</f>
        <v>0</v>
      </c>
      <c r="K142" s="132">
        <f>Bangula!K142+Chikwawa!K142+'Miseu Folo'!K142+Nchalo!K142+Nsanje!K142+Ngabu!K142</f>
        <v>25</v>
      </c>
      <c r="L142" s="132">
        <f>Bangula!L142+Chikwawa!L142+'Miseu Folo'!L142+Nchalo!L142+Nsanje!L142+Ngabu!L142</f>
        <v>26</v>
      </c>
      <c r="M142" s="132">
        <f>Bangula!M142+Chikwawa!M142+'Miseu Folo'!M142+Nchalo!M142+Nsanje!M142+Ngabu!M142</f>
        <v>26</v>
      </c>
      <c r="N142" s="132">
        <f>Bangula!N142+Chikwawa!N142+'Miseu Folo'!N142+Nchalo!N142+Nsanje!N142+Ngabu!N142</f>
        <v>36</v>
      </c>
      <c r="O142" s="132">
        <f>Bangula!O142+Chikwawa!O142+'Miseu Folo'!O142+Nchalo!O142+Nsanje!O142+Ngabu!O142</f>
        <v>0</v>
      </c>
      <c r="P142" s="74">
        <f>SUM(D142:O142)</f>
        <v>301</v>
      </c>
    </row>
    <row r="143" spans="1:16" x14ac:dyDescent="0.3">
      <c r="A143" s="276"/>
      <c r="B143" s="24" t="s">
        <v>82</v>
      </c>
      <c r="C143" s="11" t="s">
        <v>3</v>
      </c>
      <c r="D143" s="132">
        <f>Bangula!D143+Chikwawa!D143+'Miseu Folo'!D143+Nchalo!D143+Nsanje!D143+Ngabu!D143</f>
        <v>4</v>
      </c>
      <c r="E143" s="132">
        <f>Bangula!E143+Chikwawa!E143+'Miseu Folo'!E143+Nchalo!E143+Nsanje!E143+Ngabu!E143</f>
        <v>10</v>
      </c>
      <c r="F143" s="132">
        <f>Bangula!F143+Chikwawa!F143+'Miseu Folo'!F143+Nchalo!F143+Nsanje!F143+Ngabu!F143</f>
        <v>36</v>
      </c>
      <c r="G143" s="132">
        <f>Bangula!G143+Chikwawa!G143+'Miseu Folo'!G143+Nchalo!G143+Nsanje!G143+Ngabu!G143</f>
        <v>20</v>
      </c>
      <c r="H143" s="132">
        <f>Bangula!H143+Chikwawa!H143+'Miseu Folo'!H143+Nchalo!H143+Nsanje!H143+Ngabu!H143</f>
        <v>47</v>
      </c>
      <c r="I143" s="132">
        <f>Bangula!I143+Chikwawa!I143+'Miseu Folo'!I143+Nchalo!I143+Nsanje!I143+Ngabu!I143</f>
        <v>9</v>
      </c>
      <c r="J143" s="132">
        <f>Bangula!J143+Chikwawa!J143+'Miseu Folo'!J143+Nchalo!J143+Nsanje!J143+Ngabu!J143</f>
        <v>0</v>
      </c>
      <c r="K143" s="132">
        <f>Bangula!K143+Chikwawa!K143+'Miseu Folo'!K143+Nchalo!K143+Nsanje!K143+Ngabu!K143</f>
        <v>6</v>
      </c>
      <c r="L143" s="132">
        <f>Bangula!L143+Chikwawa!L143+'Miseu Folo'!L143+Nchalo!L143+Nsanje!L143+Ngabu!L143</f>
        <v>44</v>
      </c>
      <c r="M143" s="132">
        <f>Bangula!M143+Chikwawa!M143+'Miseu Folo'!M143+Nchalo!M143+Nsanje!M143+Ngabu!M143</f>
        <v>550</v>
      </c>
      <c r="N143" s="132">
        <f>Bangula!N143+Chikwawa!N143+'Miseu Folo'!N143+Nchalo!N143+Nsanje!N143+Ngabu!N143</f>
        <v>35</v>
      </c>
      <c r="O143" s="132">
        <f>Bangula!O143+Chikwawa!O143+'Miseu Folo'!O143+Nchalo!O143+Nsanje!O143+Ngabu!O143</f>
        <v>45</v>
      </c>
      <c r="P143" s="74">
        <f>SUM(D143:O143)</f>
        <v>806</v>
      </c>
    </row>
    <row r="144" spans="1:16" x14ac:dyDescent="0.3">
      <c r="A144" s="242"/>
      <c r="B144" s="24" t="s">
        <v>81</v>
      </c>
      <c r="C144" s="11" t="s">
        <v>3</v>
      </c>
      <c r="D144" s="140">
        <f>D140+D141-D142-D143</f>
        <v>951</v>
      </c>
      <c r="E144" s="140">
        <f t="shared" ref="E144:O144" si="66">E140+E141-E142-E143</f>
        <v>955</v>
      </c>
      <c r="F144" s="140">
        <f t="shared" si="66"/>
        <v>944</v>
      </c>
      <c r="G144" s="140">
        <f t="shared" si="66"/>
        <v>912</v>
      </c>
      <c r="H144" s="140">
        <f t="shared" si="66"/>
        <v>870</v>
      </c>
      <c r="I144" s="140">
        <f t="shared" si="66"/>
        <v>887</v>
      </c>
      <c r="J144" s="140">
        <f t="shared" si="66"/>
        <v>899</v>
      </c>
      <c r="K144" s="140">
        <f t="shared" si="66"/>
        <v>1042</v>
      </c>
      <c r="L144" s="140">
        <f t="shared" si="66"/>
        <v>496</v>
      </c>
      <c r="M144" s="140">
        <f t="shared" si="66"/>
        <v>547</v>
      </c>
      <c r="N144" s="140">
        <f t="shared" si="66"/>
        <v>579</v>
      </c>
      <c r="O144" s="140">
        <f t="shared" si="66"/>
        <v>567</v>
      </c>
      <c r="P144" s="35">
        <f>P140+P141-P142-P143</f>
        <v>478</v>
      </c>
    </row>
    <row r="145" spans="1:16" s="2" customFormat="1" x14ac:dyDescent="0.3">
      <c r="A145" s="241" t="s">
        <v>86</v>
      </c>
      <c r="B145" s="24" t="s">
        <v>85</v>
      </c>
      <c r="C145" s="11" t="s">
        <v>3</v>
      </c>
      <c r="D145" s="141">
        <f>D125+D130+D135+D140</f>
        <v>998</v>
      </c>
      <c r="E145" s="141">
        <f t="shared" ref="E145:O145" si="67">E125+E130+E135+E140</f>
        <v>955</v>
      </c>
      <c r="F145" s="141">
        <f t="shared" si="67"/>
        <v>959</v>
      </c>
      <c r="G145" s="141">
        <f t="shared" si="67"/>
        <v>948</v>
      </c>
      <c r="H145" s="141">
        <f t="shared" si="67"/>
        <v>916</v>
      </c>
      <c r="I145" s="141">
        <f t="shared" si="67"/>
        <v>875</v>
      </c>
      <c r="J145" s="141">
        <f t="shared" si="67"/>
        <v>892</v>
      </c>
      <c r="K145" s="141">
        <f t="shared" si="67"/>
        <v>904</v>
      </c>
      <c r="L145" s="141">
        <f t="shared" si="67"/>
        <v>539</v>
      </c>
      <c r="M145" s="141">
        <f t="shared" si="67"/>
        <v>1098</v>
      </c>
      <c r="N145" s="141">
        <f t="shared" si="67"/>
        <v>553</v>
      </c>
      <c r="O145" s="141">
        <f t="shared" si="67"/>
        <v>585</v>
      </c>
      <c r="P145" s="110">
        <f t="shared" ref="P145:P149" si="68">P125+P130+P135+P140</f>
        <v>998</v>
      </c>
    </row>
    <row r="146" spans="1:16" x14ac:dyDescent="0.3">
      <c r="A146" s="276"/>
      <c r="B146" s="24" t="s">
        <v>84</v>
      </c>
      <c r="C146" s="11" t="s">
        <v>3</v>
      </c>
      <c r="D146" s="141">
        <f t="shared" ref="D146:O148" si="69">D126+D131+D136+D141</f>
        <v>45</v>
      </c>
      <c r="E146" s="141">
        <f t="shared" si="69"/>
        <v>48</v>
      </c>
      <c r="F146" s="141">
        <f t="shared" si="69"/>
        <v>26</v>
      </c>
      <c r="G146" s="141">
        <f t="shared" si="69"/>
        <v>19</v>
      </c>
      <c r="H146" s="141">
        <f t="shared" si="69"/>
        <v>33</v>
      </c>
      <c r="I146" s="141">
        <f t="shared" si="69"/>
        <v>38</v>
      </c>
      <c r="J146" s="141">
        <f t="shared" si="69"/>
        <v>12</v>
      </c>
      <c r="K146" s="141">
        <f t="shared" si="69"/>
        <v>174</v>
      </c>
      <c r="L146" s="141">
        <f t="shared" si="69"/>
        <v>32</v>
      </c>
      <c r="M146" s="141">
        <f t="shared" si="69"/>
        <v>31</v>
      </c>
      <c r="N146" s="141">
        <f t="shared" si="69"/>
        <v>103</v>
      </c>
      <c r="O146" s="141">
        <f t="shared" si="69"/>
        <v>33</v>
      </c>
      <c r="P146" s="110">
        <f t="shared" si="68"/>
        <v>594</v>
      </c>
    </row>
    <row r="147" spans="1:16" x14ac:dyDescent="0.3">
      <c r="A147" s="276"/>
      <c r="B147" s="24" t="s">
        <v>83</v>
      </c>
      <c r="C147" s="11" t="s">
        <v>3</v>
      </c>
      <c r="D147" s="141">
        <f t="shared" si="69"/>
        <v>84</v>
      </c>
      <c r="E147" s="141">
        <f t="shared" si="69"/>
        <v>34</v>
      </c>
      <c r="F147" s="141">
        <f t="shared" si="69"/>
        <v>1</v>
      </c>
      <c r="G147" s="141">
        <f t="shared" si="69"/>
        <v>31</v>
      </c>
      <c r="H147" s="141">
        <f t="shared" si="69"/>
        <v>27</v>
      </c>
      <c r="I147" s="141">
        <f t="shared" si="69"/>
        <v>12</v>
      </c>
      <c r="J147" s="141">
        <f t="shared" si="69"/>
        <v>0</v>
      </c>
      <c r="K147" s="141">
        <f t="shared" si="69"/>
        <v>25</v>
      </c>
      <c r="L147" s="141">
        <f t="shared" si="69"/>
        <v>26</v>
      </c>
      <c r="M147" s="141">
        <f t="shared" si="69"/>
        <v>26</v>
      </c>
      <c r="N147" s="141">
        <f t="shared" si="69"/>
        <v>36</v>
      </c>
      <c r="O147" s="141">
        <f t="shared" si="69"/>
        <v>0</v>
      </c>
      <c r="P147" s="110">
        <f t="shared" si="68"/>
        <v>302</v>
      </c>
    </row>
    <row r="148" spans="1:16" x14ac:dyDescent="0.3">
      <c r="A148" s="276"/>
      <c r="B148" s="24" t="s">
        <v>82</v>
      </c>
      <c r="C148" s="11" t="s">
        <v>3</v>
      </c>
      <c r="D148" s="141">
        <f t="shared" si="69"/>
        <v>4</v>
      </c>
      <c r="E148" s="141">
        <f t="shared" si="69"/>
        <v>10</v>
      </c>
      <c r="F148" s="141">
        <f t="shared" si="69"/>
        <v>36</v>
      </c>
      <c r="G148" s="141">
        <f t="shared" si="69"/>
        <v>20</v>
      </c>
      <c r="H148" s="141">
        <f t="shared" si="69"/>
        <v>47</v>
      </c>
      <c r="I148" s="141">
        <f t="shared" si="69"/>
        <v>9</v>
      </c>
      <c r="J148" s="141">
        <f t="shared" si="69"/>
        <v>0</v>
      </c>
      <c r="K148" s="141">
        <f t="shared" si="69"/>
        <v>6</v>
      </c>
      <c r="L148" s="141">
        <f t="shared" si="69"/>
        <v>44</v>
      </c>
      <c r="M148" s="141">
        <f t="shared" si="69"/>
        <v>550</v>
      </c>
      <c r="N148" s="141">
        <f t="shared" si="69"/>
        <v>35</v>
      </c>
      <c r="O148" s="141">
        <f t="shared" si="69"/>
        <v>45</v>
      </c>
      <c r="P148" s="110">
        <f t="shared" si="68"/>
        <v>806</v>
      </c>
    </row>
    <row r="149" spans="1:16" x14ac:dyDescent="0.3">
      <c r="A149" s="242"/>
      <c r="B149" s="24" t="s">
        <v>81</v>
      </c>
      <c r="C149" s="11" t="s">
        <v>3</v>
      </c>
      <c r="D149" s="140">
        <f>D145+D146-D147-D148</f>
        <v>955</v>
      </c>
      <c r="E149" s="140">
        <f t="shared" ref="E149:O149" si="70">E145+E146-E147-E148</f>
        <v>959</v>
      </c>
      <c r="F149" s="140">
        <f t="shared" si="70"/>
        <v>948</v>
      </c>
      <c r="G149" s="140">
        <f t="shared" si="70"/>
        <v>916</v>
      </c>
      <c r="H149" s="140">
        <f t="shared" si="70"/>
        <v>875</v>
      </c>
      <c r="I149" s="140">
        <f t="shared" si="70"/>
        <v>892</v>
      </c>
      <c r="J149" s="140">
        <f t="shared" si="70"/>
        <v>904</v>
      </c>
      <c r="K149" s="140">
        <f t="shared" si="70"/>
        <v>1047</v>
      </c>
      <c r="L149" s="140">
        <f t="shared" si="70"/>
        <v>501</v>
      </c>
      <c r="M149" s="140">
        <f t="shared" si="70"/>
        <v>553</v>
      </c>
      <c r="N149" s="140">
        <f t="shared" si="70"/>
        <v>585</v>
      </c>
      <c r="O149" s="140">
        <f t="shared" si="70"/>
        <v>573</v>
      </c>
      <c r="P149" s="110">
        <f t="shared" si="68"/>
        <v>484</v>
      </c>
    </row>
    <row r="150" spans="1:16" ht="14.4" x14ac:dyDescent="0.3">
      <c r="A150" s="277" t="s">
        <v>80</v>
      </c>
      <c r="B150" s="278"/>
      <c r="C150" s="278"/>
      <c r="D150" s="278"/>
      <c r="E150" s="278"/>
      <c r="F150" s="278"/>
      <c r="G150" s="278"/>
      <c r="H150" s="278"/>
      <c r="I150" s="278"/>
      <c r="J150" s="278"/>
      <c r="K150" s="278"/>
      <c r="L150" s="278"/>
      <c r="M150" s="278"/>
      <c r="N150" s="278"/>
      <c r="O150" s="278"/>
      <c r="P150" s="279"/>
    </row>
    <row r="151" spans="1:16" x14ac:dyDescent="0.3">
      <c r="A151" s="231" t="s">
        <v>79</v>
      </c>
      <c r="B151" s="232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39"/>
    </row>
    <row r="152" spans="1:16" x14ac:dyDescent="0.3">
      <c r="A152" s="287" t="s">
        <v>78</v>
      </c>
      <c r="B152" s="92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39"/>
    </row>
    <row r="153" spans="1:16" x14ac:dyDescent="0.3">
      <c r="A153" s="288"/>
      <c r="B153" s="19" t="s">
        <v>73</v>
      </c>
      <c r="C153" s="11" t="s">
        <v>57</v>
      </c>
      <c r="D153" s="142">
        <f>Bangula!D153+Chikwawa!D153+'Miseu Folo'!D153+Nchalo!D153+Nsanje!D153+Ngabu!D153</f>
        <v>274</v>
      </c>
      <c r="E153" s="142">
        <f>Bangula!E153+Chikwawa!E153+'Miseu Folo'!E153+Nchalo!E153+Nsanje!E153+Ngabu!E153</f>
        <v>212</v>
      </c>
      <c r="F153" s="142">
        <f>Bangula!F153+Chikwawa!F153+'Miseu Folo'!F153+Nchalo!F153+Nsanje!F153+Ngabu!F153</f>
        <v>194</v>
      </c>
      <c r="G153" s="142">
        <f>Bangula!G153+Chikwawa!G153+'Miseu Folo'!G153+Nchalo!G153+Nsanje!G153+Ngabu!G153</f>
        <v>219</v>
      </c>
      <c r="H153" s="142">
        <f>Bangula!H153+Chikwawa!H153+'Miseu Folo'!H153+Nchalo!H153+Nsanje!H153+Ngabu!H153</f>
        <v>185</v>
      </c>
      <c r="I153" s="142">
        <f>Bangula!I153+Chikwawa!I153+'Miseu Folo'!I153+Nchalo!I153+Nsanje!I153+Ngabu!I153</f>
        <v>173</v>
      </c>
      <c r="J153" s="142">
        <f>Bangula!J153+Chikwawa!J153+'Miseu Folo'!J153+Nchalo!J153+Nsanje!J153+Ngabu!J153</f>
        <v>200</v>
      </c>
      <c r="K153" s="142">
        <f>Bangula!K153+Chikwawa!K153+'Miseu Folo'!K153+Nchalo!K153+Nsanje!K153+Ngabu!K153</f>
        <v>195</v>
      </c>
      <c r="L153" s="142">
        <f>Bangula!L153+Chikwawa!L153+'Miseu Folo'!L153+Nchalo!L153+Nsanje!L153+Ngabu!L153</f>
        <v>218</v>
      </c>
      <c r="M153" s="142">
        <f>Bangula!M153+Chikwawa!M153+'Miseu Folo'!M153+Nchalo!M153+Nsanje!M153+Ngabu!M153</f>
        <v>219</v>
      </c>
      <c r="N153" s="142">
        <f>Bangula!N153+Chikwawa!N153+'Miseu Folo'!N153+Nchalo!N153+Nsanje!N153+Ngabu!N153</f>
        <v>223</v>
      </c>
      <c r="O153" s="142">
        <f>Bangula!O153+Chikwawa!O153+'Miseu Folo'!O153+Nchalo!O153+Nsanje!O153+Ngabu!O153</f>
        <v>221</v>
      </c>
      <c r="P153" s="74">
        <f t="shared" ref="P153:P165" si="71">SUM(D153:O153)</f>
        <v>2533</v>
      </c>
    </row>
    <row r="154" spans="1:16" x14ac:dyDescent="0.3">
      <c r="A154" s="288"/>
      <c r="B154" s="19" t="s">
        <v>72</v>
      </c>
      <c r="C154" s="11" t="s">
        <v>57</v>
      </c>
      <c r="D154" s="142">
        <f>Bangula!D154+Chikwawa!D154+'Miseu Folo'!D154+Nchalo!D154+Nsanje!D154+Ngabu!D154</f>
        <v>78</v>
      </c>
      <c r="E154" s="142">
        <f>Bangula!E154+Chikwawa!E154+'Miseu Folo'!E154+Nchalo!E154+Nsanje!E154+Ngabu!E154</f>
        <v>91</v>
      </c>
      <c r="F154" s="142">
        <f>Bangula!F154+Chikwawa!F154+'Miseu Folo'!F154+Nchalo!F154+Nsanje!F154+Ngabu!F154</f>
        <v>100</v>
      </c>
      <c r="G154" s="142">
        <f>Bangula!G154+Chikwawa!G154+'Miseu Folo'!G154+Nchalo!G154+Nsanje!G154+Ngabu!G154</f>
        <v>144</v>
      </c>
      <c r="H154" s="142">
        <f>Bangula!H154+Chikwawa!H154+'Miseu Folo'!H154+Nchalo!H154+Nsanje!H154+Ngabu!H154</f>
        <v>89</v>
      </c>
      <c r="I154" s="142">
        <f>Bangula!I154+Chikwawa!I154+'Miseu Folo'!I154+Nchalo!I154+Nsanje!I154+Ngabu!I154</f>
        <v>81</v>
      </c>
      <c r="J154" s="142">
        <f>Bangula!J154+Chikwawa!J154+'Miseu Folo'!J154+Nchalo!J154+Nsanje!J154+Ngabu!J154</f>
        <v>100</v>
      </c>
      <c r="K154" s="142">
        <f>Bangula!K154+Chikwawa!K154+'Miseu Folo'!K154+Nchalo!K154+Nsanje!K154+Ngabu!K154</f>
        <v>101</v>
      </c>
      <c r="L154" s="142">
        <f>Bangula!L154+Chikwawa!L154+'Miseu Folo'!L154+Nchalo!L154+Nsanje!L154+Ngabu!L154</f>
        <v>109</v>
      </c>
      <c r="M154" s="142">
        <f>Bangula!M154+Chikwawa!M154+'Miseu Folo'!M154+Nchalo!M154+Nsanje!M154+Ngabu!M154</f>
        <v>97</v>
      </c>
      <c r="N154" s="142">
        <f>Bangula!N154+Chikwawa!N154+'Miseu Folo'!N154+Nchalo!N154+Nsanje!N154+Ngabu!N154</f>
        <v>102</v>
      </c>
      <c r="O154" s="142">
        <f>Bangula!O154+Chikwawa!O154+'Miseu Folo'!O154+Nchalo!O154+Nsanje!O154+Ngabu!O154</f>
        <v>102</v>
      </c>
      <c r="P154" s="74">
        <f t="shared" si="71"/>
        <v>1194</v>
      </c>
    </row>
    <row r="155" spans="1:16" x14ac:dyDescent="0.3">
      <c r="A155" s="288"/>
      <c r="B155" s="19" t="s">
        <v>53</v>
      </c>
      <c r="C155" s="11" t="s">
        <v>57</v>
      </c>
      <c r="D155" s="142">
        <f>Bangula!D155+Chikwawa!D155+'Miseu Folo'!D155+Nchalo!D155+Nsanje!D155+Ngabu!D155</f>
        <v>28</v>
      </c>
      <c r="E155" s="142">
        <f>Bangula!E155+Chikwawa!E155+'Miseu Folo'!E155+Nchalo!E155+Nsanje!E155+Ngabu!E155</f>
        <v>31</v>
      </c>
      <c r="F155" s="142">
        <f>Bangula!F155+Chikwawa!F155+'Miseu Folo'!F155+Nchalo!F155+Nsanje!F155+Ngabu!F155</f>
        <v>43</v>
      </c>
      <c r="G155" s="142">
        <f>Bangula!G155+Chikwawa!G155+'Miseu Folo'!G155+Nchalo!G155+Nsanje!G155+Ngabu!G155</f>
        <v>41</v>
      </c>
      <c r="H155" s="142">
        <f>Bangula!H155+Chikwawa!H155+'Miseu Folo'!H155+Nchalo!H155+Nsanje!H155+Ngabu!H155</f>
        <v>46</v>
      </c>
      <c r="I155" s="142">
        <f>Bangula!I155+Chikwawa!I155+'Miseu Folo'!I155+Nchalo!I155+Nsanje!I155+Ngabu!I155</f>
        <v>41</v>
      </c>
      <c r="J155" s="142">
        <f>Bangula!J155+Chikwawa!J155+'Miseu Folo'!J155+Nchalo!J155+Nsanje!J155+Ngabu!J155</f>
        <v>51</v>
      </c>
      <c r="K155" s="142">
        <f>Bangula!K155+Chikwawa!K155+'Miseu Folo'!K155+Nchalo!K155+Nsanje!K155+Ngabu!K155</f>
        <v>48</v>
      </c>
      <c r="L155" s="142">
        <f>Bangula!L155+Chikwawa!L155+'Miseu Folo'!L155+Nchalo!L155+Nsanje!L155+Ngabu!L155</f>
        <v>46</v>
      </c>
      <c r="M155" s="142">
        <f>Bangula!M155+Chikwawa!M155+'Miseu Folo'!M155+Nchalo!M155+Nsanje!M155+Ngabu!M155</f>
        <v>51</v>
      </c>
      <c r="N155" s="142">
        <f>Bangula!N155+Chikwawa!N155+'Miseu Folo'!N155+Nchalo!N155+Nsanje!N155+Ngabu!N155</f>
        <v>48</v>
      </c>
      <c r="O155" s="142">
        <f>Bangula!O155+Chikwawa!O155+'Miseu Folo'!O155+Nchalo!O155+Nsanje!O155+Ngabu!O155</f>
        <v>53</v>
      </c>
      <c r="P155" s="74">
        <f t="shared" si="71"/>
        <v>527</v>
      </c>
    </row>
    <row r="156" spans="1:16" x14ac:dyDescent="0.3">
      <c r="A156" s="288"/>
      <c r="B156" s="19" t="s">
        <v>71</v>
      </c>
      <c r="C156" s="11" t="s">
        <v>57</v>
      </c>
      <c r="D156" s="142">
        <f>Bangula!D156+Chikwawa!D156+'Miseu Folo'!D156+Nchalo!D156+Nsanje!D156+Ngabu!D156</f>
        <v>13</v>
      </c>
      <c r="E156" s="142">
        <f>Bangula!E156+Chikwawa!E156+'Miseu Folo'!E156+Nchalo!E156+Nsanje!E156+Ngabu!E156</f>
        <v>18</v>
      </c>
      <c r="F156" s="142">
        <f>Bangula!F156+Chikwawa!F156+'Miseu Folo'!F156+Nchalo!F156+Nsanje!F156+Ngabu!F156</f>
        <v>19</v>
      </c>
      <c r="G156" s="142">
        <f>Bangula!G156+Chikwawa!G156+'Miseu Folo'!G156+Nchalo!G156+Nsanje!G156+Ngabu!G156</f>
        <v>19</v>
      </c>
      <c r="H156" s="142">
        <f>Bangula!H156+Chikwawa!H156+'Miseu Folo'!H156+Nchalo!H156+Nsanje!H156+Ngabu!H156</f>
        <v>25</v>
      </c>
      <c r="I156" s="142">
        <f>Bangula!I156+Chikwawa!I156+'Miseu Folo'!I156+Nchalo!I156+Nsanje!I156+Ngabu!I156</f>
        <v>31</v>
      </c>
      <c r="J156" s="142">
        <f>Bangula!J156+Chikwawa!J156+'Miseu Folo'!J156+Nchalo!J156+Nsanje!J156+Ngabu!J156</f>
        <v>32</v>
      </c>
      <c r="K156" s="142">
        <f>Bangula!K156+Chikwawa!K156+'Miseu Folo'!K156+Nchalo!K156+Nsanje!K156+Ngabu!K156</f>
        <v>29</v>
      </c>
      <c r="L156" s="142">
        <f>Bangula!L156+Chikwawa!L156+'Miseu Folo'!L156+Nchalo!L156+Nsanje!L156+Ngabu!L156</f>
        <v>26</v>
      </c>
      <c r="M156" s="142">
        <f>Bangula!M156+Chikwawa!M156+'Miseu Folo'!M156+Nchalo!M156+Nsanje!M156+Ngabu!M156</f>
        <v>26</v>
      </c>
      <c r="N156" s="142">
        <f>Bangula!N156+Chikwawa!N156+'Miseu Folo'!N156+Nchalo!N156+Nsanje!N156+Ngabu!N156</f>
        <v>32</v>
      </c>
      <c r="O156" s="142">
        <f>Bangula!O156+Chikwawa!O156+'Miseu Folo'!O156+Nchalo!O156+Nsanje!O156+Ngabu!O156</f>
        <v>39</v>
      </c>
      <c r="P156" s="74">
        <f t="shared" si="71"/>
        <v>309</v>
      </c>
    </row>
    <row r="157" spans="1:16" x14ac:dyDescent="0.3">
      <c r="A157" s="288"/>
      <c r="B157" s="19" t="s">
        <v>52</v>
      </c>
      <c r="C157" s="11" t="s">
        <v>57</v>
      </c>
      <c r="D157" s="142">
        <f>Bangula!D157+Chikwawa!D157+'Miseu Folo'!D157+Nchalo!D157+Nsanje!D157+Ngabu!D157</f>
        <v>16</v>
      </c>
      <c r="E157" s="142">
        <f>Bangula!E157+Chikwawa!E157+'Miseu Folo'!E157+Nchalo!E157+Nsanje!E157+Ngabu!E157</f>
        <v>16</v>
      </c>
      <c r="F157" s="142">
        <f>Bangula!F157+Chikwawa!F157+'Miseu Folo'!F157+Nchalo!F157+Nsanje!F157+Ngabu!F157</f>
        <v>20</v>
      </c>
      <c r="G157" s="142">
        <f>Bangula!G157+Chikwawa!G157+'Miseu Folo'!G157+Nchalo!G157+Nsanje!G157+Ngabu!G157</f>
        <v>16</v>
      </c>
      <c r="H157" s="142">
        <f>Bangula!H157+Chikwawa!H157+'Miseu Folo'!H157+Nchalo!H157+Nsanje!H157+Ngabu!H157</f>
        <v>21</v>
      </c>
      <c r="I157" s="142">
        <f>Bangula!I157+Chikwawa!I157+'Miseu Folo'!I157+Nchalo!I157+Nsanje!I157+Ngabu!I157</f>
        <v>17</v>
      </c>
      <c r="J157" s="142">
        <f>Bangula!J157+Chikwawa!J157+'Miseu Folo'!J157+Nchalo!J157+Nsanje!J157+Ngabu!J157</f>
        <v>21</v>
      </c>
      <c r="K157" s="142">
        <f>Bangula!K157+Chikwawa!K157+'Miseu Folo'!K157+Nchalo!K157+Nsanje!K157+Ngabu!K157</f>
        <v>27</v>
      </c>
      <c r="L157" s="142">
        <f>Bangula!L157+Chikwawa!L157+'Miseu Folo'!L157+Nchalo!L157+Nsanje!L157+Ngabu!L157</f>
        <v>22</v>
      </c>
      <c r="M157" s="142">
        <f>Bangula!M157+Chikwawa!M157+'Miseu Folo'!M157+Nchalo!M157+Nsanje!M157+Ngabu!M157</f>
        <v>23</v>
      </c>
      <c r="N157" s="142">
        <f>Bangula!N157+Chikwawa!N157+'Miseu Folo'!N157+Nchalo!N157+Nsanje!N157+Ngabu!N157</f>
        <v>20</v>
      </c>
      <c r="O157" s="142">
        <f>Bangula!O157+Chikwawa!O157+'Miseu Folo'!O157+Nchalo!O157+Nsanje!O157+Ngabu!O157</f>
        <v>22</v>
      </c>
      <c r="P157" s="74">
        <f t="shared" si="71"/>
        <v>241</v>
      </c>
    </row>
    <row r="158" spans="1:16" x14ac:dyDescent="0.3">
      <c r="A158" s="288"/>
      <c r="B158" s="19" t="s">
        <v>51</v>
      </c>
      <c r="C158" s="11" t="s">
        <v>57</v>
      </c>
      <c r="D158" s="142">
        <f>Bangula!D158+Chikwawa!D158+'Miseu Folo'!D158+Nchalo!D158+Nsanje!D158+Ngabu!D158</f>
        <v>16</v>
      </c>
      <c r="E158" s="142">
        <f>Bangula!E158+Chikwawa!E158+'Miseu Folo'!E158+Nchalo!E158+Nsanje!E158+Ngabu!E158</f>
        <v>16</v>
      </c>
      <c r="F158" s="142">
        <f>Bangula!F158+Chikwawa!F158+'Miseu Folo'!F158+Nchalo!F158+Nsanje!F158+Ngabu!F158</f>
        <v>23</v>
      </c>
      <c r="G158" s="142">
        <f>Bangula!G158+Chikwawa!G158+'Miseu Folo'!G158+Nchalo!G158+Nsanje!G158+Ngabu!G158</f>
        <v>15</v>
      </c>
      <c r="H158" s="142">
        <f>Bangula!H158+Chikwawa!H158+'Miseu Folo'!H158+Nchalo!H158+Nsanje!H158+Ngabu!H158</f>
        <v>13</v>
      </c>
      <c r="I158" s="142">
        <f>Bangula!I158+Chikwawa!I158+'Miseu Folo'!I158+Nchalo!I158+Nsanje!I158+Ngabu!I158</f>
        <v>22</v>
      </c>
      <c r="J158" s="142">
        <f>Bangula!J158+Chikwawa!J158+'Miseu Folo'!J158+Nchalo!J158+Nsanje!J158+Ngabu!J158</f>
        <v>28</v>
      </c>
      <c r="K158" s="142">
        <f>Bangula!K158+Chikwawa!K158+'Miseu Folo'!K158+Nchalo!K158+Nsanje!K158+Ngabu!K158</f>
        <v>31</v>
      </c>
      <c r="L158" s="142">
        <f>Bangula!L158+Chikwawa!L158+'Miseu Folo'!L158+Nchalo!L158+Nsanje!L158+Ngabu!L158</f>
        <v>19</v>
      </c>
      <c r="M158" s="142">
        <f>Bangula!M158+Chikwawa!M158+'Miseu Folo'!M158+Nchalo!M158+Nsanje!M158+Ngabu!M158</f>
        <v>24</v>
      </c>
      <c r="N158" s="142">
        <f>Bangula!N158+Chikwawa!N158+'Miseu Folo'!N158+Nchalo!N158+Nsanje!N158+Ngabu!N158</f>
        <v>19</v>
      </c>
      <c r="O158" s="142">
        <f>Bangula!O158+Chikwawa!O158+'Miseu Folo'!O158+Nchalo!O158+Nsanje!O158+Ngabu!O158</f>
        <v>13</v>
      </c>
      <c r="P158" s="74">
        <f t="shared" si="71"/>
        <v>239</v>
      </c>
    </row>
    <row r="159" spans="1:16" x14ac:dyDescent="0.3">
      <c r="A159" s="288"/>
      <c r="B159" s="19" t="s">
        <v>62</v>
      </c>
      <c r="C159" s="11" t="s">
        <v>57</v>
      </c>
      <c r="D159" s="142">
        <f>Bangula!D159+Chikwawa!D159+'Miseu Folo'!D159+Nchalo!D159+Nsanje!D159+Ngabu!D159</f>
        <v>4</v>
      </c>
      <c r="E159" s="142">
        <f>Bangula!E159+Chikwawa!E159+'Miseu Folo'!E159+Nchalo!E159+Nsanje!E159+Ngabu!E159</f>
        <v>4</v>
      </c>
      <c r="F159" s="142">
        <f>Bangula!F159+Chikwawa!F159+'Miseu Folo'!F159+Nchalo!F159+Nsanje!F159+Ngabu!F159</f>
        <v>4</v>
      </c>
      <c r="G159" s="142">
        <f>Bangula!G159+Chikwawa!G159+'Miseu Folo'!G159+Nchalo!G159+Nsanje!G159+Ngabu!G159</f>
        <v>5</v>
      </c>
      <c r="H159" s="142">
        <f>Bangula!H159+Chikwawa!H159+'Miseu Folo'!H159+Nchalo!H159+Nsanje!H159+Ngabu!H159</f>
        <v>4</v>
      </c>
      <c r="I159" s="142">
        <f>Bangula!I159+Chikwawa!I159+'Miseu Folo'!I159+Nchalo!I159+Nsanje!I159+Ngabu!I159</f>
        <v>6</v>
      </c>
      <c r="J159" s="142">
        <f>Bangula!J159+Chikwawa!J159+'Miseu Folo'!J159+Nchalo!J159+Nsanje!J159+Ngabu!J159</f>
        <v>5</v>
      </c>
      <c r="K159" s="142">
        <f>Bangula!K159+Chikwawa!K159+'Miseu Folo'!K159+Nchalo!K159+Nsanje!K159+Ngabu!K159</f>
        <v>5</v>
      </c>
      <c r="L159" s="142">
        <f>Bangula!L159+Chikwawa!L159+'Miseu Folo'!L159+Nchalo!L159+Nsanje!L159+Ngabu!L159</f>
        <v>8</v>
      </c>
      <c r="M159" s="142">
        <f>Bangula!M159+Chikwawa!M159+'Miseu Folo'!M159+Nchalo!M159+Nsanje!M159+Ngabu!M159</f>
        <v>10</v>
      </c>
      <c r="N159" s="142">
        <f>Bangula!N159+Chikwawa!N159+'Miseu Folo'!N159+Nchalo!N159+Nsanje!N159+Ngabu!N159</f>
        <v>11</v>
      </c>
      <c r="O159" s="142">
        <f>Bangula!O159+Chikwawa!O159+'Miseu Folo'!O159+Nchalo!O159+Nsanje!O159+Ngabu!O159</f>
        <v>12</v>
      </c>
      <c r="P159" s="74">
        <f t="shared" si="71"/>
        <v>78</v>
      </c>
    </row>
    <row r="160" spans="1:16" x14ac:dyDescent="0.3">
      <c r="A160" s="288"/>
      <c r="B160" s="19" t="s">
        <v>50</v>
      </c>
      <c r="C160" s="11" t="s">
        <v>57</v>
      </c>
      <c r="D160" s="142">
        <f>Bangula!D160+Chikwawa!D160+'Miseu Folo'!D160+Nchalo!D160+Nsanje!D160+Ngabu!D160</f>
        <v>3</v>
      </c>
      <c r="E160" s="142">
        <f>Bangula!E160+Chikwawa!E160+'Miseu Folo'!E160+Nchalo!E160+Nsanje!E160+Ngabu!E160</f>
        <v>3</v>
      </c>
      <c r="F160" s="142">
        <f>Bangula!F160+Chikwawa!F160+'Miseu Folo'!F160+Nchalo!F160+Nsanje!F160+Ngabu!F160</f>
        <v>2</v>
      </c>
      <c r="G160" s="142">
        <f>Bangula!G160+Chikwawa!G160+'Miseu Folo'!G160+Nchalo!G160+Nsanje!G160+Ngabu!G160</f>
        <v>4</v>
      </c>
      <c r="H160" s="142">
        <f>Bangula!H160+Chikwawa!H160+'Miseu Folo'!H160+Nchalo!H160+Nsanje!H160+Ngabu!H160</f>
        <v>6</v>
      </c>
      <c r="I160" s="142">
        <f>Bangula!I160+Chikwawa!I160+'Miseu Folo'!I160+Nchalo!I160+Nsanje!I160+Ngabu!I160</f>
        <v>7</v>
      </c>
      <c r="J160" s="142">
        <f>Bangula!J160+Chikwawa!J160+'Miseu Folo'!J160+Nchalo!J160+Nsanje!J160+Ngabu!J160</f>
        <v>9</v>
      </c>
      <c r="K160" s="142">
        <f>Bangula!K160+Chikwawa!K160+'Miseu Folo'!K160+Nchalo!K160+Nsanje!K160+Ngabu!K160</f>
        <v>5</v>
      </c>
      <c r="L160" s="142">
        <f>Bangula!L160+Chikwawa!L160+'Miseu Folo'!L160+Nchalo!L160+Nsanje!L160+Ngabu!L160</f>
        <v>1</v>
      </c>
      <c r="M160" s="142">
        <f>Bangula!M160+Chikwawa!M160+'Miseu Folo'!M160+Nchalo!M160+Nsanje!M160+Ngabu!M160</f>
        <v>1</v>
      </c>
      <c r="N160" s="142">
        <f>Bangula!N160+Chikwawa!N160+'Miseu Folo'!N160+Nchalo!N160+Nsanje!N160+Ngabu!N160</f>
        <v>3</v>
      </c>
      <c r="O160" s="142">
        <f>Bangula!O160+Chikwawa!O160+'Miseu Folo'!O160+Nchalo!O160+Nsanje!O160+Ngabu!O160</f>
        <v>2</v>
      </c>
      <c r="P160" s="74">
        <f t="shared" si="71"/>
        <v>46</v>
      </c>
    </row>
    <row r="161" spans="1:16" x14ac:dyDescent="0.3">
      <c r="A161" s="288"/>
      <c r="B161" s="19" t="s">
        <v>49</v>
      </c>
      <c r="C161" s="11" t="s">
        <v>57</v>
      </c>
      <c r="D161" s="142">
        <f>Bangula!D161+Chikwawa!D161+'Miseu Folo'!D161+Nchalo!D161+Nsanje!D161+Ngabu!D161</f>
        <v>7</v>
      </c>
      <c r="E161" s="142">
        <f>Bangula!E161+Chikwawa!E161+'Miseu Folo'!E161+Nchalo!E161+Nsanje!E161+Ngabu!E161</f>
        <v>8</v>
      </c>
      <c r="F161" s="142">
        <f>Bangula!F161+Chikwawa!F161+'Miseu Folo'!F161+Nchalo!F161+Nsanje!F161+Ngabu!F161</f>
        <v>4</v>
      </c>
      <c r="G161" s="142">
        <f>Bangula!G161+Chikwawa!G161+'Miseu Folo'!G161+Nchalo!G161+Nsanje!G161+Ngabu!G161</f>
        <v>8</v>
      </c>
      <c r="H161" s="142">
        <f>Bangula!H161+Chikwawa!H161+'Miseu Folo'!H161+Nchalo!H161+Nsanje!H161+Ngabu!H161</f>
        <v>11</v>
      </c>
      <c r="I161" s="142">
        <f>Bangula!I161+Chikwawa!I161+'Miseu Folo'!I161+Nchalo!I161+Nsanje!I161+Ngabu!I161</f>
        <v>15</v>
      </c>
      <c r="J161" s="142">
        <f>Bangula!J161+Chikwawa!J161+'Miseu Folo'!J161+Nchalo!J161+Nsanje!J161+Ngabu!J161</f>
        <v>10</v>
      </c>
      <c r="K161" s="142">
        <f>Bangula!K161+Chikwawa!K161+'Miseu Folo'!K161+Nchalo!K161+Nsanje!K161+Ngabu!K161</f>
        <v>10</v>
      </c>
      <c r="L161" s="142">
        <f>Bangula!L161+Chikwawa!L161+'Miseu Folo'!L161+Nchalo!L161+Nsanje!L161+Ngabu!L161</f>
        <v>7</v>
      </c>
      <c r="M161" s="142">
        <f>Bangula!M161+Chikwawa!M161+'Miseu Folo'!M161+Nchalo!M161+Nsanje!M161+Ngabu!M161</f>
        <v>7</v>
      </c>
      <c r="N161" s="142">
        <f>Bangula!N161+Chikwawa!N161+'Miseu Folo'!N161+Nchalo!N161+Nsanje!N161+Ngabu!N161</f>
        <v>7</v>
      </c>
      <c r="O161" s="142">
        <f>Bangula!O161+Chikwawa!O161+'Miseu Folo'!O161+Nchalo!O161+Nsanje!O161+Ngabu!O161</f>
        <v>6</v>
      </c>
      <c r="P161" s="74">
        <f t="shared" si="71"/>
        <v>100</v>
      </c>
    </row>
    <row r="162" spans="1:16" x14ac:dyDescent="0.3">
      <c r="A162" s="288"/>
      <c r="B162" s="19" t="s">
        <v>77</v>
      </c>
      <c r="C162" s="11" t="s">
        <v>57</v>
      </c>
      <c r="D162" s="142">
        <f>Bangula!D162+Chikwawa!D162+'Miseu Folo'!D162+Nchalo!D162+Nsanje!D162+Ngabu!D162</f>
        <v>5</v>
      </c>
      <c r="E162" s="142">
        <f>Bangula!E162+Chikwawa!E162+'Miseu Folo'!E162+Nchalo!E162+Nsanje!E162+Ngabu!E162</f>
        <v>1</v>
      </c>
      <c r="F162" s="142">
        <f>Bangula!F162+Chikwawa!F162+'Miseu Folo'!F162+Nchalo!F162+Nsanje!F162+Ngabu!F162</f>
        <v>1</v>
      </c>
      <c r="G162" s="142">
        <f>Bangula!G162+Chikwawa!G162+'Miseu Folo'!G162+Nchalo!G162+Nsanje!G162+Ngabu!G162</f>
        <v>3</v>
      </c>
      <c r="H162" s="142">
        <f>Bangula!H162+Chikwawa!H162+'Miseu Folo'!H162+Nchalo!H162+Nsanje!H162+Ngabu!H162</f>
        <v>2</v>
      </c>
      <c r="I162" s="142">
        <f>Bangula!I162+Chikwawa!I162+'Miseu Folo'!I162+Nchalo!I162+Nsanje!I162+Ngabu!I162</f>
        <v>4</v>
      </c>
      <c r="J162" s="142">
        <f>Bangula!J162+Chikwawa!J162+'Miseu Folo'!J162+Nchalo!J162+Nsanje!J162+Ngabu!J162</f>
        <v>4</v>
      </c>
      <c r="K162" s="142">
        <f>Bangula!K162+Chikwawa!K162+'Miseu Folo'!K162+Nchalo!K162+Nsanje!K162+Ngabu!K162</f>
        <v>4</v>
      </c>
      <c r="L162" s="142">
        <f>Bangula!L162+Chikwawa!L162+'Miseu Folo'!L162+Nchalo!L162+Nsanje!L162+Ngabu!L162</f>
        <v>5</v>
      </c>
      <c r="M162" s="142">
        <f>Bangula!M162+Chikwawa!M162+'Miseu Folo'!M162+Nchalo!M162+Nsanje!M162+Ngabu!M162</f>
        <v>6</v>
      </c>
      <c r="N162" s="142">
        <f>Bangula!N162+Chikwawa!N162+'Miseu Folo'!N162+Nchalo!N162+Nsanje!N162+Ngabu!N162</f>
        <v>5</v>
      </c>
      <c r="O162" s="142">
        <f>Bangula!O162+Chikwawa!O162+'Miseu Folo'!O162+Nchalo!O162+Nsanje!O162+Ngabu!O162</f>
        <v>4</v>
      </c>
      <c r="P162" s="74">
        <f t="shared" si="71"/>
        <v>44</v>
      </c>
    </row>
    <row r="163" spans="1:16" x14ac:dyDescent="0.3">
      <c r="A163" s="288"/>
      <c r="B163" s="19" t="s">
        <v>69</v>
      </c>
      <c r="C163" s="11" t="s">
        <v>57</v>
      </c>
      <c r="D163" s="142">
        <f>Bangula!D163+Chikwawa!D163+'Miseu Folo'!D163+Nchalo!D163+Nsanje!D163+Ngabu!D163</f>
        <v>2</v>
      </c>
      <c r="E163" s="142">
        <f>Bangula!E163+Chikwawa!E163+'Miseu Folo'!E163+Nchalo!E163+Nsanje!E163+Ngabu!E163</f>
        <v>0</v>
      </c>
      <c r="F163" s="142">
        <f>Bangula!F163+Chikwawa!F163+'Miseu Folo'!F163+Nchalo!F163+Nsanje!F163+Ngabu!F163</f>
        <v>0</v>
      </c>
      <c r="G163" s="142">
        <f>Bangula!G163+Chikwawa!G163+'Miseu Folo'!G163+Nchalo!G163+Nsanje!G163+Ngabu!G163</f>
        <v>1</v>
      </c>
      <c r="H163" s="142">
        <f>Bangula!H163+Chikwawa!H163+'Miseu Folo'!H163+Nchalo!H163+Nsanje!H163+Ngabu!H163</f>
        <v>3</v>
      </c>
      <c r="I163" s="142">
        <f>Bangula!I163+Chikwawa!I163+'Miseu Folo'!I163+Nchalo!I163+Nsanje!I163+Ngabu!I163</f>
        <v>0</v>
      </c>
      <c r="J163" s="142">
        <f>Bangula!J163+Chikwawa!J163+'Miseu Folo'!J163+Nchalo!J163+Nsanje!J163+Ngabu!J163</f>
        <v>0</v>
      </c>
      <c r="K163" s="142">
        <f>Bangula!K163+Chikwawa!K163+'Miseu Folo'!K163+Nchalo!K163+Nsanje!K163+Ngabu!K163</f>
        <v>0</v>
      </c>
      <c r="L163" s="142">
        <f>Bangula!L163+Chikwawa!L163+'Miseu Folo'!L163+Nchalo!L163+Nsanje!L163+Ngabu!L163</f>
        <v>0</v>
      </c>
      <c r="M163" s="142">
        <f>Bangula!M163+Chikwawa!M163+'Miseu Folo'!M163+Nchalo!M163+Nsanje!M163+Ngabu!M163</f>
        <v>0</v>
      </c>
      <c r="N163" s="142">
        <f>Bangula!N163+Chikwawa!N163+'Miseu Folo'!N163+Nchalo!N163+Nsanje!N163+Ngabu!N163</f>
        <v>0</v>
      </c>
      <c r="O163" s="142">
        <f>Bangula!O163+Chikwawa!O163+'Miseu Folo'!O163+Nchalo!O163+Nsanje!O163+Ngabu!O163</f>
        <v>0</v>
      </c>
      <c r="P163" s="74">
        <f t="shared" si="71"/>
        <v>6</v>
      </c>
    </row>
    <row r="164" spans="1:16" x14ac:dyDescent="0.3">
      <c r="A164" s="288"/>
      <c r="B164" s="19" t="s">
        <v>68</v>
      </c>
      <c r="C164" s="11" t="s">
        <v>57</v>
      </c>
      <c r="D164" s="142">
        <f>Bangula!D164+Chikwawa!D164+'Miseu Folo'!D164+Nchalo!D164+Nsanje!D164+Ngabu!D164</f>
        <v>0</v>
      </c>
      <c r="E164" s="142">
        <f>Bangula!E164+Chikwawa!E164+'Miseu Folo'!E164+Nchalo!E164+Nsanje!E164+Ngabu!E164</f>
        <v>0</v>
      </c>
      <c r="F164" s="142">
        <f>Bangula!F164+Chikwawa!F164+'Miseu Folo'!F164+Nchalo!F164+Nsanje!F164+Ngabu!F164</f>
        <v>0</v>
      </c>
      <c r="G164" s="142">
        <f>Bangula!G164+Chikwawa!G164+'Miseu Folo'!G164+Nchalo!G164+Nsanje!G164+Ngabu!G164</f>
        <v>0</v>
      </c>
      <c r="H164" s="142">
        <f>Bangula!H164+Chikwawa!H164+'Miseu Folo'!H164+Nchalo!H164+Nsanje!H164+Ngabu!H164</f>
        <v>0</v>
      </c>
      <c r="I164" s="142">
        <f>Bangula!I164+Chikwawa!I164+'Miseu Folo'!I164+Nchalo!I164+Nsanje!I164+Ngabu!I164</f>
        <v>0</v>
      </c>
      <c r="J164" s="142">
        <f>Bangula!J164+Chikwawa!J164+'Miseu Folo'!J164+Nchalo!J164+Nsanje!J164+Ngabu!J164</f>
        <v>0</v>
      </c>
      <c r="K164" s="142">
        <f>Bangula!K164+Chikwawa!K164+'Miseu Folo'!K164+Nchalo!K164+Nsanje!K164+Ngabu!K164</f>
        <v>0</v>
      </c>
      <c r="L164" s="142">
        <f>Bangula!L164+Chikwawa!L164+'Miseu Folo'!L164+Nchalo!L164+Nsanje!L164+Ngabu!L164</f>
        <v>0</v>
      </c>
      <c r="M164" s="142">
        <f>Bangula!M164+Chikwawa!M164+'Miseu Folo'!M164+Nchalo!M164+Nsanje!M164+Ngabu!M164</f>
        <v>0</v>
      </c>
      <c r="N164" s="142">
        <f>Bangula!N164+Chikwawa!N164+'Miseu Folo'!N164+Nchalo!N164+Nsanje!N164+Ngabu!N164</f>
        <v>0</v>
      </c>
      <c r="O164" s="142">
        <f>Bangula!O164+Chikwawa!O164+'Miseu Folo'!O164+Nchalo!O164+Nsanje!O164+Ngabu!O164</f>
        <v>0</v>
      </c>
      <c r="P164" s="74">
        <f t="shared" si="71"/>
        <v>0</v>
      </c>
    </row>
    <row r="165" spans="1:16" x14ac:dyDescent="0.3">
      <c r="A165" s="289"/>
      <c r="B165" s="19" t="s">
        <v>76</v>
      </c>
      <c r="C165" s="11" t="s">
        <v>57</v>
      </c>
      <c r="D165" s="142">
        <f>Bangula!D165+Chikwawa!D165+'Miseu Folo'!D165+Nchalo!D165+Nsanje!D165+Ngabu!D165</f>
        <v>0</v>
      </c>
      <c r="E165" s="142">
        <f>Bangula!E165+Chikwawa!E165+'Miseu Folo'!E165+Nchalo!E165+Nsanje!E165+Ngabu!E165</f>
        <v>0</v>
      </c>
      <c r="F165" s="142">
        <f>Bangula!F165+Chikwawa!F165+'Miseu Folo'!F165+Nchalo!F165+Nsanje!F165+Ngabu!F165</f>
        <v>0</v>
      </c>
      <c r="G165" s="142">
        <f>Bangula!G165+Chikwawa!G165+'Miseu Folo'!G165+Nchalo!G165+Nsanje!G165+Ngabu!G165</f>
        <v>0</v>
      </c>
      <c r="H165" s="142">
        <f>Bangula!H165+Chikwawa!H165+'Miseu Folo'!H165+Nchalo!H165+Nsanje!H165+Ngabu!H165</f>
        <v>0</v>
      </c>
      <c r="I165" s="142">
        <f>Bangula!I165+Chikwawa!I165+'Miseu Folo'!I165+Nchalo!I165+Nsanje!I165+Ngabu!I165</f>
        <v>0</v>
      </c>
      <c r="J165" s="142">
        <f>Bangula!J165+Chikwawa!J165+'Miseu Folo'!J165+Nchalo!J165+Nsanje!J165+Ngabu!J165</f>
        <v>0</v>
      </c>
      <c r="K165" s="142">
        <f>Bangula!K165+Chikwawa!K165+'Miseu Folo'!K165+Nchalo!K165+Nsanje!K165+Ngabu!K165</f>
        <v>0</v>
      </c>
      <c r="L165" s="142">
        <f>Bangula!L165+Chikwawa!L165+'Miseu Folo'!L165+Nchalo!L165+Nsanje!L165+Ngabu!L165</f>
        <v>0</v>
      </c>
      <c r="M165" s="142">
        <f>Bangula!M165+Chikwawa!M165+'Miseu Folo'!M165+Nchalo!M165+Nsanje!M165+Ngabu!M165</f>
        <v>0</v>
      </c>
      <c r="N165" s="142">
        <f>Bangula!N165+Chikwawa!N165+'Miseu Folo'!N165+Nchalo!N165+Nsanje!N165+Ngabu!N165</f>
        <v>0</v>
      </c>
      <c r="O165" s="142">
        <f>Bangula!O165+Chikwawa!O165+'Miseu Folo'!O165+Nchalo!O165+Nsanje!O165+Ngabu!O165</f>
        <v>0</v>
      </c>
      <c r="P165" s="74">
        <f t="shared" si="71"/>
        <v>0</v>
      </c>
    </row>
    <row r="166" spans="1:16" x14ac:dyDescent="0.3">
      <c r="A166" s="287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74"/>
    </row>
    <row r="167" spans="1:16" x14ac:dyDescent="0.3">
      <c r="A167" s="288"/>
      <c r="B167" s="19" t="s">
        <v>74</v>
      </c>
      <c r="C167" s="11" t="s">
        <v>57</v>
      </c>
      <c r="D167" s="142">
        <f>Bangula!D167+Chikwawa!D167+'Miseu Folo'!D167+Nchalo!D167+Nsanje!D167+Ngabu!D167</f>
        <v>22</v>
      </c>
      <c r="E167" s="142">
        <f>Bangula!E167+Chikwawa!E167+'Miseu Folo'!E167+Nchalo!E167+Nsanje!E167+Ngabu!E167</f>
        <v>25</v>
      </c>
      <c r="F167" s="142">
        <f>Bangula!F167+Chikwawa!F167+'Miseu Folo'!F167+Nchalo!F167+Nsanje!F167+Ngabu!F167</f>
        <v>25</v>
      </c>
      <c r="G167" s="142">
        <f>Bangula!G167+Chikwawa!G167+'Miseu Folo'!G167+Nchalo!G167+Nsanje!G167+Ngabu!G167</f>
        <v>20</v>
      </c>
      <c r="H167" s="142">
        <f>Bangula!H167+Chikwawa!H167+'Miseu Folo'!H167+Nchalo!H167+Nsanje!H167+Ngabu!H167</f>
        <v>20</v>
      </c>
      <c r="I167" s="142">
        <f>Bangula!I167+Chikwawa!I167+'Miseu Folo'!I167+Nchalo!I167+Nsanje!I167+Ngabu!I167</f>
        <v>16</v>
      </c>
      <c r="J167" s="142">
        <f>Bangula!J167+Chikwawa!J167+'Miseu Folo'!J167+Nchalo!J167+Nsanje!J167+Ngabu!J167</f>
        <v>17</v>
      </c>
      <c r="K167" s="142">
        <f>Bangula!K167+Chikwawa!K167+'Miseu Folo'!K167+Nchalo!K167+Nsanje!K167+Ngabu!K167</f>
        <v>37</v>
      </c>
      <c r="L167" s="142">
        <f>Bangula!L167+Chikwawa!L167+'Miseu Folo'!L167+Nchalo!L167+Nsanje!L167+Ngabu!L167</f>
        <v>22</v>
      </c>
      <c r="M167" s="142">
        <f>Bangula!M167+Chikwawa!M167+'Miseu Folo'!M167+Nchalo!M167+Nsanje!M167+Ngabu!M167</f>
        <v>27</v>
      </c>
      <c r="N167" s="142">
        <f>Bangula!N167+Chikwawa!N167+'Miseu Folo'!N167+Nchalo!N167+Nsanje!N167+Ngabu!N167</f>
        <v>23</v>
      </c>
      <c r="O167" s="142">
        <f>Bangula!O167+Chikwawa!O167+'Miseu Folo'!O167+Nchalo!O167+Nsanje!O167+Ngabu!O167</f>
        <v>26</v>
      </c>
      <c r="P167" s="74">
        <f t="shared" ref="P167:P175" si="72">SUM(D167:O167)</f>
        <v>280</v>
      </c>
    </row>
    <row r="168" spans="1:16" x14ac:dyDescent="0.3">
      <c r="A168" s="288"/>
      <c r="B168" s="19" t="s">
        <v>73</v>
      </c>
      <c r="C168" s="11" t="s">
        <v>57</v>
      </c>
      <c r="D168" s="142">
        <f>Bangula!D168+Chikwawa!D168+'Miseu Folo'!D168+Nchalo!D168+Nsanje!D168+Ngabu!D168</f>
        <v>10</v>
      </c>
      <c r="E168" s="142">
        <f>Bangula!E168+Chikwawa!E168+'Miseu Folo'!E168+Nchalo!E168+Nsanje!E168+Ngabu!E168</f>
        <v>20</v>
      </c>
      <c r="F168" s="142">
        <f>Bangula!F168+Chikwawa!F168+'Miseu Folo'!F168+Nchalo!F168+Nsanje!F168+Ngabu!F168</f>
        <v>9</v>
      </c>
      <c r="G168" s="142">
        <f>Bangula!G168+Chikwawa!G168+'Miseu Folo'!G168+Nchalo!G168+Nsanje!G168+Ngabu!G168</f>
        <v>7</v>
      </c>
      <c r="H168" s="142">
        <f>Bangula!H168+Chikwawa!H168+'Miseu Folo'!H168+Nchalo!H168+Nsanje!H168+Ngabu!H168</f>
        <v>8</v>
      </c>
      <c r="I168" s="142">
        <f>Bangula!I168+Chikwawa!I168+'Miseu Folo'!I168+Nchalo!I168+Nsanje!I168+Ngabu!I168</f>
        <v>13</v>
      </c>
      <c r="J168" s="142">
        <f>Bangula!J168+Chikwawa!J168+'Miseu Folo'!J168+Nchalo!J168+Nsanje!J168+Ngabu!J168</f>
        <v>10</v>
      </c>
      <c r="K168" s="142">
        <f>Bangula!K168+Chikwawa!K168+'Miseu Folo'!K168+Nchalo!K168+Nsanje!K168+Ngabu!K168</f>
        <v>12</v>
      </c>
      <c r="L168" s="142">
        <f>Bangula!L168+Chikwawa!L168+'Miseu Folo'!L168+Nchalo!L168+Nsanje!L168+Ngabu!L168</f>
        <v>14</v>
      </c>
      <c r="M168" s="142">
        <f>Bangula!M168+Chikwawa!M168+'Miseu Folo'!M168+Nchalo!M168+Nsanje!M168+Ngabu!M168</f>
        <v>11</v>
      </c>
      <c r="N168" s="142">
        <f>Bangula!N168+Chikwawa!N168+'Miseu Folo'!N168+Nchalo!N168+Nsanje!N168+Ngabu!N168</f>
        <v>8</v>
      </c>
      <c r="O168" s="142">
        <f>Bangula!O168+Chikwawa!O168+'Miseu Folo'!O168+Nchalo!O168+Nsanje!O168+Ngabu!O168</f>
        <v>11</v>
      </c>
      <c r="P168" s="74">
        <f t="shared" si="72"/>
        <v>133</v>
      </c>
    </row>
    <row r="169" spans="1:16" x14ac:dyDescent="0.3">
      <c r="A169" s="288"/>
      <c r="B169" s="19" t="s">
        <v>72</v>
      </c>
      <c r="C169" s="11" t="s">
        <v>57</v>
      </c>
      <c r="D169" s="142">
        <f>Bangula!D169+Chikwawa!D169+'Miseu Folo'!D169+Nchalo!D169+Nsanje!D169+Ngabu!D169</f>
        <v>0</v>
      </c>
      <c r="E169" s="142">
        <f>Bangula!E169+Chikwawa!E169+'Miseu Folo'!E169+Nchalo!E169+Nsanje!E169+Ngabu!E169</f>
        <v>0</v>
      </c>
      <c r="F169" s="142">
        <f>Bangula!F169+Chikwawa!F169+'Miseu Folo'!F169+Nchalo!F169+Nsanje!F169+Ngabu!F169</f>
        <v>0</v>
      </c>
      <c r="G169" s="142">
        <f>Bangula!G169+Chikwawa!G169+'Miseu Folo'!G169+Nchalo!G169+Nsanje!G169+Ngabu!G169</f>
        <v>0</v>
      </c>
      <c r="H169" s="142">
        <f>Bangula!H169+Chikwawa!H169+'Miseu Folo'!H169+Nchalo!H169+Nsanje!H169+Ngabu!H169</f>
        <v>0</v>
      </c>
      <c r="I169" s="142">
        <f>Bangula!I169+Chikwawa!I169+'Miseu Folo'!I169+Nchalo!I169+Nsanje!I169+Ngabu!I169</f>
        <v>1</v>
      </c>
      <c r="J169" s="142">
        <f>Bangula!J169+Chikwawa!J169+'Miseu Folo'!J169+Nchalo!J169+Nsanje!J169+Ngabu!J169</f>
        <v>1</v>
      </c>
      <c r="K169" s="142">
        <f>Bangula!K169+Chikwawa!K169+'Miseu Folo'!K169+Nchalo!K169+Nsanje!K169+Ngabu!K169</f>
        <v>2</v>
      </c>
      <c r="L169" s="142">
        <f>Bangula!L169+Chikwawa!L169+'Miseu Folo'!L169+Nchalo!L169+Nsanje!L169+Ngabu!L169</f>
        <v>3</v>
      </c>
      <c r="M169" s="142">
        <f>Bangula!M169+Chikwawa!M169+'Miseu Folo'!M169+Nchalo!M169+Nsanje!M169+Ngabu!M169</f>
        <v>2</v>
      </c>
      <c r="N169" s="142">
        <f>Bangula!N169+Chikwawa!N169+'Miseu Folo'!N169+Nchalo!N169+Nsanje!N169+Ngabu!N169</f>
        <v>2</v>
      </c>
      <c r="O169" s="142">
        <f>Bangula!O169+Chikwawa!O169+'Miseu Folo'!O169+Nchalo!O169+Nsanje!O169+Ngabu!O169</f>
        <v>3</v>
      </c>
      <c r="P169" s="74">
        <f t="shared" si="72"/>
        <v>14</v>
      </c>
    </row>
    <row r="170" spans="1:16" x14ac:dyDescent="0.3">
      <c r="A170" s="288"/>
      <c r="B170" s="19" t="s">
        <v>71</v>
      </c>
      <c r="C170" s="11" t="s">
        <v>57</v>
      </c>
      <c r="D170" s="142">
        <f>Bangula!D170+Chikwawa!D170+'Miseu Folo'!D170+Nchalo!D170+Nsanje!D170+Ngabu!D170</f>
        <v>0</v>
      </c>
      <c r="E170" s="142">
        <f>Bangula!E170+Chikwawa!E170+'Miseu Folo'!E170+Nchalo!E170+Nsanje!E170+Ngabu!E170</f>
        <v>0</v>
      </c>
      <c r="F170" s="142">
        <f>Bangula!F170+Chikwawa!F170+'Miseu Folo'!F170+Nchalo!F170+Nsanje!F170+Ngabu!F170</f>
        <v>0</v>
      </c>
      <c r="G170" s="142">
        <f>Bangula!G170+Chikwawa!G170+'Miseu Folo'!G170+Nchalo!G170+Nsanje!G170+Ngabu!G170</f>
        <v>0</v>
      </c>
      <c r="H170" s="142">
        <f>Bangula!H170+Chikwawa!H170+'Miseu Folo'!H170+Nchalo!H170+Nsanje!H170+Ngabu!H170</f>
        <v>0</v>
      </c>
      <c r="I170" s="142">
        <f>Bangula!I170+Chikwawa!I170+'Miseu Folo'!I170+Nchalo!I170+Nsanje!I170+Ngabu!I170</f>
        <v>1</v>
      </c>
      <c r="J170" s="142">
        <f>Bangula!J170+Chikwawa!J170+'Miseu Folo'!J170+Nchalo!J170+Nsanje!J170+Ngabu!J170</f>
        <v>1</v>
      </c>
      <c r="K170" s="142">
        <f>Bangula!K170+Chikwawa!K170+'Miseu Folo'!K170+Nchalo!K170+Nsanje!K170+Ngabu!K170</f>
        <v>1</v>
      </c>
      <c r="L170" s="142">
        <f>Bangula!L170+Chikwawa!L170+'Miseu Folo'!L170+Nchalo!L170+Nsanje!L170+Ngabu!L170</f>
        <v>1</v>
      </c>
      <c r="M170" s="142">
        <f>Bangula!M170+Chikwawa!M170+'Miseu Folo'!M170+Nchalo!M170+Nsanje!M170+Ngabu!M170</f>
        <v>2</v>
      </c>
      <c r="N170" s="142">
        <f>Bangula!N170+Chikwawa!N170+'Miseu Folo'!N170+Nchalo!N170+Nsanje!N170+Ngabu!N170</f>
        <v>3</v>
      </c>
      <c r="O170" s="142">
        <f>Bangula!O170+Chikwawa!O170+'Miseu Folo'!O170+Nchalo!O170+Nsanje!O170+Ngabu!O170</f>
        <v>2</v>
      </c>
      <c r="P170" s="74">
        <f t="shared" si="72"/>
        <v>11</v>
      </c>
    </row>
    <row r="171" spans="1:16" x14ac:dyDescent="0.3">
      <c r="A171" s="288"/>
      <c r="B171" s="19" t="s">
        <v>52</v>
      </c>
      <c r="C171" s="11" t="s">
        <v>57</v>
      </c>
      <c r="D171" s="142">
        <f>Bangula!D171+Chikwawa!D171+'Miseu Folo'!D171+Nchalo!D171+Nsanje!D171+Ngabu!D171</f>
        <v>0</v>
      </c>
      <c r="E171" s="142">
        <f>Bangula!E171+Chikwawa!E171+'Miseu Folo'!E171+Nchalo!E171+Nsanje!E171+Ngabu!E171</f>
        <v>0</v>
      </c>
      <c r="F171" s="142">
        <f>Bangula!F171+Chikwawa!F171+'Miseu Folo'!F171+Nchalo!F171+Nsanje!F171+Ngabu!F171</f>
        <v>0</v>
      </c>
      <c r="G171" s="142">
        <f>Bangula!G171+Chikwawa!G171+'Miseu Folo'!G171+Nchalo!G171+Nsanje!G171+Ngabu!G171</f>
        <v>0</v>
      </c>
      <c r="H171" s="142">
        <f>Bangula!H171+Chikwawa!H171+'Miseu Folo'!H171+Nchalo!H171+Nsanje!H171+Ngabu!H171</f>
        <v>0</v>
      </c>
      <c r="I171" s="142">
        <f>Bangula!I171+Chikwawa!I171+'Miseu Folo'!I171+Nchalo!I171+Nsanje!I171+Ngabu!I171</f>
        <v>2</v>
      </c>
      <c r="J171" s="142">
        <f>Bangula!J171+Chikwawa!J171+'Miseu Folo'!J171+Nchalo!J171+Nsanje!J171+Ngabu!J171</f>
        <v>1</v>
      </c>
      <c r="K171" s="142">
        <f>Bangula!K171+Chikwawa!K171+'Miseu Folo'!K171+Nchalo!K171+Nsanje!K171+Ngabu!K171</f>
        <v>1</v>
      </c>
      <c r="L171" s="142">
        <f>Bangula!L171+Chikwawa!L171+'Miseu Folo'!L171+Nchalo!L171+Nsanje!L171+Ngabu!L171</f>
        <v>2</v>
      </c>
      <c r="M171" s="142">
        <f>Bangula!M171+Chikwawa!M171+'Miseu Folo'!M171+Nchalo!M171+Nsanje!M171+Ngabu!M171</f>
        <v>3</v>
      </c>
      <c r="N171" s="142">
        <f>Bangula!N171+Chikwawa!N171+'Miseu Folo'!N171+Nchalo!N171+Nsanje!N171+Ngabu!N171</f>
        <v>2</v>
      </c>
      <c r="O171" s="142">
        <f>Bangula!O171+Chikwawa!O171+'Miseu Folo'!O171+Nchalo!O171+Nsanje!O171+Ngabu!O171</f>
        <v>0</v>
      </c>
      <c r="P171" s="74">
        <f t="shared" si="72"/>
        <v>11</v>
      </c>
    </row>
    <row r="172" spans="1:16" x14ac:dyDescent="0.3">
      <c r="A172" s="288"/>
      <c r="B172" s="19" t="s">
        <v>62</v>
      </c>
      <c r="C172" s="11" t="s">
        <v>57</v>
      </c>
      <c r="D172" s="142">
        <f>Bangula!D172+Chikwawa!D172+'Miseu Folo'!D172+Nchalo!D172+Nsanje!D172+Ngabu!D172</f>
        <v>0</v>
      </c>
      <c r="E172" s="142">
        <f>Bangula!E172+Chikwawa!E172+'Miseu Folo'!E172+Nchalo!E172+Nsanje!E172+Ngabu!E172</f>
        <v>0</v>
      </c>
      <c r="F172" s="142">
        <f>Bangula!F172+Chikwawa!F172+'Miseu Folo'!F172+Nchalo!F172+Nsanje!F172+Ngabu!F172</f>
        <v>0</v>
      </c>
      <c r="G172" s="142">
        <f>Bangula!G172+Chikwawa!G172+'Miseu Folo'!G172+Nchalo!G172+Nsanje!G172+Ngabu!G172</f>
        <v>0</v>
      </c>
      <c r="H172" s="142">
        <f>Bangula!H172+Chikwawa!H172+'Miseu Folo'!H172+Nchalo!H172+Nsanje!H172+Ngabu!H172</f>
        <v>0</v>
      </c>
      <c r="I172" s="142">
        <f>Bangula!I172+Chikwawa!I172+'Miseu Folo'!I172+Nchalo!I172+Nsanje!I172+Ngabu!I172</f>
        <v>0</v>
      </c>
      <c r="J172" s="142">
        <f>Bangula!J172+Chikwawa!J172+'Miseu Folo'!J172+Nchalo!J172+Nsanje!J172+Ngabu!J172</f>
        <v>0</v>
      </c>
      <c r="K172" s="142">
        <f>Bangula!K172+Chikwawa!K172+'Miseu Folo'!K172+Nchalo!K172+Nsanje!K172+Ngabu!K172</f>
        <v>3</v>
      </c>
      <c r="L172" s="142">
        <f>Bangula!L172+Chikwawa!L172+'Miseu Folo'!L172+Nchalo!L172+Nsanje!L172+Ngabu!L172</f>
        <v>6</v>
      </c>
      <c r="M172" s="142">
        <f>Bangula!M172+Chikwawa!M172+'Miseu Folo'!M172+Nchalo!M172+Nsanje!M172+Ngabu!M172</f>
        <v>0</v>
      </c>
      <c r="N172" s="142">
        <f>Bangula!N172+Chikwawa!N172+'Miseu Folo'!N172+Nchalo!N172+Nsanje!N172+Ngabu!N172</f>
        <v>7</v>
      </c>
      <c r="O172" s="142">
        <f>Bangula!O172+Chikwawa!O172+'Miseu Folo'!O172+Nchalo!O172+Nsanje!O172+Ngabu!O172</f>
        <v>0</v>
      </c>
      <c r="P172" s="74">
        <f t="shared" si="72"/>
        <v>16</v>
      </c>
    </row>
    <row r="173" spans="1:16" x14ac:dyDescent="0.3">
      <c r="A173" s="288"/>
      <c r="B173" s="19" t="s">
        <v>61</v>
      </c>
      <c r="C173" s="11" t="s">
        <v>57</v>
      </c>
      <c r="D173" s="142">
        <f>Bangula!D173+Chikwawa!D173+'Miseu Folo'!D173+Nchalo!D173+Nsanje!D173+Ngabu!D173</f>
        <v>0</v>
      </c>
      <c r="E173" s="142">
        <f>Bangula!E173+Chikwawa!E173+'Miseu Folo'!E173+Nchalo!E173+Nsanje!E173+Ngabu!E173</f>
        <v>0</v>
      </c>
      <c r="F173" s="142">
        <f>Bangula!F173+Chikwawa!F173+'Miseu Folo'!F173+Nchalo!F173+Nsanje!F173+Ngabu!F173</f>
        <v>0</v>
      </c>
      <c r="G173" s="142">
        <f>Bangula!G173+Chikwawa!G173+'Miseu Folo'!G173+Nchalo!G173+Nsanje!G173+Ngabu!G173</f>
        <v>0</v>
      </c>
      <c r="H173" s="142">
        <f>Bangula!H173+Chikwawa!H173+'Miseu Folo'!H173+Nchalo!H173+Nsanje!H173+Ngabu!H173</f>
        <v>0</v>
      </c>
      <c r="I173" s="142">
        <f>Bangula!I173+Chikwawa!I173+'Miseu Folo'!I173+Nchalo!I173+Nsanje!I173+Ngabu!I173</f>
        <v>0</v>
      </c>
      <c r="J173" s="142">
        <f>Bangula!J173+Chikwawa!J173+'Miseu Folo'!J173+Nchalo!J173+Nsanje!J173+Ngabu!J173</f>
        <v>0</v>
      </c>
      <c r="K173" s="142">
        <f>Bangula!K173+Chikwawa!K173+'Miseu Folo'!K173+Nchalo!K173+Nsanje!K173+Ngabu!K173</f>
        <v>3</v>
      </c>
      <c r="L173" s="142">
        <f>Bangula!L173+Chikwawa!L173+'Miseu Folo'!L173+Nchalo!L173+Nsanje!L173+Ngabu!L173</f>
        <v>0</v>
      </c>
      <c r="M173" s="142">
        <f>Bangula!M173+Chikwawa!M173+'Miseu Folo'!M173+Nchalo!M173+Nsanje!M173+Ngabu!M173</f>
        <v>0</v>
      </c>
      <c r="N173" s="142">
        <f>Bangula!N173+Chikwawa!N173+'Miseu Folo'!N173+Nchalo!N173+Nsanje!N173+Ngabu!N173</f>
        <v>0</v>
      </c>
      <c r="O173" s="142">
        <f>Bangula!O173+Chikwawa!O173+'Miseu Folo'!O173+Nchalo!O173+Nsanje!O173+Ngabu!O173</f>
        <v>0</v>
      </c>
      <c r="P173" s="74">
        <f t="shared" si="72"/>
        <v>3</v>
      </c>
    </row>
    <row r="174" spans="1:16" x14ac:dyDescent="0.3">
      <c r="A174" s="288"/>
      <c r="B174" s="19" t="s">
        <v>60</v>
      </c>
      <c r="C174" s="11" t="s">
        <v>57</v>
      </c>
      <c r="D174" s="142">
        <f>Bangula!D174+Chikwawa!D174+'Miseu Folo'!D174+Nchalo!D174+Nsanje!D174+Ngabu!D174</f>
        <v>0</v>
      </c>
      <c r="E174" s="142">
        <f>Bangula!E174+Chikwawa!E174+'Miseu Folo'!E174+Nchalo!E174+Nsanje!E174+Ngabu!E174</f>
        <v>0</v>
      </c>
      <c r="F174" s="142">
        <f>Bangula!F174+Chikwawa!F174+'Miseu Folo'!F174+Nchalo!F174+Nsanje!F174+Ngabu!F174</f>
        <v>0</v>
      </c>
      <c r="G174" s="142">
        <f>Bangula!G174+Chikwawa!G174+'Miseu Folo'!G174+Nchalo!G174+Nsanje!G174+Ngabu!G174</f>
        <v>0</v>
      </c>
      <c r="H174" s="142">
        <f>Bangula!H174+Chikwawa!H174+'Miseu Folo'!H174+Nchalo!H174+Nsanje!H174+Ngabu!H174</f>
        <v>0</v>
      </c>
      <c r="I174" s="142">
        <f>Bangula!I174+Chikwawa!I174+'Miseu Folo'!I174+Nchalo!I174+Nsanje!I174+Ngabu!I174</f>
        <v>0</v>
      </c>
      <c r="J174" s="142">
        <f>Bangula!J174+Chikwawa!J174+'Miseu Folo'!J174+Nchalo!J174+Nsanje!J174+Ngabu!J174</f>
        <v>0</v>
      </c>
      <c r="K174" s="142">
        <f>Bangula!K174+Chikwawa!K174+'Miseu Folo'!K174+Nchalo!K174+Nsanje!K174+Ngabu!K174</f>
        <v>0</v>
      </c>
      <c r="L174" s="142">
        <f>Bangula!L174+Chikwawa!L174+'Miseu Folo'!L174+Nchalo!L174+Nsanje!L174+Ngabu!L174</f>
        <v>0</v>
      </c>
      <c r="M174" s="142">
        <f>Bangula!M174+Chikwawa!M174+'Miseu Folo'!M174+Nchalo!M174+Nsanje!M174+Ngabu!M174</f>
        <v>0</v>
      </c>
      <c r="N174" s="142">
        <f>Bangula!N174+Chikwawa!N174+'Miseu Folo'!N174+Nchalo!N174+Nsanje!N174+Ngabu!N174</f>
        <v>0</v>
      </c>
      <c r="O174" s="142">
        <f>Bangula!O174+Chikwawa!O174+'Miseu Folo'!O174+Nchalo!O174+Nsanje!O174+Ngabu!O174</f>
        <v>0</v>
      </c>
      <c r="P174" s="74">
        <f t="shared" si="72"/>
        <v>0</v>
      </c>
    </row>
    <row r="175" spans="1:16" x14ac:dyDescent="0.3">
      <c r="A175" s="289"/>
      <c r="B175" s="19" t="s">
        <v>69</v>
      </c>
      <c r="C175" s="11" t="s">
        <v>57</v>
      </c>
      <c r="D175" s="142">
        <f>Bangula!D175+Chikwawa!D175+'Miseu Folo'!D175+Nchalo!D175+Nsanje!D175+Ngabu!D175</f>
        <v>0</v>
      </c>
      <c r="E175" s="142">
        <f>Bangula!E175+Chikwawa!E175+'Miseu Folo'!E175+Nchalo!E175+Nsanje!E175+Ngabu!E175</f>
        <v>0</v>
      </c>
      <c r="F175" s="142">
        <f>Bangula!F175+Chikwawa!F175+'Miseu Folo'!F175+Nchalo!F175+Nsanje!F175+Ngabu!F175</f>
        <v>0</v>
      </c>
      <c r="G175" s="142">
        <f>Bangula!G175+Chikwawa!G175+'Miseu Folo'!G175+Nchalo!G175+Nsanje!G175+Ngabu!G175</f>
        <v>0</v>
      </c>
      <c r="H175" s="142">
        <f>Bangula!H175+Chikwawa!H175+'Miseu Folo'!H175+Nchalo!H175+Nsanje!H175+Ngabu!H175</f>
        <v>0</v>
      </c>
      <c r="I175" s="142">
        <f>Bangula!I175+Chikwawa!I175+'Miseu Folo'!I175+Nchalo!I175+Nsanje!I175+Ngabu!I175</f>
        <v>0</v>
      </c>
      <c r="J175" s="142">
        <f>Bangula!J175+Chikwawa!J175+'Miseu Folo'!J175+Nchalo!J175+Nsanje!J175+Ngabu!J175</f>
        <v>0</v>
      </c>
      <c r="K175" s="142">
        <f>Bangula!K175+Chikwawa!K175+'Miseu Folo'!K175+Nchalo!K175+Nsanje!K175+Ngabu!K175</f>
        <v>0</v>
      </c>
      <c r="L175" s="142">
        <f>Bangula!L175+Chikwawa!L175+'Miseu Folo'!L175+Nchalo!L175+Nsanje!L175+Ngabu!L175</f>
        <v>0</v>
      </c>
      <c r="M175" s="142">
        <f>Bangula!M175+Chikwawa!M175+'Miseu Folo'!M175+Nchalo!M175+Nsanje!M175+Ngabu!M175</f>
        <v>0</v>
      </c>
      <c r="N175" s="142">
        <f>Bangula!N175+Chikwawa!N175+'Miseu Folo'!N175+Nchalo!N175+Nsanje!N175+Ngabu!N175</f>
        <v>0</v>
      </c>
      <c r="O175" s="142">
        <f>Bangula!O175+Chikwawa!O175+'Miseu Folo'!O175+Nchalo!O175+Nsanje!O175+Ngabu!O175</f>
        <v>0</v>
      </c>
      <c r="P175" s="74">
        <f t="shared" si="72"/>
        <v>0</v>
      </c>
    </row>
    <row r="176" spans="1:16" x14ac:dyDescent="0.3">
      <c r="A176" s="287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74"/>
    </row>
    <row r="177" spans="1:16" x14ac:dyDescent="0.3">
      <c r="A177" s="288"/>
      <c r="B177" s="19" t="s">
        <v>60</v>
      </c>
      <c r="C177" s="11" t="s">
        <v>57</v>
      </c>
      <c r="D177" s="132">
        <f>Bangula!D177+Chikwawa!D177+'Miseu Folo'!D177+Nchalo!D177+Nsanje!D177+Ngabu!D177</f>
        <v>0</v>
      </c>
      <c r="E177" s="132">
        <f>Bangula!E177+Chikwawa!E177+'Miseu Folo'!E177+Nchalo!E177+Nsanje!E177+Ngabu!E177</f>
        <v>0</v>
      </c>
      <c r="F177" s="132">
        <f>Bangula!F177+Chikwawa!F177+'Miseu Folo'!F177+Nchalo!F177+Nsanje!F177+Ngabu!F177</f>
        <v>0</v>
      </c>
      <c r="G177" s="132">
        <f>Bangula!G177+Chikwawa!G177+'Miseu Folo'!G177+Nchalo!G177+Nsanje!G177+Ngabu!G177</f>
        <v>0</v>
      </c>
      <c r="H177" s="132">
        <f>Bangula!H177+Chikwawa!H177+'Miseu Folo'!H177+Nchalo!H177+Nsanje!H177+Ngabu!H177</f>
        <v>0</v>
      </c>
      <c r="I177" s="132">
        <f>Bangula!I177+Chikwawa!I177+'Miseu Folo'!I177+Nchalo!I177+Nsanje!I177+Ngabu!I177</f>
        <v>0</v>
      </c>
      <c r="J177" s="132">
        <f>Bangula!J177+Chikwawa!J177+'Miseu Folo'!J177+Nchalo!J177+Nsanje!J177+Ngabu!J177</f>
        <v>0</v>
      </c>
      <c r="K177" s="132">
        <f>Bangula!K177+Chikwawa!K177+'Miseu Folo'!K177+Nchalo!K177+Nsanje!K177+Ngabu!K177</f>
        <v>0</v>
      </c>
      <c r="L177" s="132">
        <f>Bangula!L177+Chikwawa!L177+'Miseu Folo'!L177+Nchalo!L177+Nsanje!L177+Ngabu!L177</f>
        <v>0</v>
      </c>
      <c r="M177" s="132">
        <f>Bangula!M177+Chikwawa!M177+'Miseu Folo'!M177+Nchalo!M177+Nsanje!M177+Ngabu!M177</f>
        <v>0</v>
      </c>
      <c r="N177" s="132">
        <f>Bangula!N177+Chikwawa!N177+'Miseu Folo'!N177+Nchalo!N177+Nsanje!N177+Ngabu!N177</f>
        <v>0</v>
      </c>
      <c r="O177" s="132">
        <f>Bangula!O177+Chikwawa!O177+'Miseu Folo'!O177+Nchalo!O177+Nsanje!O177+Ngabu!O177</f>
        <v>0</v>
      </c>
      <c r="P177" s="74">
        <f t="shared" ref="P177:P182" si="73">SUM(D177:O177)</f>
        <v>0</v>
      </c>
    </row>
    <row r="178" spans="1:16" x14ac:dyDescent="0.3">
      <c r="A178" s="288"/>
      <c r="B178" s="19" t="s">
        <v>69</v>
      </c>
      <c r="C178" s="11" t="s">
        <v>57</v>
      </c>
      <c r="D178" s="132">
        <f>Bangula!D178+Chikwawa!D178+'Miseu Folo'!D178+Nchalo!D178+Nsanje!D178+Ngabu!D178</f>
        <v>0</v>
      </c>
      <c r="E178" s="132">
        <f>Bangula!E178+Chikwawa!E178+'Miseu Folo'!E178+Nchalo!E178+Nsanje!E178+Ngabu!E178</f>
        <v>0</v>
      </c>
      <c r="F178" s="132">
        <f>Bangula!F178+Chikwawa!F178+'Miseu Folo'!F178+Nchalo!F178+Nsanje!F178+Ngabu!F178</f>
        <v>0</v>
      </c>
      <c r="G178" s="132">
        <f>Bangula!G178+Chikwawa!G178+'Miseu Folo'!G178+Nchalo!G178+Nsanje!G178+Ngabu!G178</f>
        <v>0</v>
      </c>
      <c r="H178" s="132">
        <f>Bangula!H178+Chikwawa!H178+'Miseu Folo'!H178+Nchalo!H178+Nsanje!H178+Ngabu!H178</f>
        <v>0</v>
      </c>
      <c r="I178" s="132">
        <f>Bangula!I178+Chikwawa!I178+'Miseu Folo'!I178+Nchalo!I178+Nsanje!I178+Ngabu!I178</f>
        <v>0</v>
      </c>
      <c r="J178" s="132">
        <f>Bangula!J178+Chikwawa!J178+'Miseu Folo'!J178+Nchalo!J178+Nsanje!J178+Ngabu!J178</f>
        <v>0</v>
      </c>
      <c r="K178" s="132">
        <f>Bangula!K178+Chikwawa!K178+'Miseu Folo'!K178+Nchalo!K178+Nsanje!K178+Ngabu!K178</f>
        <v>0</v>
      </c>
      <c r="L178" s="132">
        <f>Bangula!L178+Chikwawa!L178+'Miseu Folo'!L178+Nchalo!L178+Nsanje!L178+Ngabu!L178</f>
        <v>0</v>
      </c>
      <c r="M178" s="132">
        <f>Bangula!M178+Chikwawa!M178+'Miseu Folo'!M178+Nchalo!M178+Nsanje!M178+Ngabu!M178</f>
        <v>0</v>
      </c>
      <c r="N178" s="132">
        <f>Bangula!N178+Chikwawa!N178+'Miseu Folo'!N178+Nchalo!N178+Nsanje!N178+Ngabu!N178</f>
        <v>0</v>
      </c>
      <c r="O178" s="132">
        <f>Bangula!O178+Chikwawa!O178+'Miseu Folo'!O178+Nchalo!O178+Nsanje!O178+Ngabu!O178</f>
        <v>0</v>
      </c>
      <c r="P178" s="74">
        <f t="shared" si="73"/>
        <v>0</v>
      </c>
    </row>
    <row r="179" spans="1:16" x14ac:dyDescent="0.3">
      <c r="A179" s="288"/>
      <c r="B179" s="19" t="s">
        <v>68</v>
      </c>
      <c r="C179" s="11" t="s">
        <v>57</v>
      </c>
      <c r="D179" s="132">
        <f>Bangula!D179+Chikwawa!D179+'Miseu Folo'!D179+Nchalo!D179+Nsanje!D179+Ngabu!D179</f>
        <v>0</v>
      </c>
      <c r="E179" s="132">
        <f>Bangula!E179+Chikwawa!E179+'Miseu Folo'!E179+Nchalo!E179+Nsanje!E179+Ngabu!E179</f>
        <v>0</v>
      </c>
      <c r="F179" s="132">
        <f>Bangula!F179+Chikwawa!F179+'Miseu Folo'!F179+Nchalo!F179+Nsanje!F179+Ngabu!F179</f>
        <v>0</v>
      </c>
      <c r="G179" s="132">
        <f>Bangula!G179+Chikwawa!G179+'Miseu Folo'!G179+Nchalo!G179+Nsanje!G179+Ngabu!G179</f>
        <v>0</v>
      </c>
      <c r="H179" s="132">
        <f>Bangula!H179+Chikwawa!H179+'Miseu Folo'!H179+Nchalo!H179+Nsanje!H179+Ngabu!H179</f>
        <v>0</v>
      </c>
      <c r="I179" s="132">
        <f>Bangula!I179+Chikwawa!I179+'Miseu Folo'!I179+Nchalo!I179+Nsanje!I179+Ngabu!I179</f>
        <v>0</v>
      </c>
      <c r="J179" s="132">
        <f>Bangula!J179+Chikwawa!J179+'Miseu Folo'!J179+Nchalo!J179+Nsanje!J179+Ngabu!J179</f>
        <v>0</v>
      </c>
      <c r="K179" s="132">
        <f>Bangula!K179+Chikwawa!K179+'Miseu Folo'!K179+Nchalo!K179+Nsanje!K179+Ngabu!K179</f>
        <v>0</v>
      </c>
      <c r="L179" s="132">
        <f>Bangula!L179+Chikwawa!L179+'Miseu Folo'!L179+Nchalo!L179+Nsanje!L179+Ngabu!L179</f>
        <v>0</v>
      </c>
      <c r="M179" s="132">
        <f>Bangula!M179+Chikwawa!M179+'Miseu Folo'!M179+Nchalo!M179+Nsanje!M179+Ngabu!M179</f>
        <v>0</v>
      </c>
      <c r="N179" s="132">
        <f>Bangula!N179+Chikwawa!N179+'Miseu Folo'!N179+Nchalo!N179+Nsanje!N179+Ngabu!N179</f>
        <v>0</v>
      </c>
      <c r="O179" s="132">
        <f>Bangula!O179+Chikwawa!O179+'Miseu Folo'!O179+Nchalo!O179+Nsanje!O179+Ngabu!O179</f>
        <v>0</v>
      </c>
      <c r="P179" s="74">
        <f t="shared" si="73"/>
        <v>0</v>
      </c>
    </row>
    <row r="180" spans="1:16" x14ac:dyDescent="0.3">
      <c r="A180" s="288"/>
      <c r="B180" s="19" t="s">
        <v>67</v>
      </c>
      <c r="C180" s="11" t="s">
        <v>57</v>
      </c>
      <c r="D180" s="132">
        <f>Bangula!D180+Chikwawa!D180+'Miseu Folo'!D180+Nchalo!D180+Nsanje!D180+Ngabu!D180</f>
        <v>0</v>
      </c>
      <c r="E180" s="132">
        <f>Bangula!E180+Chikwawa!E180+'Miseu Folo'!E180+Nchalo!E180+Nsanje!E180+Ngabu!E180</f>
        <v>0</v>
      </c>
      <c r="F180" s="132">
        <f>Bangula!F180+Chikwawa!F180+'Miseu Folo'!F180+Nchalo!F180+Nsanje!F180+Ngabu!F180</f>
        <v>0</v>
      </c>
      <c r="G180" s="132">
        <f>Bangula!G180+Chikwawa!G180+'Miseu Folo'!G180+Nchalo!G180+Nsanje!G180+Ngabu!G180</f>
        <v>0</v>
      </c>
      <c r="H180" s="132">
        <f>Bangula!H180+Chikwawa!H180+'Miseu Folo'!H180+Nchalo!H180+Nsanje!H180+Ngabu!H180</f>
        <v>0</v>
      </c>
      <c r="I180" s="132">
        <f>Bangula!I180+Chikwawa!I180+'Miseu Folo'!I180+Nchalo!I180+Nsanje!I180+Ngabu!I180</f>
        <v>0</v>
      </c>
      <c r="J180" s="132">
        <f>Bangula!J180+Chikwawa!J180+'Miseu Folo'!J180+Nchalo!J180+Nsanje!J180+Ngabu!J180</f>
        <v>0</v>
      </c>
      <c r="K180" s="132">
        <f>Bangula!K180+Chikwawa!K180+'Miseu Folo'!K180+Nchalo!K180+Nsanje!K180+Ngabu!K180</f>
        <v>0</v>
      </c>
      <c r="L180" s="132">
        <f>Bangula!L180+Chikwawa!L180+'Miseu Folo'!L180+Nchalo!L180+Nsanje!L180+Ngabu!L180</f>
        <v>0</v>
      </c>
      <c r="M180" s="132">
        <f>Bangula!M180+Chikwawa!M180+'Miseu Folo'!M180+Nchalo!M180+Nsanje!M180+Ngabu!M180</f>
        <v>0</v>
      </c>
      <c r="N180" s="132">
        <f>Bangula!N180+Chikwawa!N180+'Miseu Folo'!N180+Nchalo!N180+Nsanje!N180+Ngabu!N180</f>
        <v>0</v>
      </c>
      <c r="O180" s="132">
        <f>Bangula!O180+Chikwawa!O180+'Miseu Folo'!O180+Nchalo!O180+Nsanje!O180+Ngabu!O180</f>
        <v>0</v>
      </c>
      <c r="P180" s="74">
        <f t="shared" si="73"/>
        <v>0</v>
      </c>
    </row>
    <row r="181" spans="1:16" x14ac:dyDescent="0.3">
      <c r="A181" s="288"/>
      <c r="B181" s="19" t="s">
        <v>66</v>
      </c>
      <c r="C181" s="11" t="s">
        <v>57</v>
      </c>
      <c r="D181" s="132">
        <f>Bangula!D181+Chikwawa!D181+'Miseu Folo'!D181+Nchalo!D181+Nsanje!D181+Ngabu!D181</f>
        <v>0</v>
      </c>
      <c r="E181" s="132">
        <f>Bangula!E181+Chikwawa!E181+'Miseu Folo'!E181+Nchalo!E181+Nsanje!E181+Ngabu!E181</f>
        <v>0</v>
      </c>
      <c r="F181" s="132">
        <f>Bangula!F181+Chikwawa!F181+'Miseu Folo'!F181+Nchalo!F181+Nsanje!F181+Ngabu!F181</f>
        <v>0</v>
      </c>
      <c r="G181" s="132">
        <f>Bangula!G181+Chikwawa!G181+'Miseu Folo'!G181+Nchalo!G181+Nsanje!G181+Ngabu!G181</f>
        <v>0</v>
      </c>
      <c r="H181" s="132">
        <f>Bangula!H181+Chikwawa!H181+'Miseu Folo'!H181+Nchalo!H181+Nsanje!H181+Ngabu!H181</f>
        <v>0</v>
      </c>
      <c r="I181" s="132">
        <f>Bangula!I181+Chikwawa!I181+'Miseu Folo'!I181+Nchalo!I181+Nsanje!I181+Ngabu!I181</f>
        <v>0</v>
      </c>
      <c r="J181" s="132">
        <f>Bangula!J181+Chikwawa!J181+'Miseu Folo'!J181+Nchalo!J181+Nsanje!J181+Ngabu!J181</f>
        <v>0</v>
      </c>
      <c r="K181" s="132">
        <f>Bangula!K181+Chikwawa!K181+'Miseu Folo'!K181+Nchalo!K181+Nsanje!K181+Ngabu!K181</f>
        <v>0</v>
      </c>
      <c r="L181" s="132">
        <f>Bangula!L181+Chikwawa!L181+'Miseu Folo'!L181+Nchalo!L181+Nsanje!L181+Ngabu!L181</f>
        <v>0</v>
      </c>
      <c r="M181" s="132">
        <f>Bangula!M181+Chikwawa!M181+'Miseu Folo'!M181+Nchalo!M181+Nsanje!M181+Ngabu!M181</f>
        <v>0</v>
      </c>
      <c r="N181" s="132">
        <f>Bangula!N181+Chikwawa!N181+'Miseu Folo'!N181+Nchalo!N181+Nsanje!N181+Ngabu!N181</f>
        <v>0</v>
      </c>
      <c r="O181" s="132">
        <f>Bangula!O181+Chikwawa!O181+'Miseu Folo'!O181+Nchalo!O181+Nsanje!O181+Ngabu!O181</f>
        <v>0</v>
      </c>
      <c r="P181" s="74">
        <f t="shared" si="73"/>
        <v>0</v>
      </c>
    </row>
    <row r="182" spans="1:16" x14ac:dyDescent="0.3">
      <c r="A182" s="289"/>
      <c r="B182" s="19" t="s">
        <v>65</v>
      </c>
      <c r="C182" s="11" t="s">
        <v>57</v>
      </c>
      <c r="D182" s="132">
        <f>Bangula!D182+Chikwawa!D182+'Miseu Folo'!D182+Nchalo!D182+Nsanje!D182+Ngabu!D182</f>
        <v>0</v>
      </c>
      <c r="E182" s="132">
        <f>Bangula!E182+Chikwawa!E182+'Miseu Folo'!E182+Nchalo!E182+Nsanje!E182+Ngabu!E182</f>
        <v>0</v>
      </c>
      <c r="F182" s="132">
        <f>Bangula!F182+Chikwawa!F182+'Miseu Folo'!F182+Nchalo!F182+Nsanje!F182+Ngabu!F182</f>
        <v>0</v>
      </c>
      <c r="G182" s="132">
        <f>Bangula!G182+Chikwawa!G182+'Miseu Folo'!G182+Nchalo!G182+Nsanje!G182+Ngabu!G182</f>
        <v>0</v>
      </c>
      <c r="H182" s="132">
        <f>Bangula!H182+Chikwawa!H182+'Miseu Folo'!H182+Nchalo!H182+Nsanje!H182+Ngabu!H182</f>
        <v>0</v>
      </c>
      <c r="I182" s="132">
        <f>Bangula!I182+Chikwawa!I182+'Miseu Folo'!I182+Nchalo!I182+Nsanje!I182+Ngabu!I182</f>
        <v>0</v>
      </c>
      <c r="J182" s="132">
        <f>Bangula!J182+Chikwawa!J182+'Miseu Folo'!J182+Nchalo!J182+Nsanje!J182+Ngabu!J182</f>
        <v>0</v>
      </c>
      <c r="K182" s="132">
        <f>Bangula!K182+Chikwawa!K182+'Miseu Folo'!K182+Nchalo!K182+Nsanje!K182+Ngabu!K182</f>
        <v>0</v>
      </c>
      <c r="L182" s="132">
        <f>Bangula!L182+Chikwawa!L182+'Miseu Folo'!L182+Nchalo!L182+Nsanje!L182+Ngabu!L182</f>
        <v>0</v>
      </c>
      <c r="M182" s="132">
        <f>Bangula!M182+Chikwawa!M182+'Miseu Folo'!M182+Nchalo!M182+Nsanje!M182+Ngabu!M182</f>
        <v>0</v>
      </c>
      <c r="N182" s="132">
        <f>Bangula!N182+Chikwawa!N182+'Miseu Folo'!N182+Nchalo!N182+Nsanje!N182+Ngabu!N182</f>
        <v>0</v>
      </c>
      <c r="O182" s="132">
        <f>Bangula!O182+Chikwawa!O182+'Miseu Folo'!O182+Nchalo!O182+Nsanje!O182+Ngabu!O182</f>
        <v>0</v>
      </c>
      <c r="P182" s="74">
        <f t="shared" si="73"/>
        <v>0</v>
      </c>
    </row>
    <row r="183" spans="1:16" x14ac:dyDescent="0.3">
      <c r="A183" s="287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74"/>
    </row>
    <row r="184" spans="1:16" x14ac:dyDescent="0.3">
      <c r="A184" s="288"/>
      <c r="B184" s="19" t="s">
        <v>73</v>
      </c>
      <c r="C184" s="11" t="s">
        <v>57</v>
      </c>
      <c r="D184" s="132">
        <f>Bangula!D184+Chikwawa!D184+'Miseu Folo'!D184+Nchalo!D184+Nsanje!D184+Ngabu!D184</f>
        <v>0</v>
      </c>
      <c r="E184" s="132">
        <f>Bangula!E184+Chikwawa!E184+'Miseu Folo'!E184+Nchalo!E184+Nsanje!E184+Ngabu!E184</f>
        <v>0</v>
      </c>
      <c r="F184" s="132">
        <f>Bangula!F184+Chikwawa!F184+'Miseu Folo'!F184+Nchalo!F184+Nsanje!F184+Ngabu!F184</f>
        <v>0</v>
      </c>
      <c r="G184" s="132">
        <f>Bangula!G184+Chikwawa!G184+'Miseu Folo'!G184+Nchalo!G184+Nsanje!G184+Ngabu!G184</f>
        <v>0</v>
      </c>
      <c r="H184" s="132">
        <f>Bangula!H184+Chikwawa!H184+'Miseu Folo'!H184+Nchalo!H184+Nsanje!H184+Ngabu!H184</f>
        <v>0</v>
      </c>
      <c r="I184" s="132">
        <f>Bangula!I184+Chikwawa!I184+'Miseu Folo'!I184+Nchalo!I184+Nsanje!I184+Ngabu!I184</f>
        <v>0</v>
      </c>
      <c r="J184" s="132">
        <f>Bangula!J184+Chikwawa!J184+'Miseu Folo'!J184+Nchalo!J184+Nsanje!J184+Ngabu!J184</f>
        <v>0</v>
      </c>
      <c r="K184" s="132">
        <f>Bangula!K184+Chikwawa!K184+'Miseu Folo'!K184+Nchalo!K184+Nsanje!K184+Ngabu!K184</f>
        <v>0</v>
      </c>
      <c r="L184" s="132">
        <f>Bangula!L184+Chikwawa!L184+'Miseu Folo'!L184+Nchalo!L184+Nsanje!L184+Ngabu!L184</f>
        <v>0</v>
      </c>
      <c r="M184" s="132">
        <f>Bangula!M184+Chikwawa!M184+'Miseu Folo'!M184+Nchalo!M184+Nsanje!M184+Ngabu!M184</f>
        <v>0</v>
      </c>
      <c r="N184" s="132">
        <f>Bangula!N184+Chikwawa!N184+'Miseu Folo'!N184+Nchalo!N184+Nsanje!N184+Ngabu!N184</f>
        <v>0</v>
      </c>
      <c r="O184" s="132">
        <f>Bangula!O184+Chikwawa!O184+'Miseu Folo'!O184+Nchalo!O184+Nsanje!O184+Ngabu!O184</f>
        <v>0</v>
      </c>
      <c r="P184" s="74">
        <f>SUM(D184:O184)</f>
        <v>0</v>
      </c>
    </row>
    <row r="185" spans="1:16" x14ac:dyDescent="0.3">
      <c r="A185" s="288"/>
      <c r="B185" s="19" t="s">
        <v>72</v>
      </c>
      <c r="C185" s="11" t="s">
        <v>57</v>
      </c>
      <c r="D185" s="132">
        <f>Bangula!D185+Chikwawa!D185+'Miseu Folo'!D185+Nchalo!D185+Nsanje!D185+Ngabu!D185</f>
        <v>0</v>
      </c>
      <c r="E185" s="132">
        <f>Bangula!E185+Chikwawa!E185+'Miseu Folo'!E185+Nchalo!E185+Nsanje!E185+Ngabu!E185</f>
        <v>0</v>
      </c>
      <c r="F185" s="132">
        <f>Bangula!F185+Chikwawa!F185+'Miseu Folo'!F185+Nchalo!F185+Nsanje!F185+Ngabu!F185</f>
        <v>0</v>
      </c>
      <c r="G185" s="132">
        <f>Bangula!G185+Chikwawa!G185+'Miseu Folo'!G185+Nchalo!G185+Nsanje!G185+Ngabu!G185</f>
        <v>0</v>
      </c>
      <c r="H185" s="132">
        <f>Bangula!H185+Chikwawa!H185+'Miseu Folo'!H185+Nchalo!H185+Nsanje!H185+Ngabu!H185</f>
        <v>0</v>
      </c>
      <c r="I185" s="132">
        <f>Bangula!I185+Chikwawa!I185+'Miseu Folo'!I185+Nchalo!I185+Nsanje!I185+Ngabu!I185</f>
        <v>0</v>
      </c>
      <c r="J185" s="132">
        <f>Bangula!J185+Chikwawa!J185+'Miseu Folo'!J185+Nchalo!J185+Nsanje!J185+Ngabu!J185</f>
        <v>0</v>
      </c>
      <c r="K185" s="132">
        <f>Bangula!K185+Chikwawa!K185+'Miseu Folo'!K185+Nchalo!K185+Nsanje!K185+Ngabu!K185</f>
        <v>0</v>
      </c>
      <c r="L185" s="132">
        <f>Bangula!L185+Chikwawa!L185+'Miseu Folo'!L185+Nchalo!L185+Nsanje!L185+Ngabu!L185</f>
        <v>0</v>
      </c>
      <c r="M185" s="132">
        <f>Bangula!M185+Chikwawa!M185+'Miseu Folo'!M185+Nchalo!M185+Nsanje!M185+Ngabu!M185</f>
        <v>0</v>
      </c>
      <c r="N185" s="132">
        <f>Bangula!N185+Chikwawa!N185+'Miseu Folo'!N185+Nchalo!N185+Nsanje!N185+Ngabu!N185</f>
        <v>0</v>
      </c>
      <c r="O185" s="132">
        <f>Bangula!O185+Chikwawa!O185+'Miseu Folo'!O185+Nchalo!O185+Nsanje!O185+Ngabu!O185</f>
        <v>0</v>
      </c>
      <c r="P185" s="74">
        <f>SUM(D185:O185)</f>
        <v>0</v>
      </c>
    </row>
    <row r="186" spans="1:16" x14ac:dyDescent="0.3">
      <c r="A186" s="288"/>
      <c r="B186" s="19" t="s">
        <v>53</v>
      </c>
      <c r="C186" s="11" t="s">
        <v>57</v>
      </c>
      <c r="D186" s="132">
        <f>Bangula!D186+Chikwawa!D186+'Miseu Folo'!D186+Nchalo!D186+Nsanje!D186+Ngabu!D186</f>
        <v>0</v>
      </c>
      <c r="E186" s="132">
        <f>Bangula!E186+Chikwawa!E186+'Miseu Folo'!E186+Nchalo!E186+Nsanje!E186+Ngabu!E186</f>
        <v>0</v>
      </c>
      <c r="F186" s="132">
        <f>Bangula!F186+Chikwawa!F186+'Miseu Folo'!F186+Nchalo!F186+Nsanje!F186+Ngabu!F186</f>
        <v>0</v>
      </c>
      <c r="G186" s="132">
        <f>Bangula!G186+Chikwawa!G186+'Miseu Folo'!G186+Nchalo!G186+Nsanje!G186+Ngabu!G186</f>
        <v>0</v>
      </c>
      <c r="H186" s="132">
        <f>Bangula!H186+Chikwawa!H186+'Miseu Folo'!H186+Nchalo!H186+Nsanje!H186+Ngabu!H186</f>
        <v>0</v>
      </c>
      <c r="I186" s="132">
        <f>Bangula!I186+Chikwawa!I186+'Miseu Folo'!I186+Nchalo!I186+Nsanje!I186+Ngabu!I186</f>
        <v>0</v>
      </c>
      <c r="J186" s="132">
        <f>Bangula!J186+Chikwawa!J186+'Miseu Folo'!J186+Nchalo!J186+Nsanje!J186+Ngabu!J186</f>
        <v>0</v>
      </c>
      <c r="K186" s="132">
        <f>Bangula!K186+Chikwawa!K186+'Miseu Folo'!K186+Nchalo!K186+Nsanje!K186+Ngabu!K186</f>
        <v>0</v>
      </c>
      <c r="L186" s="132">
        <f>Bangula!L186+Chikwawa!L186+'Miseu Folo'!L186+Nchalo!L186+Nsanje!L186+Ngabu!L186</f>
        <v>0</v>
      </c>
      <c r="M186" s="132">
        <f>Bangula!M186+Chikwawa!M186+'Miseu Folo'!M186+Nchalo!M186+Nsanje!M186+Ngabu!M186</f>
        <v>0</v>
      </c>
      <c r="N186" s="132">
        <f>Bangula!N186+Chikwawa!N186+'Miseu Folo'!N186+Nchalo!N186+Nsanje!N186+Ngabu!N186</f>
        <v>0</v>
      </c>
      <c r="O186" s="132">
        <f>Bangula!O186+Chikwawa!O186+'Miseu Folo'!O186+Nchalo!O186+Nsanje!O186+Ngabu!O186</f>
        <v>0</v>
      </c>
      <c r="P186" s="74">
        <f>SUM(D186:O186)</f>
        <v>0</v>
      </c>
    </row>
    <row r="187" spans="1:16" x14ac:dyDescent="0.3">
      <c r="A187" s="289"/>
      <c r="B187" s="19" t="s">
        <v>52</v>
      </c>
      <c r="C187" s="11" t="s">
        <v>57</v>
      </c>
      <c r="D187" s="132">
        <f>Bangula!D187+Chikwawa!D187+'Miseu Folo'!D187+Nchalo!D187+Nsanje!D187+Ngabu!D187</f>
        <v>0</v>
      </c>
      <c r="E187" s="132">
        <f>Bangula!E187+Chikwawa!E187+'Miseu Folo'!E187+Nchalo!E187+Nsanje!E187+Ngabu!E187</f>
        <v>0</v>
      </c>
      <c r="F187" s="132">
        <f>Bangula!F187+Chikwawa!F187+'Miseu Folo'!F187+Nchalo!F187+Nsanje!F187+Ngabu!F187</f>
        <v>0</v>
      </c>
      <c r="G187" s="132">
        <f>Bangula!G187+Chikwawa!G187+'Miseu Folo'!G187+Nchalo!G187+Nsanje!G187+Ngabu!G187</f>
        <v>0</v>
      </c>
      <c r="H187" s="132">
        <f>Bangula!H187+Chikwawa!H187+'Miseu Folo'!H187+Nchalo!H187+Nsanje!H187+Ngabu!H187</f>
        <v>0</v>
      </c>
      <c r="I187" s="132">
        <f>Bangula!I187+Chikwawa!I187+'Miseu Folo'!I187+Nchalo!I187+Nsanje!I187+Ngabu!I187</f>
        <v>0</v>
      </c>
      <c r="J187" s="132">
        <f>Bangula!J187+Chikwawa!J187+'Miseu Folo'!J187+Nchalo!J187+Nsanje!J187+Ngabu!J187</f>
        <v>0</v>
      </c>
      <c r="K187" s="132">
        <f>Bangula!K187+Chikwawa!K187+'Miseu Folo'!K187+Nchalo!K187+Nsanje!K187+Ngabu!K187</f>
        <v>0</v>
      </c>
      <c r="L187" s="132">
        <f>Bangula!L187+Chikwawa!L187+'Miseu Folo'!L187+Nchalo!L187+Nsanje!L187+Ngabu!L187</f>
        <v>0</v>
      </c>
      <c r="M187" s="132">
        <f>Bangula!M187+Chikwawa!M187+'Miseu Folo'!M187+Nchalo!M187+Nsanje!M187+Ngabu!M187</f>
        <v>0</v>
      </c>
      <c r="N187" s="132">
        <f>Bangula!N187+Chikwawa!N187+'Miseu Folo'!N187+Nchalo!N187+Nsanje!N187+Ngabu!N187</f>
        <v>0</v>
      </c>
      <c r="O187" s="132">
        <f>Bangula!O187+Chikwawa!O187+'Miseu Folo'!O187+Nchalo!O187+Nsanje!O187+Ngabu!O187</f>
        <v>0</v>
      </c>
      <c r="P187" s="74">
        <f>SUM(D187:O187)</f>
        <v>0</v>
      </c>
    </row>
    <row r="188" spans="1:16" x14ac:dyDescent="0.3">
      <c r="A188" s="287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74"/>
    </row>
    <row r="189" spans="1:16" x14ac:dyDescent="0.3">
      <c r="A189" s="288"/>
      <c r="B189" s="20" t="s">
        <v>52</v>
      </c>
      <c r="C189" s="11" t="s">
        <v>57</v>
      </c>
      <c r="D189" s="132">
        <f>Bangula!D189+Chikwawa!D189+'Miseu Folo'!D189+Nchalo!D189+Nsanje!D189+Ngabu!D24</f>
        <v>5539</v>
      </c>
      <c r="E189" s="132">
        <f>Bangula!E189+Chikwawa!E189+'Miseu Folo'!E189+Nchalo!E189+Nsanje!E189+Ngabu!E24</f>
        <v>10273</v>
      </c>
      <c r="F189" s="132">
        <f>Bangula!F189+Chikwawa!F189+'Miseu Folo'!F189+Nchalo!F189+Nsanje!F189+Ngabu!F24</f>
        <v>10664</v>
      </c>
      <c r="G189" s="132">
        <f>Bangula!G189+Chikwawa!G189+'Miseu Folo'!G189+Nchalo!G189+Nsanje!G189+Ngabu!G24</f>
        <v>1554</v>
      </c>
      <c r="H189" s="132">
        <f>Bangula!H189+Chikwawa!H189+'Miseu Folo'!H189+Nchalo!H189+Nsanje!H189+Ngabu!H24</f>
        <v>1324</v>
      </c>
      <c r="I189" s="132">
        <f>Bangula!I189+Chikwawa!I189+'Miseu Folo'!I189+Nchalo!I189+Nsanje!I189+Ngabu!I24</f>
        <v>2655</v>
      </c>
      <c r="J189" s="132">
        <f>Bangula!J189+Chikwawa!J189+'Miseu Folo'!J189+Nchalo!J189+Nsanje!J189+Ngabu!J24</f>
        <v>1032</v>
      </c>
      <c r="K189" s="132">
        <f>Bangula!K189+Chikwawa!K189+'Miseu Folo'!K189+Nchalo!K189+Nsanje!K189+Ngabu!K24</f>
        <v>3034.7999999999993</v>
      </c>
      <c r="L189" s="132">
        <f>Bangula!L189+Chikwawa!L189+'Miseu Folo'!L189+Nchalo!L189+Nsanje!L189+Ngabu!L24</f>
        <v>2828</v>
      </c>
      <c r="M189" s="132">
        <f>Bangula!M189+Chikwawa!M189+'Miseu Folo'!M189+Nchalo!M189+Nsanje!M189+Ngabu!M24</f>
        <v>2803</v>
      </c>
      <c r="N189" s="132">
        <f>Bangula!N189+Chikwawa!N189+'Miseu Folo'!N189+Nchalo!N189+Nsanje!N189+Ngabu!N24</f>
        <v>3116</v>
      </c>
      <c r="O189" s="132">
        <f>Bangula!O189+Chikwawa!O189+'Miseu Folo'!O189+Nchalo!O189+Nsanje!O189+Ngabu!O24</f>
        <v>2828</v>
      </c>
      <c r="P189" s="74">
        <f>SUM(D189:O189)</f>
        <v>47650.8</v>
      </c>
    </row>
    <row r="190" spans="1:16" x14ac:dyDescent="0.3">
      <c r="A190" s="288"/>
      <c r="B190" s="19" t="s">
        <v>62</v>
      </c>
      <c r="C190" s="11" t="s">
        <v>57</v>
      </c>
      <c r="D190" s="132">
        <f>Bangula!D190+Chikwawa!D190+'Miseu Folo'!D190+Nchalo!D190+Nsanje!D190+Ngabu!D190</f>
        <v>0</v>
      </c>
      <c r="E190" s="132">
        <f>Bangula!E190+Chikwawa!E190+'Miseu Folo'!E190+Nchalo!E190+Nsanje!E190+Ngabu!E190</f>
        <v>0</v>
      </c>
      <c r="F190" s="132">
        <f>Bangula!F190+Chikwawa!F190+'Miseu Folo'!F190+Nchalo!F190+Nsanje!F190+Ngabu!F190</f>
        <v>0</v>
      </c>
      <c r="G190" s="132">
        <f>Bangula!G190+Chikwawa!G190+'Miseu Folo'!G190+Nchalo!G190+Nsanje!G190+Ngabu!G190</f>
        <v>0</v>
      </c>
      <c r="H190" s="132">
        <f>Bangula!H190+Chikwawa!H190+'Miseu Folo'!H190+Nchalo!H190+Nsanje!H190+Ngabu!H190</f>
        <v>0</v>
      </c>
      <c r="I190" s="132">
        <f>Bangula!I190+Chikwawa!I190+'Miseu Folo'!I190+Nchalo!I190+Nsanje!I190+Ngabu!I190</f>
        <v>0</v>
      </c>
      <c r="J190" s="132">
        <f>Bangula!J190+Chikwawa!J190+'Miseu Folo'!J190+Nchalo!J190+Nsanje!J190+Ngabu!J190</f>
        <v>0</v>
      </c>
      <c r="K190" s="132">
        <f>Bangula!K190+Chikwawa!K190+'Miseu Folo'!K190+Nchalo!K190+Nsanje!K190+Ngabu!K190</f>
        <v>0</v>
      </c>
      <c r="L190" s="132">
        <f>Bangula!L190+Chikwawa!L190+'Miseu Folo'!L190+Nchalo!L190+Nsanje!L190+Ngabu!L190</f>
        <v>0</v>
      </c>
      <c r="M190" s="132">
        <f>Bangula!M190+Chikwawa!M190+'Miseu Folo'!M190+Nchalo!M190+Nsanje!M190+Ngabu!M190</f>
        <v>24</v>
      </c>
      <c r="N190" s="132">
        <f>Bangula!N190+Chikwawa!N190+'Miseu Folo'!N190+Nchalo!N190+Nsanje!N190+Ngabu!N190</f>
        <v>0</v>
      </c>
      <c r="O190" s="132">
        <f>Bangula!O190+Chikwawa!O190+'Miseu Folo'!O190+Nchalo!O190+Nsanje!O190+Ngabu!O190</f>
        <v>0</v>
      </c>
      <c r="P190" s="74">
        <f>SUM(D190:O190)</f>
        <v>24</v>
      </c>
    </row>
    <row r="191" spans="1:16" x14ac:dyDescent="0.3">
      <c r="A191" s="288"/>
      <c r="B191" s="19" t="s">
        <v>61</v>
      </c>
      <c r="C191" s="11" t="s">
        <v>57</v>
      </c>
      <c r="D191" s="132">
        <f>Bangula!D191+Chikwawa!D191+'Miseu Folo'!D191+Nchalo!D191+Nsanje!D191+Ngabu!D191</f>
        <v>0</v>
      </c>
      <c r="E191" s="132">
        <f>Bangula!E191+Chikwawa!E191+'Miseu Folo'!E191+Nchalo!E191+Nsanje!E191+Ngabu!E191</f>
        <v>0</v>
      </c>
      <c r="F191" s="132">
        <f>Bangula!F191+Chikwawa!F191+'Miseu Folo'!F191+Nchalo!F191+Nsanje!F191+Ngabu!F191</f>
        <v>0</v>
      </c>
      <c r="G191" s="132">
        <f>Bangula!G191+Chikwawa!G191+'Miseu Folo'!G191+Nchalo!G191+Nsanje!G191+Ngabu!G191</f>
        <v>0</v>
      </c>
      <c r="H191" s="132">
        <f>Bangula!H191+Chikwawa!H191+'Miseu Folo'!H191+Nchalo!H191+Nsanje!H191+Ngabu!H191</f>
        <v>0</v>
      </c>
      <c r="I191" s="132">
        <f>Bangula!I191+Chikwawa!I191+'Miseu Folo'!I191+Nchalo!I191+Nsanje!I191+Ngabu!I191</f>
        <v>0</v>
      </c>
      <c r="J191" s="132">
        <f>Bangula!J191+Chikwawa!J191+'Miseu Folo'!J191+Nchalo!J191+Nsanje!J191+Ngabu!J191</f>
        <v>0</v>
      </c>
      <c r="K191" s="132">
        <f>Bangula!K191+Chikwawa!K191+'Miseu Folo'!K191+Nchalo!K191+Nsanje!K191+Ngabu!K191</f>
        <v>2</v>
      </c>
      <c r="L191" s="132">
        <f>Bangula!L191+Chikwawa!L191+'Miseu Folo'!L191+Nchalo!L191+Nsanje!L191+Ngabu!L191</f>
        <v>0</v>
      </c>
      <c r="M191" s="132">
        <f>Bangula!M191+Chikwawa!M191+'Miseu Folo'!M191+Nchalo!M191+Nsanje!M191+Ngabu!M191</f>
        <v>0</v>
      </c>
      <c r="N191" s="132">
        <f>Bangula!N191+Chikwawa!N191+'Miseu Folo'!N191+Nchalo!N191+Nsanje!N191+Ngabu!N191</f>
        <v>0</v>
      </c>
      <c r="O191" s="132">
        <f>Bangula!O191+Chikwawa!O191+'Miseu Folo'!O191+Nchalo!O191+Nsanje!O191+Ngabu!O191</f>
        <v>0</v>
      </c>
      <c r="P191" s="74">
        <f>SUM(D191:O191)</f>
        <v>2</v>
      </c>
    </row>
    <row r="192" spans="1:16" x14ac:dyDescent="0.3">
      <c r="A192" s="289"/>
      <c r="B192" s="19" t="s">
        <v>60</v>
      </c>
      <c r="C192" s="11" t="s">
        <v>57</v>
      </c>
      <c r="D192" s="132">
        <f>Bangula!D192+Chikwawa!D192+'Miseu Folo'!D192+Nchalo!D192+Nsanje!D192+Ngabu!D192</f>
        <v>0</v>
      </c>
      <c r="E192" s="132">
        <f>Bangula!E192+Chikwawa!E192+'Miseu Folo'!E192+Nchalo!E192+Nsanje!E192+Ngabu!E192</f>
        <v>0</v>
      </c>
      <c r="F192" s="132">
        <f>Bangula!F192+Chikwawa!F192+'Miseu Folo'!F192+Nchalo!F192+Nsanje!F192+Ngabu!F192</f>
        <v>0</v>
      </c>
      <c r="G192" s="132">
        <f>Bangula!G192+Chikwawa!G192+'Miseu Folo'!G192+Nchalo!G192+Nsanje!G192+Ngabu!G192</f>
        <v>0</v>
      </c>
      <c r="H192" s="132">
        <f>Bangula!H192+Chikwawa!H192+'Miseu Folo'!H192+Nchalo!H192+Nsanje!H192+Ngabu!H192</f>
        <v>0</v>
      </c>
      <c r="I192" s="132">
        <f>Bangula!I192+Chikwawa!I192+'Miseu Folo'!I192+Nchalo!I192+Nsanje!I192+Ngabu!I192</f>
        <v>0</v>
      </c>
      <c r="J192" s="132">
        <f>Bangula!J192+Chikwawa!J192+'Miseu Folo'!J192+Nchalo!J192+Nsanje!J192+Ngabu!J192</f>
        <v>0</v>
      </c>
      <c r="K192" s="132">
        <f>Bangula!K192+Chikwawa!K192+'Miseu Folo'!K192+Nchalo!K192+Nsanje!K192+Ngabu!K192</f>
        <v>0</v>
      </c>
      <c r="L192" s="132">
        <f>Bangula!L192+Chikwawa!L192+'Miseu Folo'!L192+Nchalo!L192+Nsanje!L192+Ngabu!L192</f>
        <v>0</v>
      </c>
      <c r="M192" s="132">
        <f>Bangula!M192+Chikwawa!M192+'Miseu Folo'!M192+Nchalo!M192+Nsanje!M192+Ngabu!M192</f>
        <v>0</v>
      </c>
      <c r="N192" s="132">
        <f>Bangula!N192+Chikwawa!N192+'Miseu Folo'!N192+Nchalo!N192+Nsanje!N192+Ngabu!N192</f>
        <v>0</v>
      </c>
      <c r="O192" s="132">
        <f>Bangula!O192+Chikwawa!O192+'Miseu Folo'!O192+Nchalo!O192+Nsanje!O192+Ngabu!O192</f>
        <v>0</v>
      </c>
      <c r="P192" s="74">
        <f>SUM(D192:O192)</f>
        <v>0</v>
      </c>
    </row>
    <row r="193" spans="1:16" x14ac:dyDescent="0.3">
      <c r="A193" s="84" t="s">
        <v>59</v>
      </c>
      <c r="B193" s="17"/>
      <c r="C193" s="11"/>
      <c r="D193" s="10">
        <f>SUM(D153:D192)</f>
        <v>6017</v>
      </c>
      <c r="E193" s="10">
        <f t="shared" ref="E193:P193" si="74">SUM(E153:E192)</f>
        <v>10718</v>
      </c>
      <c r="F193" s="10">
        <f t="shared" si="74"/>
        <v>11108</v>
      </c>
      <c r="G193" s="10">
        <f t="shared" ref="G193:H193" si="75">SUM(G153:G192)</f>
        <v>2056</v>
      </c>
      <c r="H193" s="10">
        <f t="shared" si="75"/>
        <v>1757</v>
      </c>
      <c r="I193" s="10">
        <f t="shared" ref="I193:O193" si="76">SUM(I153:I192)</f>
        <v>3085</v>
      </c>
      <c r="J193" s="10">
        <f t="shared" si="76"/>
        <v>1522</v>
      </c>
      <c r="K193" s="10">
        <f t="shared" si="76"/>
        <v>3550.7999999999993</v>
      </c>
      <c r="L193" s="10">
        <f t="shared" si="76"/>
        <v>3337</v>
      </c>
      <c r="M193" s="10">
        <f t="shared" si="76"/>
        <v>3336</v>
      </c>
      <c r="N193" s="10">
        <f t="shared" si="76"/>
        <v>3631</v>
      </c>
      <c r="O193" s="10">
        <f t="shared" si="76"/>
        <v>3344</v>
      </c>
      <c r="P193" s="40">
        <f t="shared" si="74"/>
        <v>53461.8</v>
      </c>
    </row>
    <row r="194" spans="1:16" x14ac:dyDescent="0.3">
      <c r="A194" s="282" t="s">
        <v>58</v>
      </c>
      <c r="B194" s="283"/>
      <c r="C194" s="11" t="s">
        <v>57</v>
      </c>
      <c r="D194" s="132">
        <f>Bangula!D194+Chikwawa!D194+'Miseu Folo'!D194+Nchalo!D194+Nsanje!D194+Ngabu!D194</f>
        <v>494</v>
      </c>
      <c r="E194" s="132">
        <f>Bangula!E194+Chikwawa!E194+'Miseu Folo'!E194+Nchalo!E194+Nsanje!E194+Ngabu!E194</f>
        <v>37</v>
      </c>
      <c r="F194" s="132">
        <f>Bangula!F194+Chikwawa!F194+'Miseu Folo'!F194+Nchalo!F194+Nsanje!F194+Ngabu!F194</f>
        <v>50</v>
      </c>
      <c r="G194" s="132">
        <f>Bangula!G194+Chikwawa!G194+'Miseu Folo'!G194+Nchalo!G194+Nsanje!G194+Ngabu!G194</f>
        <v>76</v>
      </c>
      <c r="H194" s="132">
        <f>Bangula!H194+Chikwawa!H194+'Miseu Folo'!H194+Nchalo!H194+Nsanje!H194+Ngabu!H194</f>
        <v>9</v>
      </c>
      <c r="I194" s="132">
        <f>Bangula!I194+Chikwawa!I194+'Miseu Folo'!I194+Nchalo!I194+Nsanje!I194+Ngabu!I194</f>
        <v>0</v>
      </c>
      <c r="J194" s="132">
        <f>Bangula!J194+Chikwawa!J194+'Miseu Folo'!J194+Nchalo!J194+Nsanje!J194+Ngabu!J194</f>
        <v>0</v>
      </c>
      <c r="K194" s="132">
        <f>Bangula!K194+Chikwawa!K194+'Miseu Folo'!K194+Nchalo!K194+Nsanje!K194+Ngabu!K194</f>
        <v>0</v>
      </c>
      <c r="L194" s="132">
        <f>Bangula!L194+Chikwawa!L194+'Miseu Folo'!L194+Nchalo!L194+Nsanje!L194+Ngabu!L194</f>
        <v>0</v>
      </c>
      <c r="M194" s="132">
        <f>Bangula!M194+Chikwawa!M194+'Miseu Folo'!M194+Nchalo!M194+Nsanje!M194+Ngabu!M194</f>
        <v>0</v>
      </c>
      <c r="N194" s="132">
        <f>Bangula!N194+Chikwawa!N194+'Miseu Folo'!N194+Nchalo!N194+Nsanje!N194+Ngabu!N194</f>
        <v>0</v>
      </c>
      <c r="O194" s="132">
        <f>Bangula!O194+Chikwawa!O194+'Miseu Folo'!O194+Nchalo!O194+Nsanje!O194+Ngabu!O194</f>
        <v>0</v>
      </c>
      <c r="P194" s="39">
        <f>SUM(D194:O194)</f>
        <v>666</v>
      </c>
    </row>
    <row r="195" spans="1:16" x14ac:dyDescent="0.3">
      <c r="A195" s="284"/>
      <c r="B195" s="285"/>
      <c r="C195" s="16" t="s">
        <v>55</v>
      </c>
      <c r="D195" s="132">
        <f>Bangula!D195+Chikwawa!D195+'Miseu Folo'!D195+Nchalo!D195+Nsanje!D195+Ngabu!D195</f>
        <v>0</v>
      </c>
      <c r="E195" s="132">
        <f>Bangula!E195+Chikwawa!E195+'Miseu Folo'!E195+Nchalo!E195+Nsanje!E195+Ngabu!E195</f>
        <v>0</v>
      </c>
      <c r="F195" s="132">
        <f>Bangula!F195+Chikwawa!F195+'Miseu Folo'!F195+Nchalo!F195+Nsanje!F195+Ngabu!F195</f>
        <v>0</v>
      </c>
      <c r="G195" s="132">
        <f>Bangula!G195+Chikwawa!G195+'Miseu Folo'!G195+Nchalo!G195+Nsanje!G195+Ngabu!G195</f>
        <v>0</v>
      </c>
      <c r="H195" s="132">
        <f>Bangula!H195+Chikwawa!H195+'Miseu Folo'!H195+Nchalo!H195+Nsanje!H195+Ngabu!H195</f>
        <v>0</v>
      </c>
      <c r="I195" s="132">
        <f>Bangula!I195+Chikwawa!I195+'Miseu Folo'!I195+Nchalo!I195+Nsanje!I195+Ngabu!I195</f>
        <v>0</v>
      </c>
      <c r="J195" s="132">
        <f>Bangula!J195+Chikwawa!J195+'Miseu Folo'!J195+Nchalo!J195+Nsanje!J195+Ngabu!J195</f>
        <v>0</v>
      </c>
      <c r="K195" s="132">
        <f>Bangula!K195+Chikwawa!K195+'Miseu Folo'!K195+Nchalo!K195+Nsanje!K195+Ngabu!K195</f>
        <v>0</v>
      </c>
      <c r="L195" s="132">
        <f>Bangula!L195+Chikwawa!L195+'Miseu Folo'!L195+Nchalo!L195+Nsanje!L195+Ngabu!L195</f>
        <v>0</v>
      </c>
      <c r="M195" s="132">
        <f>Bangula!M195+Chikwawa!M195+'Miseu Folo'!M195+Nchalo!M195+Nsanje!M195+Ngabu!M195</f>
        <v>0</v>
      </c>
      <c r="N195" s="132">
        <f>Bangula!N195+Chikwawa!N195+'Miseu Folo'!N195+Nchalo!N195+Nsanje!N195+Ngabu!N195</f>
        <v>0</v>
      </c>
      <c r="O195" s="132">
        <f>Bangula!O195+Chikwawa!O195+'Miseu Folo'!O195+Nchalo!O195+Nsanje!O195+Ngabu!O195</f>
        <v>0</v>
      </c>
      <c r="P195" s="39">
        <f>SUM(D195:O195)</f>
        <v>0</v>
      </c>
    </row>
    <row r="196" spans="1:16" x14ac:dyDescent="0.3">
      <c r="A196" s="328" t="s">
        <v>202</v>
      </c>
      <c r="B196" s="329"/>
      <c r="C196" s="16" t="s">
        <v>55</v>
      </c>
      <c r="D196" s="132">
        <f>(Bangula!D196+Chikwawa!D196+'Miseu Folo'!D196+Nchalo!D196+Nsanje!D196+Ngabu!D25)/10</f>
        <v>10.339203057541228</v>
      </c>
      <c r="E196" s="132">
        <f>(Bangula!E196+Chikwawa!E196+'Miseu Folo'!E196+Nchalo!E196+Nsanje!E196+Ngabu!E25)/10</f>
        <v>11.050720845265133</v>
      </c>
      <c r="F196" s="132">
        <f>(Bangula!F196+Chikwawa!F196+'Miseu Folo'!F196+Nchalo!F196+Nsanje!F196+Ngabu!F25)/10</f>
        <v>11.347854963202298</v>
      </c>
      <c r="G196" s="132">
        <f>(Bangula!G196+Chikwawa!G196+'Miseu Folo'!G196+Nchalo!G196+Nsanje!G196+Ngabu!G25)/10</f>
        <v>11.51279012345679</v>
      </c>
      <c r="H196" s="132">
        <f>(Bangula!H196+Chikwawa!H196+'Miseu Folo'!H196+Nchalo!H196+Nsanje!H196+Ngabu!H25)/10</f>
        <v>6.910905197265464</v>
      </c>
      <c r="I196" s="132">
        <f>(Bangula!I196+Chikwawa!I196+'Miseu Folo'!I196+Nchalo!I196+Nsanje!I196+Ngabu!I25)/10</f>
        <v>10.820441946412073</v>
      </c>
      <c r="J196" s="132">
        <f>(Bangula!J196+Chikwawa!J196+'Miseu Folo'!J196+Nchalo!J196+Nsanje!J196+Ngabu!J25)/10</f>
        <v>7.8097248398039953</v>
      </c>
      <c r="K196" s="132">
        <f>(Bangula!K196+Chikwawa!K196+'Miseu Folo'!K196+Nchalo!K196+Nsanje!K196+Ngabu!K25)/10</f>
        <v>6.620160765295954</v>
      </c>
      <c r="L196" s="132">
        <f>(Bangula!L196+Chikwawa!L196+'Miseu Folo'!L196+Nchalo!L196+Nsanje!L196+Ngabu!L25)/10</f>
        <v>6.3222082613475736</v>
      </c>
      <c r="M196" s="132">
        <f>(Bangula!M196+Chikwawa!M196+'Miseu Folo'!M196+Nchalo!M196+Nsanje!M196+Ngabu!M25)/10</f>
        <v>2.4022968803565307E-2</v>
      </c>
      <c r="N196" s="132">
        <f>(Bangula!N196+Chikwawa!N196+'Miseu Folo'!N196+Nchalo!N196+Nsanje!N196+Ngabu!N25)/10</f>
        <v>4.3238664215686278</v>
      </c>
      <c r="O196" s="132">
        <f>(Bangula!O196+Chikwawa!O196+'Miseu Folo'!O196+Nchalo!O196+Nsanje!O196+Ngabu!O25)/10</f>
        <v>2.3354529688661328E-2</v>
      </c>
      <c r="P196" s="39"/>
    </row>
    <row r="197" spans="1:16" x14ac:dyDescent="0.3">
      <c r="A197" s="231" t="s">
        <v>56</v>
      </c>
      <c r="B197" s="232"/>
      <c r="C197" s="16" t="s">
        <v>55</v>
      </c>
      <c r="D197" s="132">
        <f>Bangula!D197+Chikwawa!D197+'Miseu Folo'!D197+Nchalo!D197+Nsanje!D197+Ngabu!D197</f>
        <v>180</v>
      </c>
      <c r="E197" s="132">
        <f>Bangula!E197+Chikwawa!E197+'Miseu Folo'!E197+Nchalo!E197+Nsanje!E197+Ngabu!E197</f>
        <v>122</v>
      </c>
      <c r="F197" s="132">
        <f>Bangula!F197+Chikwawa!F197+'Miseu Folo'!F197+Nchalo!F197+Nsanje!F197+Ngabu!F197</f>
        <v>6</v>
      </c>
      <c r="G197" s="132">
        <f>Bangula!G197+Chikwawa!G197+'Miseu Folo'!G197+Nchalo!G197+Nsanje!G197+Ngabu!G197</f>
        <v>100</v>
      </c>
      <c r="H197" s="132">
        <f>Bangula!H197+Chikwawa!H197+'Miseu Folo'!H197+Nchalo!H197+Nsanje!H197+Ngabu!H197</f>
        <v>103</v>
      </c>
      <c r="I197" s="132">
        <f>Bangula!I197+Chikwawa!I197+'Miseu Folo'!I197+Nchalo!I197+Nsanje!I197+Ngabu!I197</f>
        <v>148</v>
      </c>
      <c r="J197" s="132">
        <f>Bangula!J197+Chikwawa!J197+'Miseu Folo'!J197+Nchalo!J197+Nsanje!J197+Ngabu!J197</f>
        <v>120</v>
      </c>
      <c r="K197" s="132">
        <f>Bangula!K197+Chikwawa!K197+'Miseu Folo'!K197+Nchalo!K197+Nsanje!K197+Ngabu!K197</f>
        <v>294</v>
      </c>
      <c r="L197" s="132">
        <f>Bangula!L197+Chikwawa!L197+'Miseu Folo'!L197+Nchalo!L197+Nsanje!L197+Ngabu!L197</f>
        <v>224</v>
      </c>
      <c r="M197" s="132">
        <f>Bangula!M197+Chikwawa!M197+'Miseu Folo'!M197+Nchalo!M197+Nsanje!M197+Ngabu!M197</f>
        <v>0</v>
      </c>
      <c r="N197" s="132">
        <f>Bangula!N197+Chikwawa!N197+'Miseu Folo'!N197+Nchalo!N197+Nsanje!N197+Ngabu!N197</f>
        <v>310</v>
      </c>
      <c r="O197" s="132">
        <f>Bangula!O197+Chikwawa!O197+'Miseu Folo'!O197+Nchalo!O197+Nsanje!O197+Ngabu!O197</f>
        <v>0</v>
      </c>
      <c r="P197" s="39">
        <f>SUM(D197:O197)</f>
        <v>1607</v>
      </c>
    </row>
    <row r="198" spans="1:16" ht="14.4" x14ac:dyDescent="0.3">
      <c r="A198" s="277" t="s">
        <v>203</v>
      </c>
      <c r="B198" s="278"/>
      <c r="C198" s="278"/>
      <c r="D198" s="278"/>
      <c r="E198" s="278"/>
      <c r="F198" s="278"/>
      <c r="G198" s="278"/>
      <c r="H198" s="278"/>
      <c r="I198" s="278"/>
      <c r="J198" s="278"/>
      <c r="K198" s="278"/>
      <c r="L198" s="278"/>
      <c r="M198" s="278"/>
      <c r="N198" s="278"/>
      <c r="O198" s="278"/>
      <c r="P198" s="279"/>
    </row>
    <row r="199" spans="1:16" x14ac:dyDescent="0.3">
      <c r="A199" s="282" t="s">
        <v>54</v>
      </c>
      <c r="B199" s="319" t="s">
        <v>53</v>
      </c>
      <c r="C199" s="11" t="s">
        <v>47</v>
      </c>
      <c r="D199" s="132">
        <f>Bangula!D199+Chikwawa!D199+'Miseu Folo'!D199+Nchalo!D199+Nsanje!D199+Ngabu!D199</f>
        <v>0</v>
      </c>
      <c r="E199" s="132">
        <f>Bangula!E199+Chikwawa!E199+'Miseu Folo'!E199+Nchalo!E199+Nsanje!E199+Ngabu!E199</f>
        <v>0</v>
      </c>
      <c r="F199" s="132">
        <f>Bangula!F199+Chikwawa!F199+'Miseu Folo'!F199+Nchalo!F199+Nsanje!F199+Ngabu!F199</f>
        <v>0</v>
      </c>
      <c r="G199" s="132">
        <f>Bangula!G199+Chikwawa!G199+'Miseu Folo'!G199+Nchalo!G199+Nsanje!G199+Ngabu!G199</f>
        <v>0</v>
      </c>
      <c r="H199" s="132">
        <f>Bangula!H199+Chikwawa!H199+'Miseu Folo'!H199+Nchalo!H199+Nsanje!H199+Ngabu!H199</f>
        <v>0</v>
      </c>
      <c r="I199" s="132">
        <f>Bangula!I199+Chikwawa!I199+'Miseu Folo'!I199+Nchalo!I199+Nsanje!I199+Ngabu!I199</f>
        <v>72</v>
      </c>
      <c r="J199" s="132">
        <f>Bangula!J199+Chikwawa!J199+'Miseu Folo'!J199+Nchalo!J199+Nsanje!J199+Ngabu!J199</f>
        <v>0</v>
      </c>
      <c r="K199" s="132">
        <f>Bangula!K199+Chikwawa!K199+'Miseu Folo'!K199+Nchalo!K199+Nsanje!K199+Ngabu!K199</f>
        <v>0</v>
      </c>
      <c r="L199" s="132">
        <f>Bangula!L199+Chikwawa!L199+'Miseu Folo'!L199+Nchalo!L199+Nsanje!L199+Ngabu!L199</f>
        <v>0</v>
      </c>
      <c r="M199" s="132">
        <f>Bangula!M199+Chikwawa!M199+'Miseu Folo'!M199+Nchalo!M199+Nsanje!M199+Ngabu!M199</f>
        <v>0</v>
      </c>
      <c r="N199" s="132">
        <f>Bangula!N199+Chikwawa!N199+'Miseu Folo'!N199+Nchalo!N199+Nsanje!N199+Ngabu!N199</f>
        <v>0</v>
      </c>
      <c r="O199" s="132">
        <f>Bangula!O199+Chikwawa!O199+'Miseu Folo'!O199+Nchalo!O199+Nsanje!O199+Ngabu!O199</f>
        <v>0</v>
      </c>
      <c r="P199" s="39">
        <f t="shared" ref="P199:P204" si="77">SUM(D199:O199)</f>
        <v>72</v>
      </c>
    </row>
    <row r="200" spans="1:16" x14ac:dyDescent="0.3">
      <c r="A200" s="286"/>
      <c r="B200" s="319" t="s">
        <v>52</v>
      </c>
      <c r="C200" s="11" t="s">
        <v>47</v>
      </c>
      <c r="D200" s="132">
        <f>Bangula!D200+Chikwawa!D200+'Miseu Folo'!D200+Nchalo!D200+Nsanje!D200+Ngabu!D200</f>
        <v>0</v>
      </c>
      <c r="E200" s="132">
        <f>Bangula!E200+Chikwawa!E200+'Miseu Folo'!E200+Nchalo!E200+Nsanje!E200+Ngabu!E200</f>
        <v>0</v>
      </c>
      <c r="F200" s="132">
        <f>Bangula!F200+Chikwawa!F200+'Miseu Folo'!F200+Nchalo!F200+Nsanje!F200+Ngabu!F200</f>
        <v>0</v>
      </c>
      <c r="G200" s="132">
        <f>Bangula!G200+Chikwawa!G200+'Miseu Folo'!G200+Nchalo!G200+Nsanje!G200+Ngabu!G200</f>
        <v>0</v>
      </c>
      <c r="H200" s="132">
        <f>Bangula!H200+Chikwawa!H200+'Miseu Folo'!H200+Nchalo!H200+Nsanje!H200+Ngabu!H200</f>
        <v>0</v>
      </c>
      <c r="I200" s="132">
        <f>Bangula!I200+Chikwawa!I200+'Miseu Folo'!I200+Nchalo!I200+Nsanje!I200+Ngabu!I200</f>
        <v>0</v>
      </c>
      <c r="J200" s="132">
        <f>Bangula!J200+Chikwawa!J200+'Miseu Folo'!J200+Nchalo!J200+Nsanje!J200+Ngabu!J200</f>
        <v>0</v>
      </c>
      <c r="K200" s="132">
        <f>Bangula!K200+Chikwawa!K200+'Miseu Folo'!K200+Nchalo!K200+Nsanje!K200+Ngabu!K200</f>
        <v>0</v>
      </c>
      <c r="L200" s="132">
        <f>Bangula!L200+Chikwawa!L200+'Miseu Folo'!L200+Nchalo!L200+Nsanje!L200+Ngabu!L200</f>
        <v>210</v>
      </c>
      <c r="M200" s="132">
        <f>Bangula!M200+Chikwawa!M200+'Miseu Folo'!M200+Nchalo!M200+Nsanje!M200+Ngabu!M200</f>
        <v>522</v>
      </c>
      <c r="N200" s="132">
        <f>Bangula!N200+Chikwawa!N200+'Miseu Folo'!N200+Nchalo!N200+Nsanje!N200+Ngabu!N200</f>
        <v>0</v>
      </c>
      <c r="O200" s="132">
        <f>Bangula!O200+Chikwawa!O200+'Miseu Folo'!O200+Nchalo!O200+Nsanje!O200+Ngabu!O200</f>
        <v>0</v>
      </c>
      <c r="P200" s="39">
        <f t="shared" si="77"/>
        <v>732</v>
      </c>
    </row>
    <row r="201" spans="1:16" x14ac:dyDescent="0.3">
      <c r="A201" s="286"/>
      <c r="B201" s="319" t="s">
        <v>51</v>
      </c>
      <c r="C201" s="11" t="s">
        <v>47</v>
      </c>
      <c r="D201" s="132">
        <f>Bangula!D201+Chikwawa!D201+'Miseu Folo'!D201+Nchalo!D201+Nsanje!D201+Ngabu!D201</f>
        <v>0</v>
      </c>
      <c r="E201" s="132">
        <f>Bangula!E201+Chikwawa!E201+'Miseu Folo'!E201+Nchalo!E201+Nsanje!E201+Ngabu!E201</f>
        <v>0</v>
      </c>
      <c r="F201" s="132">
        <f>Bangula!F201+Chikwawa!F201+'Miseu Folo'!F201+Nchalo!F201+Nsanje!F201+Ngabu!F201</f>
        <v>0</v>
      </c>
      <c r="G201" s="132">
        <f>Bangula!G201+Chikwawa!G201+'Miseu Folo'!G201+Nchalo!G201+Nsanje!G201+Ngabu!G201</f>
        <v>162</v>
      </c>
      <c r="H201" s="132">
        <f>Bangula!H201+Chikwawa!H201+'Miseu Folo'!H201+Nchalo!H201+Nsanje!H201+Ngabu!H201</f>
        <v>0</v>
      </c>
      <c r="I201" s="132">
        <f>Bangula!I201+Chikwawa!I201+'Miseu Folo'!I201+Nchalo!I201+Nsanje!I201+Ngabu!I201</f>
        <v>0</v>
      </c>
      <c r="J201" s="132">
        <f>Bangula!J201+Chikwawa!J201+'Miseu Folo'!J201+Nchalo!J201+Nsanje!J201+Ngabu!J201</f>
        <v>0</v>
      </c>
      <c r="K201" s="132">
        <f>Bangula!K201+Chikwawa!K201+'Miseu Folo'!K201+Nchalo!K201+Nsanje!K201+Ngabu!K201</f>
        <v>372</v>
      </c>
      <c r="L201" s="132">
        <f>Bangula!L201+Chikwawa!L201+'Miseu Folo'!L201+Nchalo!L201+Nsanje!L201+Ngabu!L201</f>
        <v>48</v>
      </c>
      <c r="M201" s="132">
        <f>Bangula!M201+Chikwawa!M201+'Miseu Folo'!M201+Nchalo!M201+Nsanje!M201+Ngabu!M201</f>
        <v>0</v>
      </c>
      <c r="N201" s="132">
        <f>Bangula!N201+Chikwawa!N201+'Miseu Folo'!N201+Nchalo!N201+Nsanje!N201+Ngabu!N201</f>
        <v>0</v>
      </c>
      <c r="O201" s="132">
        <f>Bangula!O201+Chikwawa!O201+'Miseu Folo'!O201+Nchalo!O201+Nsanje!O201+Ngabu!O201</f>
        <v>1020</v>
      </c>
      <c r="P201" s="39">
        <f t="shared" si="77"/>
        <v>1602</v>
      </c>
    </row>
    <row r="202" spans="1:16" x14ac:dyDescent="0.3">
      <c r="A202" s="286"/>
      <c r="B202" s="319" t="s">
        <v>50</v>
      </c>
      <c r="C202" s="11" t="s">
        <v>47</v>
      </c>
      <c r="D202" s="132">
        <f>Bangula!D202+Chikwawa!D202+'Miseu Folo'!D202+Nchalo!D202+Nsanje!D202+Ngabu!D202</f>
        <v>0</v>
      </c>
      <c r="E202" s="132">
        <f>Bangula!E202+Chikwawa!E202+'Miseu Folo'!E202+Nchalo!E202+Nsanje!E202+Ngabu!E202</f>
        <v>0</v>
      </c>
      <c r="F202" s="132">
        <f>Bangula!F202+Chikwawa!F202+'Miseu Folo'!F202+Nchalo!F202+Nsanje!F202+Ngabu!F202</f>
        <v>0</v>
      </c>
      <c r="G202" s="132">
        <f>Bangula!G202+Chikwawa!G202+'Miseu Folo'!G202+Nchalo!G202+Nsanje!G202+Ngabu!G202</f>
        <v>0</v>
      </c>
      <c r="H202" s="132">
        <f>Bangula!H202+Chikwawa!H202+'Miseu Folo'!H202+Nchalo!H202+Nsanje!H202+Ngabu!H202</f>
        <v>0</v>
      </c>
      <c r="I202" s="132">
        <f>Bangula!I202+Chikwawa!I202+'Miseu Folo'!I202+Nchalo!I202+Nsanje!I202+Ngabu!I202</f>
        <v>0</v>
      </c>
      <c r="J202" s="132">
        <f>Bangula!J202+Chikwawa!J202+'Miseu Folo'!J202+Nchalo!J202+Nsanje!J202+Ngabu!J202</f>
        <v>600</v>
      </c>
      <c r="K202" s="132">
        <f>Bangula!K202+Chikwawa!K202+'Miseu Folo'!K202+Nchalo!K202+Nsanje!K202+Ngabu!K202</f>
        <v>100</v>
      </c>
      <c r="L202" s="132">
        <f>Bangula!L202+Chikwawa!L202+'Miseu Folo'!L202+Nchalo!L202+Nsanje!L202+Ngabu!L202</f>
        <v>0</v>
      </c>
      <c r="M202" s="132">
        <f>Bangula!M202+Chikwawa!M202+'Miseu Folo'!M202+Nchalo!M202+Nsanje!M202+Ngabu!M202</f>
        <v>0</v>
      </c>
      <c r="N202" s="132">
        <f>Bangula!N202+Chikwawa!N202+'Miseu Folo'!N202+Nchalo!N202+Nsanje!N202+Ngabu!N202</f>
        <v>0</v>
      </c>
      <c r="O202" s="132">
        <f>Bangula!O202+Chikwawa!O202+'Miseu Folo'!O202+Nchalo!O202+Nsanje!O202+Ngabu!O202</f>
        <v>0</v>
      </c>
      <c r="P202" s="39">
        <f t="shared" si="77"/>
        <v>700</v>
      </c>
    </row>
    <row r="203" spans="1:16" x14ac:dyDescent="0.3">
      <c r="A203" s="284"/>
      <c r="B203" s="319" t="s">
        <v>49</v>
      </c>
      <c r="C203" s="11" t="s">
        <v>47</v>
      </c>
      <c r="D203" s="132">
        <f>Bangula!D203+Chikwawa!D203+'Miseu Folo'!D203+Nchalo!D203+Nsanje!D203+Ngabu!D203</f>
        <v>0</v>
      </c>
      <c r="E203" s="132">
        <f>Bangula!E203+Chikwawa!E203+'Miseu Folo'!E203+Nchalo!E203+Nsanje!E203+Ngabu!E203</f>
        <v>0</v>
      </c>
      <c r="F203" s="132">
        <f>Bangula!F203+Chikwawa!F203+'Miseu Folo'!F203+Nchalo!F203+Nsanje!F203+Ngabu!F203</f>
        <v>0</v>
      </c>
      <c r="G203" s="132">
        <f>Bangula!G203+Chikwawa!G203+'Miseu Folo'!G203+Nchalo!G203+Nsanje!G203+Ngabu!G203</f>
        <v>0</v>
      </c>
      <c r="H203" s="132">
        <f>Bangula!H203+Chikwawa!H203+'Miseu Folo'!H203+Nchalo!H203+Nsanje!H203+Ngabu!H203</f>
        <v>0</v>
      </c>
      <c r="I203" s="132">
        <f>Bangula!I203+Chikwawa!I203+'Miseu Folo'!I203+Nchalo!I203+Nsanje!I203+Ngabu!I203</f>
        <v>0</v>
      </c>
      <c r="J203" s="132">
        <f>Bangula!J203+Chikwawa!J203+'Miseu Folo'!J203+Nchalo!J203+Nsanje!J203+Ngabu!J203</f>
        <v>0</v>
      </c>
      <c r="K203" s="132">
        <f>Bangula!K203+Chikwawa!K203+'Miseu Folo'!K203+Nchalo!K203+Nsanje!K203+Ngabu!K203</f>
        <v>0</v>
      </c>
      <c r="L203" s="132">
        <f>Bangula!L203+Chikwawa!L203+'Miseu Folo'!L203+Nchalo!L203+Nsanje!L203+Ngabu!L203</f>
        <v>0</v>
      </c>
      <c r="M203" s="132">
        <f>Bangula!M203+Chikwawa!M203+'Miseu Folo'!M203+Nchalo!M203+Nsanje!M203+Ngabu!M203</f>
        <v>0</v>
      </c>
      <c r="N203" s="132">
        <f>Bangula!N203+Chikwawa!N203+'Miseu Folo'!N203+Nchalo!N203+Nsanje!N203+Ngabu!N203</f>
        <v>0</v>
      </c>
      <c r="O203" s="132">
        <f>Bangula!O203+Chikwawa!O203+'Miseu Folo'!O203+Nchalo!O203+Nsanje!O203+Ngabu!O203</f>
        <v>180</v>
      </c>
      <c r="P203" s="39">
        <f t="shared" si="77"/>
        <v>180</v>
      </c>
    </row>
    <row r="204" spans="1:16" x14ac:dyDescent="0.3">
      <c r="A204" s="83" t="s">
        <v>48</v>
      </c>
      <c r="B204" s="319"/>
      <c r="C204" s="11" t="s">
        <v>47</v>
      </c>
      <c r="D204" s="15">
        <f t="shared" ref="D204:H204" si="78">SUM(D199:D203)</f>
        <v>0</v>
      </c>
      <c r="E204" s="15">
        <f>SUM(E199:E203)</f>
        <v>0</v>
      </c>
      <c r="F204" s="15">
        <f>SUM(F199:F203)</f>
        <v>0</v>
      </c>
      <c r="G204" s="10">
        <f t="shared" si="78"/>
        <v>162</v>
      </c>
      <c r="H204" s="10">
        <f t="shared" si="78"/>
        <v>0</v>
      </c>
      <c r="I204" s="10">
        <f t="shared" ref="I204:O204" si="79">SUM(I199:I203)</f>
        <v>72</v>
      </c>
      <c r="J204" s="10">
        <f t="shared" si="79"/>
        <v>600</v>
      </c>
      <c r="K204" s="10">
        <f t="shared" si="79"/>
        <v>472</v>
      </c>
      <c r="L204" s="10">
        <f t="shared" si="79"/>
        <v>258</v>
      </c>
      <c r="M204" s="10">
        <f t="shared" si="79"/>
        <v>522</v>
      </c>
      <c r="N204" s="10">
        <f t="shared" si="79"/>
        <v>0</v>
      </c>
      <c r="O204" s="10">
        <f t="shared" si="79"/>
        <v>1200</v>
      </c>
      <c r="P204" s="111">
        <f t="shared" si="77"/>
        <v>3286</v>
      </c>
    </row>
    <row r="205" spans="1:16" s="2" customFormat="1" ht="14.4" x14ac:dyDescent="0.3">
      <c r="A205" s="277" t="s">
        <v>46</v>
      </c>
      <c r="B205" s="278"/>
      <c r="C205" s="278"/>
      <c r="D205" s="278"/>
      <c r="E205" s="278"/>
      <c r="F205" s="278"/>
      <c r="G205" s="278"/>
      <c r="H205" s="278"/>
      <c r="I205" s="278"/>
      <c r="J205" s="278"/>
      <c r="K205" s="278"/>
      <c r="L205" s="278"/>
      <c r="M205" s="278"/>
      <c r="N205" s="278"/>
      <c r="O205" s="278"/>
      <c r="P205" s="279"/>
    </row>
    <row r="206" spans="1:16" x14ac:dyDescent="0.3">
      <c r="A206" s="231" t="s">
        <v>43</v>
      </c>
      <c r="B206" s="232"/>
      <c r="C206" s="11" t="s">
        <v>31</v>
      </c>
      <c r="D206" s="15">
        <f>Bangula!D206+Chikwawa!D206+'Miseu Folo'!D206+Nchalo!D206+Nsanje!D206+Ngabu!D206</f>
        <v>18856652.109999999</v>
      </c>
      <c r="E206" s="15">
        <f>Bangula!E206+Chikwawa!E206+'Miseu Folo'!E206+Nchalo!E206+Nsanje!E206+Ngabu!E206</f>
        <v>34816579.719999999</v>
      </c>
      <c r="F206" s="15">
        <f>Bangula!F206+Chikwawa!F206+'Miseu Folo'!F206+Nchalo!F206+Nsanje!F206+Ngabu!F206</f>
        <v>53071381</v>
      </c>
      <c r="G206" s="15">
        <f>Bangula!G206+Chikwawa!G206+'Miseu Folo'!G206+Nchalo!G206+Nsanje!G206+Ngabu!G206</f>
        <v>39821161</v>
      </c>
      <c r="H206" s="15">
        <f>Bangula!H206+Chikwawa!H206+'Miseu Folo'!H206+Nchalo!H206+Nsanje!H206+Ngabu!H206</f>
        <v>24167577</v>
      </c>
      <c r="I206" s="15">
        <f>Bangula!I206+Chikwawa!I206+'Miseu Folo'!I206+Nchalo!I206+Nsanje!I206+Ngabu!I206</f>
        <v>48998207</v>
      </c>
      <c r="J206" s="15">
        <f>Bangula!J206+Chikwawa!J206+'Miseu Folo'!J206+Nchalo!J206+Nsanje!J206+Ngabu!J206</f>
        <v>23322935</v>
      </c>
      <c r="K206" s="15">
        <f>Bangula!K206+Chikwawa!K206+'Miseu Folo'!K206+Nchalo!K206+Nsanje!K206+Ngabu!K206</f>
        <v>66262599</v>
      </c>
      <c r="L206" s="15">
        <f>Bangula!L206+Chikwawa!L206+'Miseu Folo'!L206+Nchalo!L206+Nsanje!L206+Ngabu!L206</f>
        <v>36886969</v>
      </c>
      <c r="M206" s="15">
        <f>Bangula!M206+Chikwawa!M206+'Miseu Folo'!M206+Nchalo!M206+Nsanje!M206+Ngabu!M206</f>
        <v>48887530</v>
      </c>
      <c r="N206" s="15">
        <f>Bangula!N206+Chikwawa!N206+'Miseu Folo'!N206+Nchalo!N206+Nsanje!N206+Ngabu!N206</f>
        <v>31641814</v>
      </c>
      <c r="O206" s="15">
        <f>Bangula!O206+Chikwawa!O206+'Miseu Folo'!O206+Nchalo!O206+Nsanje!O206+Ngabu!O206</f>
        <v>45291677</v>
      </c>
      <c r="P206" s="40">
        <f>SUM(D206:O206)</f>
        <v>472025081.82999998</v>
      </c>
    </row>
    <row r="207" spans="1:16" x14ac:dyDescent="0.3">
      <c r="A207" s="231" t="s">
        <v>42</v>
      </c>
      <c r="B207" s="232"/>
      <c r="C207" s="11" t="s">
        <v>31</v>
      </c>
      <c r="D207" s="15">
        <f>Bangula!D207+Chikwawa!D207+'Miseu Folo'!D207+Nchalo!D207+Nsanje!D207+Ngabu!D207</f>
        <v>567950</v>
      </c>
      <c r="E207" s="15">
        <f>Bangula!E207+Chikwawa!E207+'Miseu Folo'!E207+Nchalo!E207+Nsanje!E207+Ngabu!E207</f>
        <v>844170</v>
      </c>
      <c r="F207" s="15">
        <f>Bangula!F207+Chikwawa!F207+'Miseu Folo'!F207+Nchalo!F207+Nsanje!F207+Ngabu!F207</f>
        <v>1687640</v>
      </c>
      <c r="G207" s="15">
        <f>Bangula!G207+Chikwawa!G207+'Miseu Folo'!G207+Nchalo!G207+Nsanje!G207+Ngabu!G207</f>
        <v>819590</v>
      </c>
      <c r="H207" s="15">
        <f>Bangula!H207+Chikwawa!H207+'Miseu Folo'!H207+Nchalo!H207+Nsanje!H207+Ngabu!H207</f>
        <v>575050</v>
      </c>
      <c r="I207" s="15">
        <f>Bangula!I207+Chikwawa!I207+'Miseu Folo'!I207+Nchalo!I207+Nsanje!I207+Ngabu!I207</f>
        <v>950800</v>
      </c>
      <c r="J207" s="15">
        <f>Bangula!J207+Chikwawa!J207+'Miseu Folo'!J207+Nchalo!J207+Nsanje!J207+Ngabu!J207</f>
        <v>402050</v>
      </c>
      <c r="K207" s="15">
        <f>Bangula!K207+Chikwawa!K207+'Miseu Folo'!K207+Nchalo!K207+Nsanje!K207+Ngabu!K207</f>
        <v>1082570</v>
      </c>
      <c r="L207" s="15">
        <f>Bangula!L207+Chikwawa!L207+'Miseu Folo'!L207+Nchalo!L207+Nsanje!L207+Ngabu!L207</f>
        <v>741600</v>
      </c>
      <c r="M207" s="15">
        <f>Bangula!M207+Chikwawa!M207+'Miseu Folo'!M207+Nchalo!M207+Nsanje!M207+Ngabu!M207</f>
        <v>914000</v>
      </c>
      <c r="N207" s="15">
        <f>Bangula!N207+Chikwawa!N207+'Miseu Folo'!N207+Nchalo!N207+Nsanje!N207+Ngabu!N207</f>
        <v>475810</v>
      </c>
      <c r="O207" s="15">
        <f>Bangula!O207+Chikwawa!O207+'Miseu Folo'!O207+Nchalo!O207+Nsanje!O207+Ngabu!O207</f>
        <v>742650</v>
      </c>
      <c r="P207" s="40">
        <f>SUM(D207:O207)</f>
        <v>9803880</v>
      </c>
    </row>
    <row r="208" spans="1:16" x14ac:dyDescent="0.3">
      <c r="A208" s="237" t="s">
        <v>41</v>
      </c>
      <c r="B208" s="238"/>
      <c r="C208" s="11" t="s">
        <v>31</v>
      </c>
      <c r="D208" s="15">
        <f>Bangula!D208+Chikwawa!D208+'Miseu Folo'!D208+Nchalo!D208+Nsanje!D208+Ngabu!D208</f>
        <v>197909.41</v>
      </c>
      <c r="E208" s="15">
        <f>Bangula!E208+Chikwawa!E208+'Miseu Folo'!E208+Nchalo!E208+Nsanje!E208+Ngabu!E208</f>
        <v>295178.62</v>
      </c>
      <c r="F208" s="15">
        <f>Bangula!F208+Chikwawa!F208+'Miseu Folo'!F208+Nchalo!F208+Nsanje!F208+Ngabu!F208</f>
        <v>1534736</v>
      </c>
      <c r="G208" s="15">
        <f>Bangula!G208+Chikwawa!G208+'Miseu Folo'!G208+Nchalo!G208+Nsanje!G208+Ngabu!G208</f>
        <v>430050</v>
      </c>
      <c r="H208" s="15">
        <f>Bangula!H208+Chikwawa!H208+'Miseu Folo'!H208+Nchalo!H208+Nsanje!H208+Ngabu!H208</f>
        <v>208100</v>
      </c>
      <c r="I208" s="15">
        <f>Bangula!I208+Chikwawa!I208+'Miseu Folo'!I208+Nchalo!I208+Nsanje!I208+Ngabu!I208</f>
        <v>189840</v>
      </c>
      <c r="J208" s="15">
        <f>Bangula!J208+Chikwawa!J208+'Miseu Folo'!J208+Nchalo!J208+Nsanje!J208+Ngabu!J208</f>
        <v>432000</v>
      </c>
      <c r="K208" s="15">
        <f>Bangula!K208+Chikwawa!K208+'Miseu Folo'!K208+Nchalo!K208+Nsanje!K208+Ngabu!K208</f>
        <v>2042575</v>
      </c>
      <c r="L208" s="15">
        <f>Bangula!L208+Chikwawa!L208+'Miseu Folo'!L208+Nchalo!L208+Nsanje!L208+Ngabu!L208</f>
        <v>22000</v>
      </c>
      <c r="M208" s="15">
        <f>Bangula!M208+Chikwawa!M208+'Miseu Folo'!M208+Nchalo!M208+Nsanje!M208+Ngabu!M208</f>
        <v>1346099</v>
      </c>
      <c r="N208" s="15">
        <f>Bangula!N208+Chikwawa!N208+'Miseu Folo'!N208+Nchalo!N208+Nsanje!N208+Ngabu!N208</f>
        <v>195000</v>
      </c>
      <c r="O208" s="15">
        <f>Bangula!O208+Chikwawa!O208+'Miseu Folo'!O208+Nchalo!O208+Nsanje!O208+Ngabu!O208</f>
        <v>1976578</v>
      </c>
      <c r="P208" s="40">
        <f>SUM(D208:O208)</f>
        <v>8870066.0300000012</v>
      </c>
    </row>
    <row r="209" spans="1:16" x14ac:dyDescent="0.3">
      <c r="A209" s="231" t="s">
        <v>40</v>
      </c>
      <c r="B209" s="232"/>
      <c r="C209" s="11" t="s">
        <v>31</v>
      </c>
      <c r="D209" s="15">
        <f>Bangula!D209+Chikwawa!D209+'Miseu Folo'!D209+Nchalo!D209+Nsanje!D209+Ngabu!D209</f>
        <v>455310</v>
      </c>
      <c r="E209" s="15">
        <f>Bangula!E209+Chikwawa!E209+'Miseu Folo'!E209+Nchalo!E209+Nsanje!E209+Ngabu!E209</f>
        <v>2144967.48</v>
      </c>
      <c r="F209" s="15">
        <f>Bangula!F209+Chikwawa!F209+'Miseu Folo'!F209+Nchalo!F209+Nsanje!F209+Ngabu!F209</f>
        <v>934975</v>
      </c>
      <c r="G209" s="15">
        <f>Bangula!G209+Chikwawa!G209+'Miseu Folo'!G209+Nchalo!G209+Nsanje!G209+Ngabu!G209</f>
        <v>603560</v>
      </c>
      <c r="H209" s="15">
        <f>Bangula!H209+Chikwawa!H209+'Miseu Folo'!H209+Nchalo!H209+Nsanje!H209+Ngabu!H209</f>
        <v>362883</v>
      </c>
      <c r="I209" s="15">
        <f>Bangula!I209+Chikwawa!I209+'Miseu Folo'!I209+Nchalo!I209+Nsanje!I209+Ngabu!I209</f>
        <v>1166450</v>
      </c>
      <c r="J209" s="15">
        <f>Bangula!J209+Chikwawa!J209+'Miseu Folo'!J209+Nchalo!J209+Nsanje!J209+Ngabu!J209</f>
        <v>519370</v>
      </c>
      <c r="K209" s="15">
        <f>Bangula!K209+Chikwawa!K209+'Miseu Folo'!K209+Nchalo!K209+Nsanje!K209+Ngabu!K209</f>
        <v>1097040</v>
      </c>
      <c r="L209" s="15">
        <f>Bangula!L209+Chikwawa!L209+'Miseu Folo'!L209+Nchalo!L209+Nsanje!L209+Ngabu!L209</f>
        <v>330000</v>
      </c>
      <c r="M209" s="15">
        <f>Bangula!M209+Chikwawa!M209+'Miseu Folo'!M209+Nchalo!M209+Nsanje!M209+Ngabu!M209</f>
        <v>10066580</v>
      </c>
      <c r="N209" s="15">
        <f>Bangula!N209+Chikwawa!N209+'Miseu Folo'!N209+Nchalo!N209+Nsanje!N209+Ngabu!N209</f>
        <v>366750</v>
      </c>
      <c r="O209" s="15">
        <f>Bangula!O209+Chikwawa!O209+'Miseu Folo'!O209+Nchalo!O209+Nsanje!O209+Ngabu!O209</f>
        <v>1051873</v>
      </c>
      <c r="P209" s="15">
        <f>Bangula!P209+Chikwawa!P209+'Miseu Folo'!P209+Nchalo!P209+Nsanje!P209+Ngabu!P209</f>
        <v>19099758.48</v>
      </c>
    </row>
    <row r="210" spans="1:16" x14ac:dyDescent="0.3">
      <c r="A210" s="290" t="s">
        <v>45</v>
      </c>
      <c r="B210" s="291"/>
      <c r="C210" s="11" t="s">
        <v>31</v>
      </c>
      <c r="D210" s="10">
        <f t="shared" ref="D210:O210" si="80">SUM(D206:D209)</f>
        <v>20077821.52</v>
      </c>
      <c r="E210" s="10">
        <f t="shared" si="80"/>
        <v>38100895.819999993</v>
      </c>
      <c r="F210" s="10">
        <f t="shared" si="80"/>
        <v>57228732</v>
      </c>
      <c r="G210" s="10">
        <f t="shared" si="80"/>
        <v>41674361</v>
      </c>
      <c r="H210" s="10">
        <f t="shared" si="80"/>
        <v>25313610</v>
      </c>
      <c r="I210" s="10">
        <f t="shared" si="80"/>
        <v>51305297</v>
      </c>
      <c r="J210" s="10">
        <f t="shared" si="80"/>
        <v>24676355</v>
      </c>
      <c r="K210" s="10">
        <f t="shared" si="80"/>
        <v>70484784</v>
      </c>
      <c r="L210" s="10">
        <f t="shared" si="80"/>
        <v>37980569</v>
      </c>
      <c r="M210" s="10">
        <f t="shared" si="80"/>
        <v>61214209</v>
      </c>
      <c r="N210" s="10">
        <f t="shared" si="80"/>
        <v>32679374</v>
      </c>
      <c r="O210" s="10">
        <f t="shared" si="80"/>
        <v>49062778</v>
      </c>
      <c r="P210" s="40">
        <f>SUM(D210:O210)</f>
        <v>509798786.33999997</v>
      </c>
    </row>
    <row r="211" spans="1:16" s="2" customFormat="1" ht="14.4" x14ac:dyDescent="0.3">
      <c r="A211" s="277" t="s">
        <v>44</v>
      </c>
      <c r="B211" s="278"/>
      <c r="C211" s="278"/>
      <c r="D211" s="278"/>
      <c r="E211" s="278"/>
      <c r="F211" s="278"/>
      <c r="G211" s="278"/>
      <c r="H211" s="278"/>
      <c r="I211" s="278"/>
      <c r="J211" s="278"/>
      <c r="K211" s="278"/>
      <c r="L211" s="278"/>
      <c r="M211" s="278"/>
      <c r="N211" s="278"/>
      <c r="O211" s="278"/>
      <c r="P211" s="279"/>
    </row>
    <row r="212" spans="1:16" x14ac:dyDescent="0.3">
      <c r="A212" s="231" t="s">
        <v>43</v>
      </c>
      <c r="B212" s="232"/>
      <c r="C212" s="11" t="s">
        <v>31</v>
      </c>
      <c r="D212" s="15">
        <f>Bangula!D212+Chikwawa!D212+'Miseu Folo'!D212+Nchalo!D212+Nsanje!D212+Ngabu!D212</f>
        <v>0</v>
      </c>
      <c r="E212" s="15">
        <f>Bangula!E212+Chikwawa!E212+'Miseu Folo'!E212+Nchalo!E212+Nsanje!E212+Ngabu!E212</f>
        <v>0</v>
      </c>
      <c r="F212" s="15">
        <f>Bangula!F212+Chikwawa!F212+'Miseu Folo'!F212+Nchalo!F212+Nsanje!F212+Ngabu!F212</f>
        <v>0</v>
      </c>
      <c r="G212" s="15">
        <f>Bangula!G212+Chikwawa!G212+'Miseu Folo'!G212+Nchalo!G212+Nsanje!G212+Ngabu!G212</f>
        <v>0</v>
      </c>
      <c r="H212" s="15">
        <f>Bangula!H212+Chikwawa!H212+'Miseu Folo'!H212+Nchalo!H212+Nsanje!H212+Ngabu!H212</f>
        <v>0</v>
      </c>
      <c r="I212" s="15">
        <f>Bangula!I212+Chikwawa!I212+'Miseu Folo'!I212+Nchalo!I212+Nsanje!I212+Ngabu!I212</f>
        <v>0</v>
      </c>
      <c r="J212" s="15">
        <f>Bangula!J212+Chikwawa!J212+'Miseu Folo'!J212+Nchalo!J212+Nsanje!J212+Ngabu!J212</f>
        <v>0</v>
      </c>
      <c r="K212" s="15">
        <f>Bangula!K212+Chikwawa!K212+'Miseu Folo'!K212+Nchalo!K212+Nsanje!K212+Ngabu!K212</f>
        <v>0</v>
      </c>
      <c r="L212" s="15">
        <f>Bangula!L212+Chikwawa!L212+'Miseu Folo'!L212+Nchalo!L212+Nsanje!L212+Ngabu!L212</f>
        <v>0</v>
      </c>
      <c r="M212" s="15">
        <f>Bangula!M212+Chikwawa!M212+'Miseu Folo'!M212+Nchalo!M212+Nsanje!M212+Ngabu!M212</f>
        <v>0</v>
      </c>
      <c r="N212" s="15">
        <f>Bangula!N212+Chikwawa!N212+'Miseu Folo'!N212+Nchalo!N212+Nsanje!N212+Ngabu!N212</f>
        <v>0</v>
      </c>
      <c r="O212" s="15">
        <f>Bangula!O212+Chikwawa!O212+'Miseu Folo'!O212+Nchalo!O212+Nsanje!O212+Ngabu!O212</f>
        <v>0</v>
      </c>
      <c r="P212" s="40">
        <f>SUM(D212:O212)</f>
        <v>0</v>
      </c>
    </row>
    <row r="213" spans="1:16" x14ac:dyDescent="0.3">
      <c r="A213" s="231" t="s">
        <v>42</v>
      </c>
      <c r="B213" s="232"/>
      <c r="C213" s="11" t="s">
        <v>31</v>
      </c>
      <c r="D213" s="15">
        <f>Bangula!D213+Chikwawa!D213+'Miseu Folo'!D213+Nchalo!D213+Nsanje!D213+Ngabu!D213</f>
        <v>0</v>
      </c>
      <c r="E213" s="15">
        <f>Bangula!E213+Chikwawa!E213+'Miseu Folo'!E213+Nchalo!E213+Nsanje!E213+Ngabu!E213</f>
        <v>0</v>
      </c>
      <c r="F213" s="15">
        <f>Bangula!F213+Chikwawa!F213+'Miseu Folo'!F213+Nchalo!F213+Nsanje!F213+Ngabu!F213</f>
        <v>0</v>
      </c>
      <c r="G213" s="15">
        <f>Bangula!G213+Chikwawa!G213+'Miseu Folo'!G213+Nchalo!G213+Nsanje!G213+Ngabu!G213</f>
        <v>0</v>
      </c>
      <c r="H213" s="15">
        <f>Bangula!H213+Chikwawa!H213+'Miseu Folo'!H213+Nchalo!H213+Nsanje!H213+Ngabu!H213</f>
        <v>0</v>
      </c>
      <c r="I213" s="15">
        <f>Bangula!I213+Chikwawa!I213+'Miseu Folo'!I213+Nchalo!I213+Nsanje!I213+Ngabu!I213</f>
        <v>0</v>
      </c>
      <c r="J213" s="15">
        <f>Bangula!J213+Chikwawa!J213+'Miseu Folo'!J213+Nchalo!J213+Nsanje!J213+Ngabu!J213</f>
        <v>0</v>
      </c>
      <c r="K213" s="15">
        <f>Bangula!K213+Chikwawa!K213+'Miseu Folo'!K213+Nchalo!K213+Nsanje!K213+Ngabu!K213</f>
        <v>0</v>
      </c>
      <c r="L213" s="15">
        <f>Bangula!L213+Chikwawa!L213+'Miseu Folo'!L213+Nchalo!L213+Nsanje!L213+Ngabu!L213</f>
        <v>0</v>
      </c>
      <c r="M213" s="15">
        <f>Bangula!M213+Chikwawa!M213+'Miseu Folo'!M213+Nchalo!M213+Nsanje!M213+Ngabu!M213</f>
        <v>0</v>
      </c>
      <c r="N213" s="15">
        <f>Bangula!N213+Chikwawa!N213+'Miseu Folo'!N213+Nchalo!N213+Nsanje!N213+Ngabu!N213</f>
        <v>0</v>
      </c>
      <c r="O213" s="15">
        <f>Bangula!O213+Chikwawa!O213+'Miseu Folo'!O213+Nchalo!O213+Nsanje!O213+Ngabu!O213</f>
        <v>0</v>
      </c>
      <c r="P213" s="40">
        <f>SUM(D213:O213)</f>
        <v>0</v>
      </c>
    </row>
    <row r="214" spans="1:16" x14ac:dyDescent="0.3">
      <c r="A214" s="237" t="s">
        <v>41</v>
      </c>
      <c r="B214" s="238"/>
      <c r="C214" s="11" t="s">
        <v>31</v>
      </c>
      <c r="D214" s="15">
        <f>Bangula!D214+Chikwawa!D214+'Miseu Folo'!D214+Nchalo!D214+Nsanje!D214+Ngabu!D214</f>
        <v>0</v>
      </c>
      <c r="E214" s="15">
        <f>Bangula!E214+Chikwawa!E214+'Miseu Folo'!E214+Nchalo!E214+Nsanje!E214+Ngabu!E214</f>
        <v>0</v>
      </c>
      <c r="F214" s="15">
        <f>Bangula!F214+Chikwawa!F214+'Miseu Folo'!F214+Nchalo!F214+Nsanje!F214+Ngabu!F214</f>
        <v>0</v>
      </c>
      <c r="G214" s="15">
        <f>Bangula!G214+Chikwawa!G214+'Miseu Folo'!G214+Nchalo!G214+Nsanje!G214+Ngabu!G214</f>
        <v>0</v>
      </c>
      <c r="H214" s="15">
        <f>Bangula!H214+Chikwawa!H214+'Miseu Folo'!H214+Nchalo!H214+Nsanje!H214+Ngabu!H214</f>
        <v>0</v>
      </c>
      <c r="I214" s="15">
        <f>Bangula!I214+Chikwawa!I214+'Miseu Folo'!I214+Nchalo!I214+Nsanje!I214+Ngabu!I214</f>
        <v>0</v>
      </c>
      <c r="J214" s="15">
        <f>Bangula!J214+Chikwawa!J214+'Miseu Folo'!J214+Nchalo!J214+Nsanje!J214+Ngabu!J214</f>
        <v>0</v>
      </c>
      <c r="K214" s="15">
        <f>Bangula!K214+Chikwawa!K214+'Miseu Folo'!K214+Nchalo!K214+Nsanje!K214+Ngabu!K214</f>
        <v>0</v>
      </c>
      <c r="L214" s="15">
        <f>Bangula!L214+Chikwawa!L214+'Miseu Folo'!L214+Nchalo!L214+Nsanje!L214+Ngabu!L214</f>
        <v>0</v>
      </c>
      <c r="M214" s="15">
        <f>Bangula!M214+Chikwawa!M214+'Miseu Folo'!M214+Nchalo!M214+Nsanje!M214+Ngabu!M214</f>
        <v>0</v>
      </c>
      <c r="N214" s="15">
        <f>Bangula!N214+Chikwawa!N214+'Miseu Folo'!N214+Nchalo!N214+Nsanje!N214+Ngabu!N214</f>
        <v>0</v>
      </c>
      <c r="O214" s="15">
        <f>Bangula!O214+Chikwawa!O214+'Miseu Folo'!O214+Nchalo!O214+Nsanje!O214+Ngabu!O214</f>
        <v>0</v>
      </c>
      <c r="P214" s="40">
        <f>SUM(D214:O214)</f>
        <v>0</v>
      </c>
    </row>
    <row r="215" spans="1:16" x14ac:dyDescent="0.3">
      <c r="A215" s="231" t="s">
        <v>40</v>
      </c>
      <c r="B215" s="232"/>
      <c r="C215" s="11" t="s">
        <v>31</v>
      </c>
      <c r="D215" s="15">
        <f>Bangula!D215+Chikwawa!D215+'Miseu Folo'!D215+Nchalo!D215+Nsanje!D215+Ngabu!D215</f>
        <v>29119607.990000002</v>
      </c>
      <c r="E215" s="15">
        <f>Bangula!E215+Chikwawa!E215+'Miseu Folo'!E215+Nchalo!E215+Nsanje!E215+Ngabu!E215</f>
        <v>30948070.889999997</v>
      </c>
      <c r="F215" s="15">
        <f>Bangula!F215+Chikwawa!F215+'Miseu Folo'!F215+Nchalo!F215+Nsanje!F215+Ngabu!F215</f>
        <v>31848240.359999996</v>
      </c>
      <c r="G215" s="15">
        <f>Bangula!G215+Chikwawa!G215+'Miseu Folo'!G215+Nchalo!G215+Nsanje!G215+Ngabu!G215</f>
        <v>36779229.719999999</v>
      </c>
      <c r="H215" s="15">
        <f>Bangula!H215+Chikwawa!H215+'Miseu Folo'!H215+Nchalo!H215+Nsanje!H215+Ngabu!H215</f>
        <v>61811464.879999995</v>
      </c>
      <c r="I215" s="15">
        <f>Bangula!I215+Chikwawa!I215+'Miseu Folo'!I215+Nchalo!I215+Nsanje!I215+Ngabu!I215</f>
        <v>37253518.399999999</v>
      </c>
      <c r="J215" s="15">
        <f>Bangula!J215+Chikwawa!J215+'Miseu Folo'!J215+Nchalo!J215+Nsanje!J215+Ngabu!J215</f>
        <v>38622115.269999996</v>
      </c>
      <c r="K215" s="15">
        <f>Bangula!K215+Chikwawa!K215+'Miseu Folo'!K215+Nchalo!K215+Nsanje!K215+Ngabu!K215</f>
        <v>35632875.710000001</v>
      </c>
      <c r="L215" s="15">
        <f>Bangula!L215+Chikwawa!L215+'Miseu Folo'!L215+Nchalo!L215+Nsanje!L215+Ngabu!L215</f>
        <v>41058198.849999994</v>
      </c>
      <c r="M215" s="15">
        <f>Bangula!M215+Chikwawa!M215+'Miseu Folo'!M215+Nchalo!M215+Nsanje!M215+Ngabu!M215</f>
        <v>62130699.640000001</v>
      </c>
      <c r="N215" s="15">
        <f>Bangula!N215+Chikwawa!N215+'Miseu Folo'!N215+Nchalo!N215+Nsanje!N215+Ngabu!N215</f>
        <v>63981910.030000001</v>
      </c>
      <c r="O215" s="15">
        <f>Bangula!O215+Chikwawa!O215+'Miseu Folo'!O215+Nchalo!O215+Nsanje!O215+Ngabu!O215</f>
        <v>30738396.5</v>
      </c>
      <c r="P215" s="40">
        <f>SUM(D215:O215)</f>
        <v>499924328.23999989</v>
      </c>
    </row>
    <row r="216" spans="1:16" x14ac:dyDescent="0.3">
      <c r="A216" s="290" t="s">
        <v>39</v>
      </c>
      <c r="B216" s="291"/>
      <c r="C216" s="11" t="s">
        <v>31</v>
      </c>
      <c r="D216" s="10">
        <f t="shared" ref="D216:H216" si="81">SUM(D212:D215)</f>
        <v>29119607.990000002</v>
      </c>
      <c r="E216" s="10">
        <f t="shared" si="81"/>
        <v>30948070.889999997</v>
      </c>
      <c r="F216" s="10">
        <f t="shared" si="81"/>
        <v>31848240.359999996</v>
      </c>
      <c r="G216" s="10">
        <f t="shared" ref="G216" si="82">SUM(G212:G215)</f>
        <v>36779229.719999999</v>
      </c>
      <c r="H216" s="10">
        <f t="shared" si="81"/>
        <v>61811464.879999995</v>
      </c>
      <c r="I216" s="10">
        <f t="shared" ref="I216:O216" si="83">SUM(I212:I215)</f>
        <v>37253518.399999999</v>
      </c>
      <c r="J216" s="10">
        <f t="shared" si="83"/>
        <v>38622115.269999996</v>
      </c>
      <c r="K216" s="10">
        <f t="shared" si="83"/>
        <v>35632875.710000001</v>
      </c>
      <c r="L216" s="10">
        <f t="shared" si="83"/>
        <v>41058198.849999994</v>
      </c>
      <c r="M216" s="10">
        <f t="shared" si="83"/>
        <v>62130699.640000001</v>
      </c>
      <c r="N216" s="10">
        <f t="shared" si="83"/>
        <v>63981910.030000001</v>
      </c>
      <c r="O216" s="10">
        <f t="shared" si="83"/>
        <v>30738396.5</v>
      </c>
      <c r="P216" s="40">
        <f>SUM(D216:O216)</f>
        <v>499924328.23999989</v>
      </c>
    </row>
    <row r="217" spans="1:16" s="2" customFormat="1" x14ac:dyDescent="0.3">
      <c r="A217" s="330" t="s">
        <v>38</v>
      </c>
      <c r="B217" s="331"/>
      <c r="C217" s="11" t="s">
        <v>31</v>
      </c>
      <c r="D217" s="10">
        <f>D210+D216</f>
        <v>49197429.510000005</v>
      </c>
      <c r="E217" s="10">
        <f t="shared" ref="E217:P217" si="84">E210+E216</f>
        <v>69048966.709999993</v>
      </c>
      <c r="F217" s="10">
        <f t="shared" si="84"/>
        <v>89076972.359999999</v>
      </c>
      <c r="G217" s="10">
        <f t="shared" si="84"/>
        <v>78453590.719999999</v>
      </c>
      <c r="H217" s="10">
        <f t="shared" si="84"/>
        <v>87125074.879999995</v>
      </c>
      <c r="I217" s="10">
        <f t="shared" ref="I217:O217" si="85">I210+I216</f>
        <v>88558815.400000006</v>
      </c>
      <c r="J217" s="10">
        <f t="shared" si="85"/>
        <v>63298470.269999996</v>
      </c>
      <c r="K217" s="10">
        <f t="shared" si="85"/>
        <v>106117659.71000001</v>
      </c>
      <c r="L217" s="10">
        <f t="shared" si="85"/>
        <v>79038767.849999994</v>
      </c>
      <c r="M217" s="10">
        <f t="shared" si="85"/>
        <v>123344908.64</v>
      </c>
      <c r="N217" s="10">
        <f t="shared" si="85"/>
        <v>96661284.030000001</v>
      </c>
      <c r="O217" s="10">
        <f t="shared" si="85"/>
        <v>79801174.5</v>
      </c>
      <c r="P217" s="40">
        <f t="shared" si="84"/>
        <v>1009723114.5799999</v>
      </c>
    </row>
    <row r="218" spans="1:16" s="2" customFormat="1" ht="14.4" x14ac:dyDescent="0.3">
      <c r="A218" s="277" t="s">
        <v>37</v>
      </c>
      <c r="B218" s="278"/>
      <c r="C218" s="278"/>
      <c r="D218" s="278"/>
      <c r="E218" s="278"/>
      <c r="F218" s="278"/>
      <c r="G218" s="278"/>
      <c r="H218" s="278"/>
      <c r="I218" s="278"/>
      <c r="J218" s="278"/>
      <c r="K218" s="278"/>
      <c r="L218" s="278"/>
      <c r="M218" s="278"/>
      <c r="N218" s="278"/>
      <c r="O218" s="278"/>
      <c r="P218" s="279"/>
    </row>
    <row r="219" spans="1:16" x14ac:dyDescent="0.3">
      <c r="A219" s="231" t="s">
        <v>35</v>
      </c>
      <c r="B219" s="232"/>
      <c r="C219" s="11" t="s">
        <v>31</v>
      </c>
      <c r="D219" s="15">
        <f>Bangula!D219+Chikwawa!D219+'Miseu Folo'!D219+Nchalo!D219+Nsanje!D219+Ngabu!D219</f>
        <v>24208765.899999999</v>
      </c>
      <c r="E219" s="15">
        <f>Bangula!E219+Chikwawa!E219+'Miseu Folo'!E219+Nchalo!E219+Nsanje!E219+Ngabu!E219</f>
        <v>145655363.65000001</v>
      </c>
      <c r="F219" s="15">
        <f>Bangula!F219+Chikwawa!F219+'Miseu Folo'!F219+Nchalo!F219+Nsanje!F219+Ngabu!F219</f>
        <v>145025974.88999999</v>
      </c>
      <c r="G219" s="15">
        <f>Bangula!G219+Chikwawa!G219+'Miseu Folo'!G219+Nchalo!G219+Nsanje!G219+Ngabu!G219</f>
        <v>40287130</v>
      </c>
      <c r="H219" s="15">
        <f>Bangula!H219+Chikwawa!H219+'Miseu Folo'!H219+Nchalo!H219+Nsanje!H219+Ngabu!H219</f>
        <v>41042551.740000002</v>
      </c>
      <c r="I219" s="15">
        <f>Bangula!I219+Chikwawa!I219+'Miseu Folo'!I219+Nchalo!I219+Nsanje!I219+Ngabu!I219</f>
        <v>44365818</v>
      </c>
      <c r="J219" s="15">
        <f>Bangula!J219+Chikwawa!J219+'Miseu Folo'!J219+Nchalo!J219+Nsanje!J219+Ngabu!J219</f>
        <v>46520502.450000003</v>
      </c>
      <c r="K219" s="15">
        <f>Bangula!K219+Chikwawa!K219+'Miseu Folo'!K219+Nchalo!K219+Nsanje!K219+Ngabu!K219</f>
        <v>47409040</v>
      </c>
      <c r="L219" s="15">
        <f>Bangula!L219+Chikwawa!L219+'Miseu Folo'!L219+Nchalo!L219+Nsanje!L219+Ngabu!L219</f>
        <v>43844639</v>
      </c>
      <c r="M219" s="15">
        <f>Bangula!M219+Chikwawa!M219+'Miseu Folo'!M219+Nchalo!M219+Nsanje!M219+Ngabu!M219</f>
        <v>44072217.329999998</v>
      </c>
      <c r="N219" s="15">
        <f>Bangula!N219+Chikwawa!N219+'Miseu Folo'!N219+Nchalo!N219+Nsanje!N219+Ngabu!N219</f>
        <v>46641702</v>
      </c>
      <c r="O219" s="15">
        <f>Bangula!O219+Chikwawa!O219+'Miseu Folo'!O219+Nchalo!O219+Nsanje!O219+Ngabu!O219</f>
        <v>43798559</v>
      </c>
      <c r="P219" s="40">
        <f>SUM(D219:O219)</f>
        <v>712872263.96000004</v>
      </c>
    </row>
    <row r="220" spans="1:16" x14ac:dyDescent="0.3">
      <c r="A220" s="231" t="s">
        <v>34</v>
      </c>
      <c r="B220" s="232"/>
      <c r="C220" s="11" t="s">
        <v>31</v>
      </c>
      <c r="D220" s="15">
        <f>Bangula!D220+Chikwawa!D220+'Miseu Folo'!D220+Nchalo!D220+Nsanje!D220+Ngabu!D220</f>
        <v>951004.40999999992</v>
      </c>
      <c r="E220" s="15">
        <f>Bangula!E220+Chikwawa!E220+'Miseu Folo'!E220+Nchalo!E220+Nsanje!E220+Ngabu!E220</f>
        <v>2234660.39</v>
      </c>
      <c r="F220" s="15">
        <f>Bangula!F220+Chikwawa!F220+'Miseu Folo'!F220+Nchalo!F220+Nsanje!F220+Ngabu!F220</f>
        <v>1899921.62</v>
      </c>
      <c r="G220" s="15">
        <f>Bangula!G220+Chikwawa!G220+'Miseu Folo'!G220+Nchalo!G220+Nsanje!G220+Ngabu!G220</f>
        <v>801632</v>
      </c>
      <c r="H220" s="15">
        <f>Bangula!H220+Chikwawa!H220+'Miseu Folo'!H220+Nchalo!H220+Nsanje!H220+Ngabu!H220</f>
        <v>944048.80999999982</v>
      </c>
      <c r="I220" s="15">
        <f>Bangula!I220+Chikwawa!I220+'Miseu Folo'!I220+Nchalo!I220+Nsanje!I220+Ngabu!I220</f>
        <v>791721</v>
      </c>
      <c r="J220" s="15">
        <f>Bangula!J220+Chikwawa!J220+'Miseu Folo'!J220+Nchalo!J220+Nsanje!J220+Ngabu!J220</f>
        <v>856234.3600000001</v>
      </c>
      <c r="K220" s="15">
        <f>Bangula!K220+Chikwawa!K220+'Miseu Folo'!K220+Nchalo!K220+Nsanje!K220+Ngabu!K220</f>
        <v>886666</v>
      </c>
      <c r="L220" s="15">
        <f>Bangula!L220+Chikwawa!L220+'Miseu Folo'!L220+Nchalo!L220+Nsanje!L220+Ngabu!L220</f>
        <v>812240</v>
      </c>
      <c r="M220" s="15">
        <f>Bangula!M220+Chikwawa!M220+'Miseu Folo'!M220+Nchalo!M220+Nsanje!M220+Ngabu!M220</f>
        <v>724947.41</v>
      </c>
      <c r="N220" s="15">
        <f>Bangula!N220+Chikwawa!N220+'Miseu Folo'!N220+Nchalo!N220+Nsanje!N220+Ngabu!N220</f>
        <v>758508</v>
      </c>
      <c r="O220" s="15">
        <f>Bangula!O220+Chikwawa!O220+'Miseu Folo'!O220+Nchalo!O220+Nsanje!O220+Ngabu!O220</f>
        <v>711385</v>
      </c>
      <c r="P220" s="40">
        <f>SUM(D220:O220)</f>
        <v>12372969</v>
      </c>
    </row>
    <row r="221" spans="1:16" x14ac:dyDescent="0.3">
      <c r="A221" s="231" t="s">
        <v>33</v>
      </c>
      <c r="B221" s="232"/>
      <c r="C221" s="11" t="s">
        <v>31</v>
      </c>
      <c r="D221" s="15">
        <f>Bangula!D221+Chikwawa!D221+'Miseu Folo'!D221+Nchalo!D221+Nsanje!D221+Ngabu!D221</f>
        <v>1012586.89</v>
      </c>
      <c r="E221" s="15">
        <f>Bangula!E221+Chikwawa!E221+'Miseu Folo'!E221+Nchalo!E221+Nsanje!E221+Ngabu!E221</f>
        <v>243322528.99000001</v>
      </c>
      <c r="F221" s="15">
        <f>Bangula!F221+Chikwawa!F221+'Miseu Folo'!F221+Nchalo!F221+Nsanje!F221+Ngabu!F221</f>
        <v>244727164.69</v>
      </c>
      <c r="G221" s="15">
        <f>Bangula!G221+Chikwawa!G221+'Miseu Folo'!G221+Nchalo!G221+Nsanje!G221+Ngabu!G221</f>
        <v>2418299</v>
      </c>
      <c r="H221" s="15">
        <f>Bangula!H221+Chikwawa!H221+'Miseu Folo'!H221+Nchalo!H221+Nsanje!H221+Ngabu!H221</f>
        <v>1910360.0799999998</v>
      </c>
      <c r="I221" s="15">
        <f>Bangula!I221+Chikwawa!I221+'Miseu Folo'!I221+Nchalo!I221+Nsanje!I221+Ngabu!I221</f>
        <v>2025686</v>
      </c>
      <c r="J221" s="15">
        <f>Bangula!J221+Chikwawa!J221+'Miseu Folo'!J221+Nchalo!J221+Nsanje!J221+Ngabu!J221</f>
        <v>2720273.7600000002</v>
      </c>
      <c r="K221" s="15">
        <f>Bangula!K221+Chikwawa!K221+'Miseu Folo'!K221+Nchalo!K221+Nsanje!K221+Ngabu!K221</f>
        <v>3025697</v>
      </c>
      <c r="L221" s="15">
        <f>Bangula!L221+Chikwawa!L221+'Miseu Folo'!L221+Nchalo!L221+Nsanje!L221+Ngabu!L221</f>
        <v>2095789</v>
      </c>
      <c r="M221" s="15">
        <f>Bangula!M221+Chikwawa!M221+'Miseu Folo'!M221+Nchalo!M221+Nsanje!M221+Ngabu!M221</f>
        <v>1636149.2</v>
      </c>
      <c r="N221" s="15">
        <f>Bangula!N221+Chikwawa!N221+'Miseu Folo'!N221+Nchalo!N221+Nsanje!N221+Ngabu!N221</f>
        <v>1853601</v>
      </c>
      <c r="O221" s="15">
        <f>Bangula!O221+Chikwawa!O221+'Miseu Folo'!O221+Nchalo!O221+Nsanje!O221+Ngabu!O221</f>
        <v>1940600</v>
      </c>
      <c r="P221" s="40">
        <f>SUM(D221:O221)</f>
        <v>508688735.60999995</v>
      </c>
    </row>
    <row r="222" spans="1:16" x14ac:dyDescent="0.3">
      <c r="A222" s="231" t="s">
        <v>32</v>
      </c>
      <c r="B222" s="232"/>
      <c r="C222" s="11" t="s">
        <v>31</v>
      </c>
      <c r="D222" s="15">
        <f>Bangula!D222+Chikwawa!D222+'Miseu Folo'!D222+Nchalo!D222+Nsanje!D222+Ngabu!D222</f>
        <v>776631.45</v>
      </c>
      <c r="E222" s="15">
        <f>Bangula!E222+Chikwawa!E222+'Miseu Folo'!E222+Nchalo!E222+Nsanje!E222+Ngabu!E222</f>
        <v>4706479.3</v>
      </c>
      <c r="F222" s="15">
        <f>Bangula!F222+Chikwawa!F222+'Miseu Folo'!F222+Nchalo!F222+Nsanje!F222+Ngabu!F222</f>
        <v>4301806.25</v>
      </c>
      <c r="G222" s="15">
        <f>Bangula!G222+Chikwawa!G222+'Miseu Folo'!G222+Nchalo!G222+Nsanje!G222+Ngabu!G222</f>
        <v>2222664</v>
      </c>
      <c r="H222" s="15">
        <f>Bangula!H222+Chikwawa!H222+'Miseu Folo'!H222+Nchalo!H222+Nsanje!H222+Ngabu!H222</f>
        <v>1911221.58</v>
      </c>
      <c r="I222" s="15">
        <f>Bangula!I222+Chikwawa!I222+'Miseu Folo'!I222+Nchalo!I222+Nsanje!I222+Ngabu!I222</f>
        <v>1853719</v>
      </c>
      <c r="J222" s="15">
        <f>Bangula!J222+Chikwawa!J222+'Miseu Folo'!J222+Nchalo!J222+Nsanje!J222+Ngabu!J222</f>
        <v>2050612.4200000002</v>
      </c>
      <c r="K222" s="15">
        <f>Bangula!K222+Chikwawa!K222+'Miseu Folo'!K222+Nchalo!K222+Nsanje!K222+Ngabu!K222</f>
        <v>1884391</v>
      </c>
      <c r="L222" s="15">
        <f>Bangula!L222+Chikwawa!L222+'Miseu Folo'!L222+Nchalo!L222+Nsanje!L222+Ngabu!L222</f>
        <v>803973</v>
      </c>
      <c r="M222" s="15">
        <f>Bangula!M222+Chikwawa!M222+'Miseu Folo'!M222+Nchalo!M222+Nsanje!M222+Ngabu!M222</f>
        <v>767014.71000000008</v>
      </c>
      <c r="N222" s="15">
        <f>Bangula!N222+Chikwawa!N222+'Miseu Folo'!N222+Nchalo!N222+Nsanje!N222+Ngabu!N222</f>
        <v>1513196</v>
      </c>
      <c r="O222" s="15">
        <f>Bangula!O222+Chikwawa!O222+'Miseu Folo'!O222+Nchalo!O222+Nsanje!O222+Ngabu!O222</f>
        <v>1401624</v>
      </c>
      <c r="P222" s="40">
        <f>SUM(D222:O222)</f>
        <v>24193332.710000001</v>
      </c>
    </row>
    <row r="223" spans="1:16" x14ac:dyDescent="0.3">
      <c r="A223" s="290" t="s">
        <v>36</v>
      </c>
      <c r="B223" s="291"/>
      <c r="C223" s="11" t="s">
        <v>31</v>
      </c>
      <c r="D223" s="12">
        <f t="shared" ref="D223:O223" si="86">SUM(D219:D222)</f>
        <v>26948988.649999999</v>
      </c>
      <c r="E223" s="10">
        <f t="shared" si="86"/>
        <v>395919032.32999998</v>
      </c>
      <c r="F223" s="10">
        <f t="shared" si="86"/>
        <v>395954867.44999999</v>
      </c>
      <c r="G223" s="10">
        <f t="shared" si="86"/>
        <v>45729725</v>
      </c>
      <c r="H223" s="10">
        <f t="shared" si="86"/>
        <v>45808182.210000001</v>
      </c>
      <c r="I223" s="10">
        <f t="shared" si="86"/>
        <v>49036944</v>
      </c>
      <c r="J223" s="14">
        <f t="shared" si="86"/>
        <v>52147622.990000002</v>
      </c>
      <c r="K223" s="14">
        <f t="shared" si="86"/>
        <v>53205794</v>
      </c>
      <c r="L223" s="14">
        <f t="shared" si="86"/>
        <v>47556641</v>
      </c>
      <c r="M223" s="14">
        <f t="shared" si="86"/>
        <v>47200328.649999999</v>
      </c>
      <c r="N223" s="14">
        <f t="shared" si="86"/>
        <v>50767007</v>
      </c>
      <c r="O223" s="14">
        <f t="shared" si="86"/>
        <v>47852168</v>
      </c>
      <c r="P223" s="40">
        <f>SUM(D223:O223)</f>
        <v>1258127301.2800002</v>
      </c>
    </row>
    <row r="224" spans="1:16" ht="14.4" x14ac:dyDescent="0.3">
      <c r="A224" s="277" t="s">
        <v>211</v>
      </c>
      <c r="B224" s="278"/>
      <c r="C224" s="278"/>
      <c r="D224" s="278"/>
      <c r="E224" s="278"/>
      <c r="F224" s="278"/>
      <c r="G224" s="278"/>
      <c r="H224" s="278"/>
      <c r="I224" s="278"/>
      <c r="J224" s="278"/>
      <c r="K224" s="278"/>
      <c r="L224" s="278"/>
      <c r="M224" s="278"/>
      <c r="N224" s="278"/>
      <c r="O224" s="278"/>
      <c r="P224" s="279"/>
    </row>
    <row r="225" spans="1:16" x14ac:dyDescent="0.3">
      <c r="A225" s="231" t="s">
        <v>35</v>
      </c>
      <c r="B225" s="232"/>
      <c r="C225" s="11" t="s">
        <v>31</v>
      </c>
      <c r="D225" s="15">
        <f>Bangula!D225+Chikwawa!D225+'Miseu Folo'!D225+Nchalo!D225+Nsanje!D225+Ngabu!D225</f>
        <v>0</v>
      </c>
      <c r="E225" s="15">
        <f>Bangula!E225+Chikwawa!E225+'Miseu Folo'!E225+Nchalo!E225+Nsanje!E225+Ngabu!E225</f>
        <v>0</v>
      </c>
      <c r="F225" s="15">
        <f>Bangula!F225+Chikwawa!F225+'Miseu Folo'!F225+Nchalo!F225+Nsanje!F225+Ngabu!F225</f>
        <v>0</v>
      </c>
      <c r="G225" s="15">
        <f>Bangula!G225+Chikwawa!G225+'Miseu Folo'!G225+Nchalo!G225+Nsanje!G225+Ngabu!G225</f>
        <v>0</v>
      </c>
      <c r="H225" s="15">
        <f>Bangula!H225+Chikwawa!H225+'Miseu Folo'!H225+Nchalo!H225+Nsanje!H225+Ngabu!H225</f>
        <v>0</v>
      </c>
      <c r="I225" s="15">
        <f>Bangula!I225+Chikwawa!I225+'Miseu Folo'!I225+Nchalo!I225+Nsanje!I225+Ngabu!I225</f>
        <v>0</v>
      </c>
      <c r="J225" s="15">
        <f>Bangula!J225+Chikwawa!J225+'Miseu Folo'!J225+Nchalo!J225+Nsanje!J225+Ngabu!J225</f>
        <v>0</v>
      </c>
      <c r="K225" s="15">
        <f>Bangula!K225+Chikwawa!K225+'Miseu Folo'!K225+Nchalo!K225+Nsanje!K225+Ngabu!K225</f>
        <v>0</v>
      </c>
      <c r="L225" s="15">
        <f>Bangula!L225+Chikwawa!L225+'Miseu Folo'!L225+Nchalo!L225+Nsanje!L225+Ngabu!L225</f>
        <v>0</v>
      </c>
      <c r="M225" s="15">
        <f>Bangula!M225+Chikwawa!M225+'Miseu Folo'!M225+Nchalo!M225+Nsanje!M225+Ngabu!M225</f>
        <v>0</v>
      </c>
      <c r="N225" s="15">
        <f>Bangula!N225+Chikwawa!N225+'Miseu Folo'!N225+Nchalo!N225+Nsanje!N225+Ngabu!N225</f>
        <v>0</v>
      </c>
      <c r="O225" s="15">
        <f>Bangula!O225+Chikwawa!O225+'Miseu Folo'!O225+Nchalo!O225+Nsanje!O225+Ngabu!O225</f>
        <v>0</v>
      </c>
      <c r="P225" s="40">
        <f t="shared" ref="P225:P230" si="87">SUM(D225:O225)</f>
        <v>0</v>
      </c>
    </row>
    <row r="226" spans="1:16" x14ac:dyDescent="0.3">
      <c r="A226" s="231" t="s">
        <v>34</v>
      </c>
      <c r="B226" s="232"/>
      <c r="C226" s="11" t="s">
        <v>31</v>
      </c>
      <c r="D226" s="15">
        <f>Bangula!D226+Chikwawa!D226+'Miseu Folo'!D226+Nchalo!D226+Nsanje!D226+Ngabu!D226</f>
        <v>0</v>
      </c>
      <c r="E226" s="15">
        <f>Bangula!E226+Chikwawa!E226+'Miseu Folo'!E226+Nchalo!E226+Nsanje!E226+Ngabu!E226</f>
        <v>0</v>
      </c>
      <c r="F226" s="15">
        <f>Bangula!F226+Chikwawa!F226+'Miseu Folo'!F226+Nchalo!F226+Nsanje!F226+Ngabu!F226</f>
        <v>0</v>
      </c>
      <c r="G226" s="15">
        <f>Bangula!G226+Chikwawa!G226+'Miseu Folo'!G226+Nchalo!G226+Nsanje!G226+Ngabu!G226</f>
        <v>0</v>
      </c>
      <c r="H226" s="15">
        <f>Bangula!H226+Chikwawa!H226+'Miseu Folo'!H226+Nchalo!H226+Nsanje!H226+Ngabu!H226</f>
        <v>0</v>
      </c>
      <c r="I226" s="15">
        <f>Bangula!I226+Chikwawa!I226+'Miseu Folo'!I226+Nchalo!I226+Nsanje!I226+Ngabu!I226</f>
        <v>0</v>
      </c>
      <c r="J226" s="15">
        <f>Bangula!J226+Chikwawa!J226+'Miseu Folo'!J226+Nchalo!J226+Nsanje!J226+Ngabu!J226</f>
        <v>0</v>
      </c>
      <c r="K226" s="15">
        <f>Bangula!K226+Chikwawa!K226+'Miseu Folo'!K226+Nchalo!K226+Nsanje!K226+Ngabu!K226</f>
        <v>0</v>
      </c>
      <c r="L226" s="15">
        <f>Bangula!L226+Chikwawa!L226+'Miseu Folo'!L226+Nchalo!L226+Nsanje!L226+Ngabu!L226</f>
        <v>0</v>
      </c>
      <c r="M226" s="15">
        <f>Bangula!M226+Chikwawa!M226+'Miseu Folo'!M226+Nchalo!M226+Nsanje!M226+Ngabu!M226</f>
        <v>0</v>
      </c>
      <c r="N226" s="15">
        <f>Bangula!N226+Chikwawa!N226+'Miseu Folo'!N226+Nchalo!N226+Nsanje!N226+Ngabu!N226</f>
        <v>0</v>
      </c>
      <c r="O226" s="15">
        <f>Bangula!O226+Chikwawa!O226+'Miseu Folo'!O226+Nchalo!O226+Nsanje!O226+Ngabu!O226</f>
        <v>0</v>
      </c>
      <c r="P226" s="40">
        <f t="shared" si="87"/>
        <v>0</v>
      </c>
    </row>
    <row r="227" spans="1:16" x14ac:dyDescent="0.3">
      <c r="A227" s="231" t="s">
        <v>33</v>
      </c>
      <c r="B227" s="232"/>
      <c r="C227" s="11" t="s">
        <v>31</v>
      </c>
      <c r="D227" s="15">
        <f>Bangula!D227+Chikwawa!D227+'Miseu Folo'!D227+Nchalo!D227+Nsanje!D227+Ngabu!D227</f>
        <v>26880008.670000002</v>
      </c>
      <c r="E227" s="15">
        <f>Bangula!E227+Chikwawa!E227+'Miseu Folo'!E227+Nchalo!E227+Nsanje!E227+Ngabu!E227</f>
        <v>29586824.240000002</v>
      </c>
      <c r="F227" s="15">
        <f>Bangula!F227+Chikwawa!F227+'Miseu Folo'!F227+Nchalo!F227+Nsanje!F227+Ngabu!F227</f>
        <v>28910723.18</v>
      </c>
      <c r="G227" s="15">
        <f>Bangula!G227+Chikwawa!G227+'Miseu Folo'!G227+Nchalo!G227+Nsanje!G227+Ngabu!G227</f>
        <v>33562850.129999995</v>
      </c>
      <c r="H227" s="15">
        <f>Bangula!H227+Chikwawa!H227+'Miseu Folo'!H227+Nchalo!H227+Nsanje!H227+Ngabu!H227</f>
        <v>63184048.110000007</v>
      </c>
      <c r="I227" s="15">
        <f>Bangula!I227+Chikwawa!I227+'Miseu Folo'!I227+Nchalo!I227+Nsanje!I227+Ngabu!I227</f>
        <v>35325063.359999999</v>
      </c>
      <c r="J227" s="15">
        <f>Bangula!J227+Chikwawa!J227+'Miseu Folo'!J227+Nchalo!J227+Nsanje!J227+Ngabu!J227</f>
        <v>37735605.159999996</v>
      </c>
      <c r="K227" s="15">
        <f>Bangula!K227+Chikwawa!K227+'Miseu Folo'!K227+Nchalo!K227+Nsanje!K227+Ngabu!K227</f>
        <v>32919134.09</v>
      </c>
      <c r="L227" s="15">
        <f>Bangula!L227+Chikwawa!L227+'Miseu Folo'!L227+Nchalo!L227+Nsanje!L227+Ngabu!L227</f>
        <v>40335217.270000003</v>
      </c>
      <c r="M227" s="15">
        <f>Bangula!M227+Chikwawa!M227+'Miseu Folo'!M227+Nchalo!M227+Nsanje!M227+Ngabu!M227</f>
        <v>54908497.160000004</v>
      </c>
      <c r="N227" s="15">
        <f>Bangula!N227+Chikwawa!N227+'Miseu Folo'!N227+Nchalo!N227+Nsanje!N227+Ngabu!N227</f>
        <v>62064771.07</v>
      </c>
      <c r="O227" s="15">
        <f>Bangula!O227+Chikwawa!O227+'Miseu Folo'!O227+Nchalo!O227+Nsanje!O227+Ngabu!O227</f>
        <v>28929950.23</v>
      </c>
      <c r="P227" s="40">
        <f t="shared" si="87"/>
        <v>474342692.67000002</v>
      </c>
    </row>
    <row r="228" spans="1:16" x14ac:dyDescent="0.3">
      <c r="A228" s="231" t="s">
        <v>32</v>
      </c>
      <c r="B228" s="232"/>
      <c r="C228" s="11" t="s">
        <v>31</v>
      </c>
      <c r="D228" s="15">
        <f>Bangula!D228+Chikwawa!D228+'Miseu Folo'!D228+Nchalo!D228+Nsanje!D228+Ngabu!D228</f>
        <v>0</v>
      </c>
      <c r="E228" s="15">
        <f>Bangula!E228+Chikwawa!E228+'Miseu Folo'!E228+Nchalo!E228+Nsanje!E228+Ngabu!E228</f>
        <v>0</v>
      </c>
      <c r="F228" s="15">
        <f>Bangula!F228+Chikwawa!F228+'Miseu Folo'!F228+Nchalo!F228+Nsanje!F228+Ngabu!F228</f>
        <v>0</v>
      </c>
      <c r="G228" s="15">
        <f>Bangula!G228+Chikwawa!G228+'Miseu Folo'!G228+Nchalo!G228+Nsanje!G228+Ngabu!G228</f>
        <v>0</v>
      </c>
      <c r="H228" s="15">
        <f>Bangula!H228+Chikwawa!H228+'Miseu Folo'!H228+Nchalo!H228+Nsanje!H228+Ngabu!H228</f>
        <v>0</v>
      </c>
      <c r="I228" s="15">
        <f>Bangula!I228+Chikwawa!I228+'Miseu Folo'!I228+Nchalo!I228+Nsanje!I228+Ngabu!I228</f>
        <v>0</v>
      </c>
      <c r="J228" s="15">
        <f>Bangula!J228+Chikwawa!J228+'Miseu Folo'!J228+Nchalo!J228+Nsanje!J228+Ngabu!J228</f>
        <v>0</v>
      </c>
      <c r="K228" s="15">
        <f>Bangula!K228+Chikwawa!K228+'Miseu Folo'!K228+Nchalo!K228+Nsanje!K228+Ngabu!K228</f>
        <v>0</v>
      </c>
      <c r="L228" s="15">
        <f>Bangula!L228+Chikwawa!L228+'Miseu Folo'!L228+Nchalo!L228+Nsanje!L228+Ngabu!L228</f>
        <v>0</v>
      </c>
      <c r="M228" s="15">
        <f>Bangula!M228+Chikwawa!M228+'Miseu Folo'!M228+Nchalo!M228+Nsanje!M228+Ngabu!M228</f>
        <v>0</v>
      </c>
      <c r="N228" s="15">
        <f>Bangula!N228+Chikwawa!N228+'Miseu Folo'!N228+Nchalo!N228+Nsanje!N228+Ngabu!N228</f>
        <v>0</v>
      </c>
      <c r="O228" s="15">
        <f>Bangula!O228+Chikwawa!O228+'Miseu Folo'!O228+Nchalo!O228+Nsanje!O228+Ngabu!O228</f>
        <v>0</v>
      </c>
      <c r="P228" s="40">
        <f t="shared" si="87"/>
        <v>0</v>
      </c>
    </row>
    <row r="229" spans="1:16" x14ac:dyDescent="0.3">
      <c r="A229" s="290" t="s">
        <v>212</v>
      </c>
      <c r="B229" s="291"/>
      <c r="C229" s="11" t="s">
        <v>31</v>
      </c>
      <c r="D229" s="12">
        <f t="shared" ref="D229:H229" si="88">SUM(D225:D228)</f>
        <v>26880008.670000002</v>
      </c>
      <c r="E229" s="10">
        <f t="shared" si="88"/>
        <v>29586824.240000002</v>
      </c>
      <c r="F229" s="10">
        <f t="shared" si="88"/>
        <v>28910723.18</v>
      </c>
      <c r="G229" s="10">
        <f t="shared" si="88"/>
        <v>33562850.129999995</v>
      </c>
      <c r="H229" s="10">
        <f t="shared" si="88"/>
        <v>63184048.110000007</v>
      </c>
      <c r="I229" s="10">
        <f t="shared" ref="I229:O229" si="89">SUM(I225:I228)</f>
        <v>35325063.359999999</v>
      </c>
      <c r="J229" s="10">
        <f t="shared" si="89"/>
        <v>37735605.159999996</v>
      </c>
      <c r="K229" s="10">
        <f t="shared" si="89"/>
        <v>32919134.09</v>
      </c>
      <c r="L229" s="10">
        <f t="shared" si="89"/>
        <v>40335217.270000003</v>
      </c>
      <c r="M229" s="10">
        <f t="shared" si="89"/>
        <v>54908497.160000004</v>
      </c>
      <c r="N229" s="10">
        <f t="shared" si="89"/>
        <v>62064771.07</v>
      </c>
      <c r="O229" s="10">
        <f t="shared" si="89"/>
        <v>28929950.23</v>
      </c>
      <c r="P229" s="40">
        <f t="shared" si="87"/>
        <v>474342692.67000002</v>
      </c>
    </row>
    <row r="230" spans="1:16" x14ac:dyDescent="0.3">
      <c r="A230" s="330" t="s">
        <v>213</v>
      </c>
      <c r="B230" s="120"/>
      <c r="C230" s="11" t="s">
        <v>31</v>
      </c>
      <c r="D230" s="12">
        <f>D223+D229</f>
        <v>53828997.32</v>
      </c>
      <c r="E230" s="12">
        <f t="shared" ref="E230:O230" si="90">E223+E229</f>
        <v>425505856.56999999</v>
      </c>
      <c r="F230" s="12">
        <f t="shared" si="90"/>
        <v>424865590.63</v>
      </c>
      <c r="G230" s="12">
        <f t="shared" si="90"/>
        <v>79292575.129999995</v>
      </c>
      <c r="H230" s="12">
        <f t="shared" si="90"/>
        <v>108992230.32000001</v>
      </c>
      <c r="I230" s="12">
        <f t="shared" si="90"/>
        <v>84362007.359999999</v>
      </c>
      <c r="J230" s="12">
        <f t="shared" si="90"/>
        <v>89883228.150000006</v>
      </c>
      <c r="K230" s="12">
        <f t="shared" si="90"/>
        <v>86124928.090000004</v>
      </c>
      <c r="L230" s="12">
        <f t="shared" si="90"/>
        <v>87891858.270000011</v>
      </c>
      <c r="M230" s="12">
        <f t="shared" si="90"/>
        <v>102108825.81</v>
      </c>
      <c r="N230" s="12">
        <f t="shared" si="90"/>
        <v>112831778.06999999</v>
      </c>
      <c r="O230" s="12">
        <f t="shared" si="90"/>
        <v>76782118.230000004</v>
      </c>
      <c r="P230" s="40">
        <f t="shared" si="87"/>
        <v>1732469993.9499998</v>
      </c>
    </row>
    <row r="231" spans="1:16" ht="14.4" x14ac:dyDescent="0.3">
      <c r="A231" s="277" t="s">
        <v>30</v>
      </c>
      <c r="B231" s="278"/>
      <c r="C231" s="278"/>
      <c r="D231" s="278"/>
      <c r="E231" s="278"/>
      <c r="F231" s="278"/>
      <c r="G231" s="278"/>
      <c r="H231" s="278"/>
      <c r="I231" s="278"/>
      <c r="J231" s="278"/>
      <c r="K231" s="278"/>
      <c r="L231" s="278"/>
      <c r="M231" s="278"/>
      <c r="N231" s="278"/>
      <c r="O231" s="278"/>
      <c r="P231" s="279"/>
    </row>
    <row r="232" spans="1:16" x14ac:dyDescent="0.3">
      <c r="A232" s="231" t="s">
        <v>29</v>
      </c>
      <c r="B232" s="232"/>
      <c r="C232" s="11" t="s">
        <v>18</v>
      </c>
      <c r="D232" s="15">
        <f>Bangula!D232+Chikwawa!D232+'Miseu Folo'!D232+Nchalo!D232+Nsanje!D232+Ngabu!D232</f>
        <v>1833873</v>
      </c>
      <c r="E232" s="15">
        <f>Bangula!E232+Chikwawa!E232+'Miseu Folo'!E232+Nchalo!E232+Nsanje!E232+Ngabu!E232</f>
        <v>2800296.63</v>
      </c>
      <c r="F232" s="15">
        <f>Bangula!F232+Chikwawa!F232+'Miseu Folo'!F232+Nchalo!F232+Nsanje!F232+Ngabu!F232</f>
        <v>2885672</v>
      </c>
      <c r="G232" s="15">
        <f>Bangula!G232+Chikwawa!G232+'Miseu Folo'!G232+Nchalo!G232+Nsanje!G232+Ngabu!G232</f>
        <v>2899250</v>
      </c>
      <c r="H232" s="15">
        <f>Bangula!H232+Chikwawa!H232+'Miseu Folo'!H232+Nchalo!H232+Nsanje!H232+Ngabu!H232</f>
        <v>2906532.1199999996</v>
      </c>
      <c r="I232" s="15">
        <f>Bangula!I232+Chikwawa!I232+'Miseu Folo'!I232+Nchalo!I232+Nsanje!I232+Ngabu!I232</f>
        <v>2975550</v>
      </c>
      <c r="J232" s="15">
        <f>Bangula!J232+Chikwawa!J232+'Miseu Folo'!J232+Nchalo!J232+Nsanje!J232+Ngabu!J232</f>
        <v>3022432.92</v>
      </c>
      <c r="K232" s="15">
        <f>Bangula!K232+Chikwawa!K232+'Miseu Folo'!K232+Nchalo!K232+Nsanje!K232+Ngabu!K232</f>
        <v>3067522</v>
      </c>
      <c r="L232" s="15">
        <f>Bangula!L232+Chikwawa!L232+'Miseu Folo'!L232+Nchalo!L232+Nsanje!L232+Ngabu!L232</f>
        <v>3076669</v>
      </c>
      <c r="M232" s="15">
        <f>Bangula!M232+Chikwawa!M232+'Miseu Folo'!M232+Nchalo!M232+Nsanje!M232+Ngabu!M232</f>
        <v>3036178.77</v>
      </c>
      <c r="N232" s="15">
        <f>Bangula!N232+Chikwawa!N232+'Miseu Folo'!N232+Nchalo!N232+Nsanje!N232+Ngabu!N232</f>
        <v>3092430</v>
      </c>
      <c r="O232" s="15">
        <f>Bangula!O232+Chikwawa!O232+'Miseu Folo'!O232+Nchalo!O232+Nsanje!O232+Ngabu!O232</f>
        <v>3153301</v>
      </c>
      <c r="P232" s="40">
        <f>SUM(D232:O232)</f>
        <v>34749707.439999998</v>
      </c>
    </row>
    <row r="233" spans="1:16" x14ac:dyDescent="0.3">
      <c r="A233" s="231" t="s">
        <v>28</v>
      </c>
      <c r="B233" s="232"/>
      <c r="C233" s="11" t="s">
        <v>18</v>
      </c>
      <c r="D233" s="15">
        <f>Bangula!D233+Chikwawa!D233+'Miseu Folo'!D233+Nchalo!D233+Nsanje!D233+Ngabu!D233</f>
        <v>11302.849999999999</v>
      </c>
      <c r="E233" s="15">
        <f>Bangula!E233+Chikwawa!E233+'Miseu Folo'!E233+Nchalo!E233+Nsanje!E233+Ngabu!E233</f>
        <v>11128.96</v>
      </c>
      <c r="F233" s="15">
        <f>Bangula!F233+Chikwawa!F233+'Miseu Folo'!F233+Nchalo!F233+Nsanje!F233+Ngabu!F233</f>
        <v>10955</v>
      </c>
      <c r="G233" s="15">
        <f>Bangula!G233+Chikwawa!G233+'Miseu Folo'!G233+Nchalo!G233+Nsanje!G233+Ngabu!G233</f>
        <v>10781</v>
      </c>
      <c r="H233" s="15">
        <f>Bangula!H233+Chikwawa!H233+'Miseu Folo'!H233+Nchalo!H233+Nsanje!H233+Ngabu!H233</f>
        <v>10781.18</v>
      </c>
      <c r="I233" s="15">
        <f>Bangula!I233+Chikwawa!I233+'Miseu Folo'!I233+Nchalo!I233+Nsanje!I233+Ngabu!I233</f>
        <v>10607</v>
      </c>
      <c r="J233" s="15">
        <f>Bangula!J233+Chikwawa!J233+'Miseu Folo'!J233+Nchalo!J233+Nsanje!J233+Ngabu!J233</f>
        <v>10607.289999999999</v>
      </c>
      <c r="K233" s="15">
        <f>Bangula!K233+Chikwawa!K233+'Miseu Folo'!K233+Nchalo!K233+Nsanje!K233+Ngabu!K233</f>
        <v>10607</v>
      </c>
      <c r="L233" s="15">
        <f>Bangula!L233+Chikwawa!L233+'Miseu Folo'!L233+Nchalo!L233+Nsanje!L233+Ngabu!L233</f>
        <v>10433</v>
      </c>
      <c r="M233" s="15">
        <f>Bangula!M233+Chikwawa!M233+'Miseu Folo'!M233+Nchalo!M233+Nsanje!M233+Ngabu!M233</f>
        <v>9911.73</v>
      </c>
      <c r="N233" s="15">
        <f>Bangula!N233+Chikwawa!N233+'Miseu Folo'!N233+Nchalo!N233+Nsanje!N233+Ngabu!N233</f>
        <v>10085</v>
      </c>
      <c r="O233" s="15">
        <f>Bangula!O233+Chikwawa!O233+'Miseu Folo'!O233+Nchalo!O233+Nsanje!O233+Ngabu!O233</f>
        <v>9737</v>
      </c>
      <c r="P233" s="40">
        <f>SUM(D233:O233)</f>
        <v>126937.00999999998</v>
      </c>
    </row>
    <row r="234" spans="1:16" x14ac:dyDescent="0.3">
      <c r="A234" s="231" t="s">
        <v>27</v>
      </c>
      <c r="B234" s="232"/>
      <c r="C234" s="11" t="s">
        <v>18</v>
      </c>
      <c r="D234" s="15">
        <f>Bangula!D234+Chikwawa!D234+'Miseu Folo'!D234+Nchalo!D234+Nsanje!D234+Ngabu!D234</f>
        <v>98724</v>
      </c>
      <c r="E234" s="15">
        <f>Bangula!E234+Chikwawa!E234+'Miseu Folo'!E234+Nchalo!E234+Nsanje!E234+Ngabu!E234</f>
        <v>131626.47</v>
      </c>
      <c r="F234" s="15">
        <f>Bangula!F234+Chikwawa!F234+'Miseu Folo'!F234+Nchalo!F234+Nsanje!F234+Ngabu!F234</f>
        <v>169683</v>
      </c>
      <c r="G234" s="15">
        <f>Bangula!G234+Chikwawa!G234+'Miseu Folo'!G234+Nchalo!G234+Nsanje!G234+Ngabu!G234</f>
        <v>191279</v>
      </c>
      <c r="H234" s="15">
        <f>Bangula!H234+Chikwawa!H234+'Miseu Folo'!H234+Nchalo!H234+Nsanje!H234+Ngabu!H234</f>
        <v>194363.66999999998</v>
      </c>
      <c r="I234" s="15">
        <f>Bangula!I234+Chikwawa!I234+'Miseu Folo'!I234+Nchalo!I234+Nsanje!I234+Ngabu!I234</f>
        <v>197449</v>
      </c>
      <c r="J234" s="15">
        <f>Bangula!J234+Chikwawa!J234+'Miseu Folo'!J234+Nchalo!J234+Nsanje!J234+Ngabu!J234</f>
        <v>178937.54</v>
      </c>
      <c r="K234" s="15">
        <f>Bangula!K234+Chikwawa!K234+'Miseu Folo'!K234+Nchalo!K234+Nsanje!K234+Ngabu!K234</f>
        <v>188193</v>
      </c>
      <c r="L234" s="15">
        <f>Bangula!L234+Chikwawa!L234+'Miseu Folo'!L234+Nchalo!L234+Nsanje!L234+Ngabu!L234</f>
        <v>194363</v>
      </c>
      <c r="M234" s="15">
        <f>Bangula!M234+Chikwawa!M234+'Miseu Folo'!M234+Nchalo!M234+Nsanje!M234+Ngabu!M234</f>
        <v>200533.45</v>
      </c>
      <c r="N234" s="15">
        <f>Bangula!N234+Chikwawa!N234+'Miseu Folo'!N234+Nchalo!N234+Nsanje!N234+Ngabu!N234</f>
        <v>215960</v>
      </c>
      <c r="O234" s="15">
        <f>Bangula!O234+Chikwawa!O234+'Miseu Folo'!O234+Nchalo!O234+Nsanje!O234+Ngabu!O234</f>
        <v>219045</v>
      </c>
      <c r="P234" s="40">
        <f>SUM(D234:O234)</f>
        <v>2180157.13</v>
      </c>
    </row>
    <row r="235" spans="1:16" x14ac:dyDescent="0.3">
      <c r="A235" s="231" t="s">
        <v>26</v>
      </c>
      <c r="B235" s="232"/>
      <c r="C235" s="11" t="s">
        <v>18</v>
      </c>
      <c r="D235" s="15">
        <f>Bangula!D235+Chikwawa!D235+'Miseu Folo'!D235+Nchalo!D235+Nsanje!D235+Ngabu!D235</f>
        <v>81504.789999999994</v>
      </c>
      <c r="E235" s="15">
        <f>Bangula!E235+Chikwawa!E235+'Miseu Folo'!E235+Nchalo!E235+Nsanje!E235+Ngabu!E235</f>
        <v>123808.51000000001</v>
      </c>
      <c r="F235" s="15">
        <f>Bangula!F235+Chikwawa!F235+'Miseu Folo'!F235+Nchalo!F235+Nsanje!F235+Ngabu!F235</f>
        <v>126473</v>
      </c>
      <c r="G235" s="15">
        <f>Bangula!G235+Chikwawa!G235+'Miseu Folo'!G235+Nchalo!G235+Nsanje!G235+Ngabu!G235</f>
        <v>130690</v>
      </c>
      <c r="H235" s="15">
        <f>Bangula!H235+Chikwawa!H235+'Miseu Folo'!H235+Nchalo!H235+Nsanje!H235+Ngabu!H235</f>
        <v>126473.56</v>
      </c>
      <c r="I235" s="15">
        <f>Bangula!I235+Chikwawa!I235+'Miseu Folo'!I235+Nchalo!I235+Nsanje!I235+Ngabu!I235</f>
        <v>126475</v>
      </c>
      <c r="J235" s="15">
        <f>Bangula!J235+Chikwawa!J235+'Miseu Folo'!J235+Nchalo!J235+Nsanje!J235+Ngabu!J235</f>
        <v>109610.01999999999</v>
      </c>
      <c r="K235" s="15">
        <f>Bangula!K235+Chikwawa!K235+'Miseu Folo'!K235+Nchalo!K235+Nsanje!K235+Ngabu!K235</f>
        <v>105395</v>
      </c>
      <c r="L235" s="15">
        <f>Bangula!L235+Chikwawa!L235+'Miseu Folo'!L235+Nchalo!L235+Nsanje!L235+Ngabu!L235</f>
        <v>101179</v>
      </c>
      <c r="M235" s="15">
        <f>Bangula!M235+Chikwawa!M235+'Miseu Folo'!M235+Nchalo!M235+Nsanje!M235+Ngabu!M235</f>
        <v>105394.25</v>
      </c>
      <c r="N235" s="15">
        <f>Bangula!N235+Chikwawa!N235+'Miseu Folo'!N235+Nchalo!N235+Nsanje!N235+Ngabu!N235</f>
        <v>122257</v>
      </c>
      <c r="O235" s="15">
        <f>Bangula!O235+Chikwawa!O235+'Miseu Folo'!O235+Nchalo!O235+Nsanje!O235+Ngabu!O235</f>
        <v>134905</v>
      </c>
      <c r="P235" s="40">
        <f>SUM(D235:O235)</f>
        <v>1394165.13</v>
      </c>
    </row>
    <row r="236" spans="1:16" x14ac:dyDescent="0.3">
      <c r="A236" s="290" t="s">
        <v>25</v>
      </c>
      <c r="B236" s="291"/>
      <c r="C236" s="11" t="s">
        <v>18</v>
      </c>
      <c r="D236" s="12">
        <f t="shared" ref="D236:E236" si="91">SUM(D232:D235)</f>
        <v>2025404.6400000001</v>
      </c>
      <c r="E236" s="12">
        <f t="shared" si="91"/>
        <v>3066860.5700000003</v>
      </c>
      <c r="F236" s="12">
        <f t="shared" ref="F236:H236" si="92">SUM(F232:F235)</f>
        <v>3192783</v>
      </c>
      <c r="G236" s="12">
        <f t="shared" si="92"/>
        <v>3232000</v>
      </c>
      <c r="H236" s="12">
        <f t="shared" si="92"/>
        <v>3238150.53</v>
      </c>
      <c r="I236" s="12">
        <f t="shared" ref="I236:O236" si="93">SUM(I232:I235)</f>
        <v>3310081</v>
      </c>
      <c r="J236" s="12">
        <f t="shared" si="93"/>
        <v>3321587.77</v>
      </c>
      <c r="K236" s="12">
        <f t="shared" si="93"/>
        <v>3371717</v>
      </c>
      <c r="L236" s="12">
        <f t="shared" si="93"/>
        <v>3382644</v>
      </c>
      <c r="M236" s="12">
        <f t="shared" si="93"/>
        <v>3352018.2</v>
      </c>
      <c r="N236" s="12">
        <f t="shared" si="93"/>
        <v>3440732</v>
      </c>
      <c r="O236" s="12">
        <f t="shared" si="93"/>
        <v>3516988</v>
      </c>
      <c r="P236" s="40">
        <f t="shared" ref="P236" si="94">SUM(P232:P235)</f>
        <v>38450966.710000001</v>
      </c>
    </row>
    <row r="237" spans="1:16" ht="14.4" x14ac:dyDescent="0.3">
      <c r="A237" s="277" t="s">
        <v>24</v>
      </c>
      <c r="B237" s="278"/>
      <c r="C237" s="278"/>
      <c r="D237" s="278"/>
      <c r="E237" s="278"/>
      <c r="F237" s="278"/>
      <c r="G237" s="278"/>
      <c r="H237" s="278"/>
      <c r="I237" s="278"/>
      <c r="J237" s="278"/>
      <c r="K237" s="278"/>
      <c r="L237" s="278"/>
      <c r="M237" s="278"/>
      <c r="N237" s="278"/>
      <c r="O237" s="278"/>
      <c r="P237" s="279"/>
    </row>
    <row r="238" spans="1:16" x14ac:dyDescent="0.3">
      <c r="A238" s="231" t="s">
        <v>23</v>
      </c>
      <c r="B238" s="232"/>
      <c r="C238" s="11" t="s">
        <v>18</v>
      </c>
      <c r="D238" s="15">
        <f>Bangula!D238+Chikwawa!D238+'Miseu Folo'!D238+Nchalo!D238+Nsanje!D238+Ngabu!D238</f>
        <v>4964187</v>
      </c>
      <c r="E238" s="15">
        <f>Bangula!E238+Chikwawa!E238+'Miseu Folo'!E238+Nchalo!E238+Nsanje!E238+Ngabu!E238</f>
        <v>5055273</v>
      </c>
      <c r="F238" s="15">
        <f>Bangula!F238+Chikwawa!F238+'Miseu Folo'!F238+Nchalo!F238+Nsanje!F238+Ngabu!F238</f>
        <v>5207976</v>
      </c>
      <c r="G238" s="15">
        <f>Bangula!G238+Chikwawa!G238+'Miseu Folo'!G238+Nchalo!G238+Nsanje!G238+Ngabu!G238</f>
        <v>5230301</v>
      </c>
      <c r="H238" s="15">
        <f>Bangula!H238+Chikwawa!H238+'Miseu Folo'!H238+Nchalo!H238+Nsanje!H238+Ngabu!H238</f>
        <v>5243696</v>
      </c>
      <c r="I238" s="15">
        <f>Bangula!I238+Chikwawa!I238+'Miseu Folo'!I238+Nchalo!I238+Nsanje!I238+Ngabu!I238</f>
        <v>5368716</v>
      </c>
      <c r="J238" s="15">
        <f>Bangula!J238+Chikwawa!J238+'Miseu Folo'!J238+Nchalo!J238+Nsanje!J238+Ngabu!J238</f>
        <v>5452658</v>
      </c>
      <c r="K238" s="15">
        <f>Bangula!K238+Chikwawa!K238+'Miseu Folo'!K238+Nchalo!K238+Nsanje!K238+Ngabu!K238</f>
        <v>5533028</v>
      </c>
      <c r="L238" s="15">
        <f>Bangula!L238+Chikwawa!L238+'Miseu Folo'!L238+Nchalo!L238+Nsanje!L238+Ngabu!L238</f>
        <v>5550888</v>
      </c>
      <c r="M238" s="15">
        <f>Bangula!M238+Chikwawa!M238+'Miseu Folo'!M238+Nchalo!M238+Nsanje!M238+Ngabu!M238</f>
        <v>5474983</v>
      </c>
      <c r="N238" s="15">
        <f>Bangula!N238+Chikwawa!N238+'Miseu Folo'!N238+Nchalo!N238+Nsanje!N238+Ngabu!N238</f>
        <v>5576785</v>
      </c>
      <c r="O238" s="15">
        <f>Bangula!O238+Chikwawa!O238+'Miseu Folo'!O238+Nchalo!O238+Nsanje!O238+Ngabu!O238</f>
        <v>5684838</v>
      </c>
      <c r="P238" s="40">
        <f>SUM(D238:O238)</f>
        <v>64343329</v>
      </c>
    </row>
    <row r="239" spans="1:16" x14ac:dyDescent="0.3">
      <c r="A239" s="231" t="s">
        <v>22</v>
      </c>
      <c r="B239" s="232"/>
      <c r="C239" s="11" t="s">
        <v>18</v>
      </c>
      <c r="D239" s="15">
        <f>Bangula!D239+Chikwawa!D239+'Miseu Folo'!D239+Nchalo!D239+Nsanje!D239+Ngabu!D239</f>
        <v>58045</v>
      </c>
      <c r="E239" s="15">
        <f>Bangula!E239+Chikwawa!E239+'Miseu Folo'!E239+Nchalo!E239+Nsanje!E239+Ngabu!E239</f>
        <v>57152</v>
      </c>
      <c r="F239" s="15">
        <f>Bangula!F239+Chikwawa!F239+'Miseu Folo'!F239+Nchalo!F239+Nsanje!F239+Ngabu!F239</f>
        <v>56259</v>
      </c>
      <c r="G239" s="15">
        <f>Bangula!G239+Chikwawa!G239+'Miseu Folo'!G239+Nchalo!G239+Nsanje!G239+Ngabu!G239</f>
        <v>55366</v>
      </c>
      <c r="H239" s="15">
        <f>Bangula!H239+Chikwawa!H239+'Miseu Folo'!H239+Nchalo!H239+Nsanje!H239+Ngabu!H239</f>
        <v>55366</v>
      </c>
      <c r="I239" s="15">
        <f>Bangula!I239+Chikwawa!I239+'Miseu Folo'!I239+Nchalo!I239+Nsanje!I239+Ngabu!I239</f>
        <v>54473</v>
      </c>
      <c r="J239" s="15">
        <f>Bangula!J239+Chikwawa!J239+'Miseu Folo'!J239+Nchalo!J239+Nsanje!J239+Ngabu!J239</f>
        <v>54473</v>
      </c>
      <c r="K239" s="15">
        <f>Bangula!K239+Chikwawa!K239+'Miseu Folo'!K239+Nchalo!K239+Nsanje!K239+Ngabu!K239</f>
        <v>54473</v>
      </c>
      <c r="L239" s="15">
        <f>Bangula!L239+Chikwawa!L239+'Miseu Folo'!L239+Nchalo!L239+Nsanje!L239+Ngabu!L239</f>
        <v>53589</v>
      </c>
      <c r="M239" s="15">
        <f>Bangula!M239+Chikwawa!M239+'Miseu Folo'!M239+Nchalo!M239+Nsanje!M239+Ngabu!M239</f>
        <v>50901</v>
      </c>
      <c r="N239" s="15">
        <f>Bangula!N239+Chikwawa!N239+'Miseu Folo'!N239+Nchalo!N239+Nsanje!N239+Ngabu!N239</f>
        <v>51794</v>
      </c>
      <c r="O239" s="15">
        <f>Bangula!O239+Chikwawa!O239+'Miseu Folo'!O239+Nchalo!O239+Nsanje!O239+Ngabu!O239</f>
        <v>50008</v>
      </c>
      <c r="P239" s="40">
        <f>SUM(D239:O239)</f>
        <v>651899</v>
      </c>
    </row>
    <row r="240" spans="1:16" x14ac:dyDescent="0.3">
      <c r="A240" s="231" t="s">
        <v>21</v>
      </c>
      <c r="B240" s="232"/>
      <c r="C240" s="11" t="s">
        <v>18</v>
      </c>
      <c r="D240" s="15">
        <f>Bangula!D240+Chikwawa!D240+'Miseu Folo'!D240+Nchalo!D240+Nsanje!D240+Ngabu!D240</f>
        <v>42864</v>
      </c>
      <c r="E240" s="15">
        <f>Bangula!E240+Chikwawa!E240+'Miseu Folo'!E240+Nchalo!E240+Nsanje!E240+Ngabu!E240</f>
        <v>27683</v>
      </c>
      <c r="F240" s="15">
        <f>Bangula!F240+Chikwawa!F240+'Miseu Folo'!F240+Nchalo!F240+Nsanje!F240+Ngabu!F240</f>
        <v>49115</v>
      </c>
      <c r="G240" s="15">
        <f>Bangula!G240+Chikwawa!G240+'Miseu Folo'!G240+Nchalo!G240+Nsanje!G240+Ngabu!G240</f>
        <v>55366</v>
      </c>
      <c r="H240" s="15">
        <f>Bangula!H240+Chikwawa!H240+'Miseu Folo'!H240+Nchalo!H240+Nsanje!H240+Ngabu!H240</f>
        <v>56259</v>
      </c>
      <c r="I240" s="15">
        <f>Bangula!I240+Chikwawa!I240+'Miseu Folo'!I240+Nchalo!I240+Nsanje!I240+Ngabu!I240</f>
        <v>57152</v>
      </c>
      <c r="J240" s="15">
        <f>Bangula!J240+Chikwawa!J240+'Miseu Folo'!J240+Nchalo!J240+Nsanje!J240+Ngabu!J240</f>
        <v>51794</v>
      </c>
      <c r="K240" s="15">
        <f>Bangula!K240+Chikwawa!K240+'Miseu Folo'!K240+Nchalo!K240+Nsanje!K240+Ngabu!K240</f>
        <v>54473</v>
      </c>
      <c r="L240" s="15">
        <f>Bangula!L240+Chikwawa!L240+'Miseu Folo'!L240+Nchalo!L240+Nsanje!L240+Ngabu!L240</f>
        <v>56259</v>
      </c>
      <c r="M240" s="15">
        <f>Bangula!M240+Chikwawa!M240+'Miseu Folo'!M240+Nchalo!M240+Nsanje!M240+Ngabu!M240</f>
        <v>58045</v>
      </c>
      <c r="N240" s="15">
        <f>Bangula!N240+Chikwawa!N240+'Miseu Folo'!N240+Nchalo!N240+Nsanje!N240+Ngabu!N240</f>
        <v>62510</v>
      </c>
      <c r="O240" s="15">
        <f>Bangula!O240+Chikwawa!O240+'Miseu Folo'!O240+Nchalo!O240+Nsanje!O240+Ngabu!O240</f>
        <v>63403</v>
      </c>
      <c r="P240" s="40">
        <f>SUM(D240:O240)</f>
        <v>634923</v>
      </c>
    </row>
    <row r="241" spans="1:16" x14ac:dyDescent="0.3">
      <c r="A241" s="231" t="s">
        <v>20</v>
      </c>
      <c r="B241" s="232"/>
      <c r="C241" s="11" t="s">
        <v>18</v>
      </c>
      <c r="D241" s="15">
        <f>Bangula!D241+Chikwawa!D241+'Miseu Folo'!D241+Nchalo!D241+Nsanje!D241+Ngabu!D241</f>
        <v>25897</v>
      </c>
      <c r="E241" s="15">
        <f>Bangula!E241+Chikwawa!E241+'Miseu Folo'!E241+Nchalo!E241+Nsanje!E241+Ngabu!E241</f>
        <v>38399</v>
      </c>
      <c r="F241" s="15">
        <f>Bangula!F241+Chikwawa!F241+'Miseu Folo'!F241+Nchalo!F241+Nsanje!F241+Ngabu!F241</f>
        <v>26790</v>
      </c>
      <c r="G241" s="15">
        <f>Bangula!G241+Chikwawa!G241+'Miseu Folo'!G241+Nchalo!G241+Nsanje!G241+Ngabu!G241</f>
        <v>27683</v>
      </c>
      <c r="H241" s="15">
        <f>Bangula!H241+Chikwawa!H241+'Miseu Folo'!H241+Nchalo!H241+Nsanje!H241+Ngabu!H241</f>
        <v>26790</v>
      </c>
      <c r="I241" s="15">
        <f>Bangula!I241+Chikwawa!I241+'Miseu Folo'!I241+Nchalo!I241+Nsanje!I241+Ngabu!I241</f>
        <v>26790</v>
      </c>
      <c r="J241" s="15">
        <f>Bangula!J241+Chikwawa!J241+'Miseu Folo'!J241+Nchalo!J241+Nsanje!J241+Ngabu!J241</f>
        <v>23218</v>
      </c>
      <c r="K241" s="15">
        <f>Bangula!K241+Chikwawa!K241+'Miseu Folo'!K241+Nchalo!K241+Nsanje!K241+Ngabu!K241</f>
        <v>22325</v>
      </c>
      <c r="L241" s="15">
        <f>Bangula!L241+Chikwawa!L241+'Miseu Folo'!L241+Nchalo!L241+Nsanje!L241+Ngabu!L241</f>
        <v>21432</v>
      </c>
      <c r="M241" s="15">
        <f>Bangula!M241+Chikwawa!M241+'Miseu Folo'!M241+Nchalo!M241+Nsanje!M241+Ngabu!M241</f>
        <v>22325</v>
      </c>
      <c r="N241" s="15">
        <f>Bangula!N241+Chikwawa!N241+'Miseu Folo'!N241+Nchalo!N241+Nsanje!N241+Ngabu!N241</f>
        <v>25897</v>
      </c>
      <c r="O241" s="15">
        <f>Bangula!O241+Chikwawa!O241+'Miseu Folo'!O241+Nchalo!O241+Nsanje!O241+Ngabu!O241</f>
        <v>28576</v>
      </c>
      <c r="P241" s="40">
        <f>SUM(D241:O241)</f>
        <v>316122</v>
      </c>
    </row>
    <row r="242" spans="1:16" x14ac:dyDescent="0.3">
      <c r="A242" s="290" t="s">
        <v>19</v>
      </c>
      <c r="B242" s="291"/>
      <c r="C242" s="11" t="s">
        <v>18</v>
      </c>
      <c r="D242" s="12">
        <f t="shared" ref="D242:P242" si="95">SUM(D238:D241)</f>
        <v>5090993</v>
      </c>
      <c r="E242" s="12">
        <f t="shared" si="95"/>
        <v>5178507</v>
      </c>
      <c r="F242" s="12">
        <f t="shared" si="95"/>
        <v>5340140</v>
      </c>
      <c r="G242" s="12">
        <f t="shared" ref="G242:H242" si="96">SUM(G238:G241)</f>
        <v>5368716</v>
      </c>
      <c r="H242" s="12">
        <f t="shared" si="96"/>
        <v>5382111</v>
      </c>
      <c r="I242" s="12">
        <f t="shared" si="95"/>
        <v>5507131</v>
      </c>
      <c r="J242" s="12">
        <f t="shared" si="95"/>
        <v>5582143</v>
      </c>
      <c r="K242" s="12">
        <f t="shared" si="95"/>
        <v>5664299</v>
      </c>
      <c r="L242" s="12">
        <f t="shared" si="95"/>
        <v>5682168</v>
      </c>
      <c r="M242" s="12">
        <f t="shared" si="95"/>
        <v>5606254</v>
      </c>
      <c r="N242" s="12">
        <f t="shared" si="95"/>
        <v>5716986</v>
      </c>
      <c r="O242" s="12">
        <f t="shared" si="95"/>
        <v>5826825</v>
      </c>
      <c r="P242" s="40">
        <f t="shared" si="95"/>
        <v>65946273</v>
      </c>
    </row>
    <row r="243" spans="1:16" x14ac:dyDescent="0.3">
      <c r="A243" s="290" t="s">
        <v>214</v>
      </c>
      <c r="B243" s="291"/>
      <c r="C243" s="11" t="s">
        <v>18</v>
      </c>
      <c r="D243" s="10">
        <f>D230+D236+D242</f>
        <v>60945394.960000001</v>
      </c>
      <c r="E243" s="10">
        <f t="shared" ref="E243:O243" si="97">E230+E236+E242</f>
        <v>433751224.13999999</v>
      </c>
      <c r="F243" s="10">
        <f t="shared" si="97"/>
        <v>433398513.63</v>
      </c>
      <c r="G243" s="10">
        <f t="shared" si="97"/>
        <v>87893291.129999995</v>
      </c>
      <c r="H243" s="10">
        <f t="shared" si="97"/>
        <v>117612491.85000001</v>
      </c>
      <c r="I243" s="10">
        <f t="shared" si="97"/>
        <v>93179219.359999999</v>
      </c>
      <c r="J243" s="10">
        <f t="shared" si="97"/>
        <v>98786958.920000002</v>
      </c>
      <c r="K243" s="10">
        <f t="shared" si="97"/>
        <v>95160944.090000004</v>
      </c>
      <c r="L243" s="10">
        <f t="shared" si="97"/>
        <v>96956670.270000011</v>
      </c>
      <c r="M243" s="10">
        <f t="shared" si="97"/>
        <v>111067098.01000001</v>
      </c>
      <c r="N243" s="10">
        <f t="shared" si="97"/>
        <v>121989496.06999999</v>
      </c>
      <c r="O243" s="10">
        <f t="shared" si="97"/>
        <v>86125931.230000004</v>
      </c>
      <c r="P243" s="40">
        <f t="shared" ref="P243" si="98">P216+P223+P236+P242</f>
        <v>1862448869.23</v>
      </c>
    </row>
    <row r="244" spans="1:16" ht="14.4" x14ac:dyDescent="0.3">
      <c r="A244" s="277" t="s">
        <v>204</v>
      </c>
      <c r="B244" s="278"/>
      <c r="C244" s="278"/>
      <c r="D244" s="278"/>
      <c r="E244" s="278"/>
      <c r="F244" s="278"/>
      <c r="G244" s="278"/>
      <c r="H244" s="278"/>
      <c r="I244" s="278"/>
      <c r="J244" s="278"/>
      <c r="K244" s="278"/>
      <c r="L244" s="278"/>
      <c r="M244" s="278"/>
      <c r="N244" s="278"/>
      <c r="O244" s="278"/>
      <c r="P244" s="279"/>
    </row>
    <row r="245" spans="1:16" x14ac:dyDescent="0.3">
      <c r="A245" s="311" t="s">
        <v>205</v>
      </c>
      <c r="B245" s="312"/>
      <c r="C245" s="11" t="s">
        <v>18</v>
      </c>
      <c r="D245" s="15">
        <f>Bangula!D245+Chikwawa!D245+'Miseu Folo'!D245+Nchalo!D245+Nsanje!D245+Ngabu!D245</f>
        <v>198415343.19999999</v>
      </c>
      <c r="E245" s="15">
        <f>Bangula!E245+Chikwawa!E245+'Miseu Folo'!E245+Nchalo!E245+Nsanje!E245+Ngabu!E245</f>
        <v>212610046.74000001</v>
      </c>
      <c r="F245" s="15">
        <f>Bangula!F245+Chikwawa!F245+'Miseu Folo'!F245+Nchalo!F245+Nsanje!F245+Ngabu!F245</f>
        <v>214222998.53</v>
      </c>
      <c r="G245" s="15">
        <f>Bangula!G245+Chikwawa!G245+'Miseu Folo'!G245+Nchalo!G245+Nsanje!G245+Ngabu!G245</f>
        <v>215817779.44999999</v>
      </c>
      <c r="H245" s="15">
        <f>Bangula!H245+Chikwawa!H245+'Miseu Folo'!H245+Nchalo!H245+Nsanje!H245+Ngabu!H245</f>
        <v>234075638.5</v>
      </c>
      <c r="I245" s="15">
        <f>Bangula!I245+Chikwawa!I245+'Miseu Folo'!I245+Nchalo!I245+Nsanje!I245+Ngabu!I245</f>
        <v>243232072.25999999</v>
      </c>
      <c r="J245" s="15">
        <f>Bangula!J245+Chikwawa!J245+'Miseu Folo'!J245+Nchalo!J245+Nsanje!J245+Ngabu!J245</f>
        <v>263577833.79999998</v>
      </c>
      <c r="K245" s="15">
        <f>Bangula!K245+Chikwawa!K245+'Miseu Folo'!K245+Nchalo!K245+Nsanje!K245+Ngabu!K245</f>
        <v>253348750.16</v>
      </c>
      <c r="L245" s="15">
        <f>Bangula!L245+Chikwawa!L245+'Miseu Folo'!L245+Nchalo!L245+Nsanje!L245+Ngabu!L245</f>
        <v>261644557.48000002</v>
      </c>
      <c r="M245" s="15">
        <f>Bangula!M245+Chikwawa!M245+'Miseu Folo'!M245+Nchalo!M245+Nsanje!M245+Ngabu!M245</f>
        <v>245631499.75</v>
      </c>
      <c r="N245" s="15">
        <f>Bangula!N245+Chikwawa!N245+'Miseu Folo'!N245+Nchalo!N245+Nsanje!N245+Ngabu!N245</f>
        <v>271339364.40000004</v>
      </c>
      <c r="O245" s="15">
        <f>Bangula!O245+Chikwawa!O245+'Miseu Folo'!O245+Nchalo!O245+Nsanje!O245+Ngabu!O245</f>
        <v>279454532.06999999</v>
      </c>
      <c r="P245" s="40">
        <f>O245</f>
        <v>279454532.06999999</v>
      </c>
    </row>
    <row r="246" spans="1:16" x14ac:dyDescent="0.3">
      <c r="A246" s="311" t="s">
        <v>206</v>
      </c>
      <c r="B246" s="312"/>
      <c r="C246" s="11" t="s">
        <v>18</v>
      </c>
      <c r="D246" s="15">
        <f>Bangula!D246+Chikwawa!D246+'Miseu Folo'!D246+Nchalo!D246+Nsanje!D246+Ngabu!D246</f>
        <v>0</v>
      </c>
      <c r="E246" s="15">
        <f>Bangula!E246+Chikwawa!E246+'Miseu Folo'!E246+Nchalo!E246+Nsanje!E246+Ngabu!E246</f>
        <v>0</v>
      </c>
      <c r="F246" s="15">
        <f>Bangula!F246+Chikwawa!F246+'Miseu Folo'!F246+Nchalo!F246+Nsanje!F246+Ngabu!F246</f>
        <v>0</v>
      </c>
      <c r="G246" s="15">
        <f>Bangula!G246+Chikwawa!G246+'Miseu Folo'!G246+Nchalo!G246+Nsanje!G246+Ngabu!G246</f>
        <v>0</v>
      </c>
      <c r="H246" s="15">
        <f>Bangula!H246+Chikwawa!H246+'Miseu Folo'!H246+Nchalo!H246+Nsanje!H246+Ngabu!H246</f>
        <v>0</v>
      </c>
      <c r="I246" s="15">
        <f>Bangula!I246+Chikwawa!I246+'Miseu Folo'!I246+Nchalo!I246+Nsanje!I246+Ngabu!I246</f>
        <v>0</v>
      </c>
      <c r="J246" s="15">
        <f>Bangula!J246+Chikwawa!J246+'Miseu Folo'!J246+Nchalo!J246+Nsanje!J246+Ngabu!J246</f>
        <v>0</v>
      </c>
      <c r="K246" s="15">
        <f>Bangula!K246+Chikwawa!K246+'Miseu Folo'!K246+Nchalo!K246+Nsanje!K246+Ngabu!K246</f>
        <v>0</v>
      </c>
      <c r="L246" s="15">
        <f>Bangula!L246+Chikwawa!L246+'Miseu Folo'!L246+Nchalo!L246+Nsanje!L246+Ngabu!L246</f>
        <v>0</v>
      </c>
      <c r="M246" s="15">
        <f>Bangula!M246+Chikwawa!M246+'Miseu Folo'!M246+Nchalo!M246+Nsanje!M246+Ngabu!M246</f>
        <v>0</v>
      </c>
      <c r="N246" s="15">
        <f>Bangula!N246+Chikwawa!N246+'Miseu Folo'!N246+Nchalo!N246+Nsanje!N246+Ngabu!N246</f>
        <v>0</v>
      </c>
      <c r="O246" s="15">
        <f>Bangula!O246+Chikwawa!O246+'Miseu Folo'!O246+Nchalo!O246+Nsanje!O246+Ngabu!O246</f>
        <v>0</v>
      </c>
      <c r="P246" s="40">
        <f>O246</f>
        <v>0</v>
      </c>
    </row>
    <row r="247" spans="1:16" x14ac:dyDescent="0.3">
      <c r="A247" s="313" t="s">
        <v>207</v>
      </c>
      <c r="B247" s="314"/>
      <c r="C247" s="11" t="s">
        <v>18</v>
      </c>
      <c r="D247" s="143">
        <f>D245+D246</f>
        <v>198415343.19999999</v>
      </c>
      <c r="E247" s="143">
        <f>E245+E246</f>
        <v>212610046.74000001</v>
      </c>
      <c r="F247" s="143">
        <f t="shared" ref="F247:P247" si="99">F245+F246</f>
        <v>214222998.53</v>
      </c>
      <c r="G247" s="143">
        <f t="shared" si="99"/>
        <v>215817779.44999999</v>
      </c>
      <c r="H247" s="143">
        <f t="shared" si="99"/>
        <v>234075638.5</v>
      </c>
      <c r="I247" s="143">
        <f t="shared" ref="I247:O247" si="100">I245+I246</f>
        <v>243232072.25999999</v>
      </c>
      <c r="J247" s="143">
        <f t="shared" si="100"/>
        <v>263577833.79999998</v>
      </c>
      <c r="K247" s="143">
        <f t="shared" si="100"/>
        <v>253348750.16</v>
      </c>
      <c r="L247" s="143">
        <f t="shared" si="100"/>
        <v>261644557.48000002</v>
      </c>
      <c r="M247" s="143">
        <f t="shared" si="100"/>
        <v>245631499.75</v>
      </c>
      <c r="N247" s="143">
        <f t="shared" si="100"/>
        <v>271339364.40000004</v>
      </c>
      <c r="O247" s="143">
        <f t="shared" si="100"/>
        <v>279454532.06999999</v>
      </c>
      <c r="P247" s="161">
        <f t="shared" si="99"/>
        <v>279454532.06999999</v>
      </c>
    </row>
    <row r="248" spans="1:16" ht="14.4" x14ac:dyDescent="0.3">
      <c r="A248" s="277" t="s">
        <v>17</v>
      </c>
      <c r="B248" s="278"/>
      <c r="C248" s="278"/>
      <c r="D248" s="278"/>
      <c r="E248" s="278"/>
      <c r="F248" s="278"/>
      <c r="G248" s="278"/>
      <c r="H248" s="278"/>
      <c r="I248" s="278"/>
      <c r="J248" s="278"/>
      <c r="K248" s="278"/>
      <c r="L248" s="278"/>
      <c r="M248" s="278"/>
      <c r="N248" s="278"/>
      <c r="O248" s="278"/>
      <c r="P248" s="279"/>
    </row>
    <row r="249" spans="1:16" x14ac:dyDescent="0.3">
      <c r="A249" s="250" t="s">
        <v>16</v>
      </c>
      <c r="B249" s="251"/>
      <c r="C249" s="5" t="s">
        <v>6</v>
      </c>
      <c r="D249" s="8">
        <f>D58/D243%</f>
        <v>31.949007659692089</v>
      </c>
      <c r="E249" s="8">
        <f t="shared" ref="E249:O249" si="101">E58/E243%</f>
        <v>4.7532077229009762</v>
      </c>
      <c r="F249" s="8">
        <f t="shared" si="101"/>
        <v>4.9008969696498124</v>
      </c>
      <c r="G249" s="8">
        <f t="shared" si="101"/>
        <v>24.412006393940121</v>
      </c>
      <c r="H249" s="8">
        <f t="shared" si="101"/>
        <v>17.135683743274075</v>
      </c>
      <c r="I249" s="8">
        <f t="shared" si="101"/>
        <v>27.924827727919268</v>
      </c>
      <c r="J249" s="8">
        <f t="shared" si="101"/>
        <v>21.112035401276625</v>
      </c>
      <c r="K249" s="8">
        <f t="shared" si="101"/>
        <v>16.722505813582245</v>
      </c>
      <c r="L249" s="8">
        <f t="shared" si="101"/>
        <v>11.667303937898856</v>
      </c>
      <c r="M249" s="8">
        <f t="shared" si="101"/>
        <v>8.0299464577322492</v>
      </c>
      <c r="N249" s="8">
        <f t="shared" si="101"/>
        <v>7.0066605440359702</v>
      </c>
      <c r="O249" s="8">
        <f t="shared" si="101"/>
        <v>7.4720113333107241</v>
      </c>
      <c r="P249" s="112">
        <f t="shared" ref="P249" si="102">P58/P243%</f>
        <v>10.789135734076751</v>
      </c>
    </row>
    <row r="250" spans="1:16" x14ac:dyDescent="0.3">
      <c r="A250" s="250" t="s">
        <v>208</v>
      </c>
      <c r="B250" s="251"/>
      <c r="C250" s="5" t="s">
        <v>6</v>
      </c>
      <c r="D250" s="29">
        <f>D210/(D223+D245)%</f>
        <v>8.9090502277723225</v>
      </c>
      <c r="E250" s="29">
        <f t="shared" ref="E250:P250" si="103">E210/(E223+E245)%</f>
        <v>6.2611462837944662</v>
      </c>
      <c r="F250" s="29">
        <f t="shared" si="103"/>
        <v>9.3790245747583043</v>
      </c>
      <c r="G250" s="29">
        <f t="shared" si="103"/>
        <v>15.933763576768092</v>
      </c>
      <c r="H250" s="29">
        <f t="shared" si="103"/>
        <v>9.0443277270494864</v>
      </c>
      <c r="I250" s="29">
        <f t="shared" si="103"/>
        <v>17.554134768209316</v>
      </c>
      <c r="J250" s="29">
        <f t="shared" si="103"/>
        <v>7.8157634961988842</v>
      </c>
      <c r="K250" s="29">
        <f t="shared" si="103"/>
        <v>22.992575169008713</v>
      </c>
      <c r="L250" s="29">
        <f t="shared" si="103"/>
        <v>12.283448184130078</v>
      </c>
      <c r="M250" s="29">
        <f t="shared" si="103"/>
        <v>20.904219781868495</v>
      </c>
      <c r="N250" s="29">
        <f t="shared" si="103"/>
        <v>10.145522380685202</v>
      </c>
      <c r="O250" s="29">
        <f t="shared" si="103"/>
        <v>14.989848356146425</v>
      </c>
      <c r="P250" s="109">
        <f t="shared" si="103"/>
        <v>33.155879920178165</v>
      </c>
    </row>
    <row r="251" spans="1:16" ht="16.2" thickBot="1" x14ac:dyDescent="0.35">
      <c r="A251" s="301" t="s">
        <v>15</v>
      </c>
      <c r="B251" s="302"/>
      <c r="C251" s="5" t="s">
        <v>6</v>
      </c>
      <c r="D251" s="7">
        <f>D210/D223%</f>
        <v>74.503061249387557</v>
      </c>
      <c r="E251" s="7">
        <f t="shared" ref="E251:P251" si="104">E210/E223%</f>
        <v>9.6234059766651363</v>
      </c>
      <c r="F251" s="7">
        <f t="shared" si="104"/>
        <v>14.453347263681934</v>
      </c>
      <c r="G251" s="7">
        <f t="shared" si="104"/>
        <v>91.131886316832208</v>
      </c>
      <c r="H251" s="7">
        <f t="shared" si="104"/>
        <v>55.260018579113144</v>
      </c>
      <c r="I251" s="7">
        <f t="shared" si="104"/>
        <v>104.62580416919945</v>
      </c>
      <c r="J251" s="7">
        <f t="shared" si="104"/>
        <v>47.320191381938955</v>
      </c>
      <c r="K251" s="7">
        <f t="shared" si="104"/>
        <v>132.47576758275613</v>
      </c>
      <c r="L251" s="7">
        <f t="shared" si="104"/>
        <v>79.863859602699861</v>
      </c>
      <c r="M251" s="7">
        <f t="shared" si="104"/>
        <v>129.69021773961737</v>
      </c>
      <c r="N251" s="7">
        <f t="shared" si="104"/>
        <v>64.371283499143445</v>
      </c>
      <c r="O251" s="7">
        <f t="shared" si="104"/>
        <v>102.52989582415576</v>
      </c>
      <c r="P251" s="113">
        <f t="shared" si="104"/>
        <v>40.520445412903619</v>
      </c>
    </row>
    <row r="252" spans="1:16" ht="14.4" x14ac:dyDescent="0.3">
      <c r="A252" s="303" t="s">
        <v>14</v>
      </c>
      <c r="B252" s="304"/>
      <c r="C252" s="304"/>
      <c r="D252" s="304"/>
      <c r="E252" s="304"/>
      <c r="F252" s="304"/>
      <c r="G252" s="304"/>
      <c r="H252" s="304"/>
      <c r="I252" s="304"/>
      <c r="J252" s="304"/>
      <c r="K252" s="304"/>
      <c r="L252" s="304"/>
      <c r="M252" s="304"/>
      <c r="N252" s="304"/>
      <c r="O252" s="304"/>
      <c r="P252" s="305"/>
    </row>
    <row r="253" spans="1:16" s="2" customFormat="1" ht="15" customHeight="1" x14ac:dyDescent="0.3">
      <c r="A253" s="250" t="s">
        <v>13</v>
      </c>
      <c r="B253" s="251"/>
      <c r="C253" s="5" t="s">
        <v>3</v>
      </c>
      <c r="D253" s="26">
        <f>Bangula!D253+Chikwawa!D253+'Miseu Folo'!D253+Nchalo!D253+Nsanje!D253+Ngabu!D253</f>
        <v>76</v>
      </c>
      <c r="E253" s="26">
        <f>Bangula!E253+Chikwawa!E253+'Miseu Folo'!E253+Nchalo!E253+Nsanje!E253+Ngabu!E253</f>
        <v>51</v>
      </c>
      <c r="F253" s="26">
        <f>Bangula!F253+Chikwawa!F253+'Miseu Folo'!F253+Nchalo!F253+Nsanje!F253+Ngabu!F253</f>
        <v>115</v>
      </c>
      <c r="G253" s="26">
        <f>Bangula!G253+Chikwawa!G253+'Miseu Folo'!G253+Nchalo!G253+Nsanje!G253+Ngabu!G253</f>
        <v>248</v>
      </c>
      <c r="H253" s="26">
        <f>Bangula!H253+Chikwawa!H253+'Miseu Folo'!H253+Nchalo!H253+Nsanje!H253+Ngabu!H253</f>
        <v>195</v>
      </c>
      <c r="I253" s="26">
        <f>Bangula!I253+Chikwawa!I253+'Miseu Folo'!I253+Nchalo!I253+Nsanje!I253+Ngabu!I253</f>
        <v>146</v>
      </c>
      <c r="J253" s="26">
        <f>Bangula!J253+Chikwawa!J253+'Miseu Folo'!J253+Nchalo!J253+Nsanje!J253+Ngabu!J253</f>
        <v>76</v>
      </c>
      <c r="K253" s="26">
        <f>Bangula!K253+Chikwawa!K253+'Miseu Folo'!K253+Nchalo!K253+Nsanje!K253+Ngabu!K253</f>
        <v>75</v>
      </c>
      <c r="L253" s="26">
        <f>Bangula!L253+Chikwawa!L253+'Miseu Folo'!L253+Nchalo!L253+Nsanje!L253+Ngabu!L253</f>
        <v>76</v>
      </c>
      <c r="M253" s="26">
        <f>Bangula!M253+Chikwawa!M253+'Miseu Folo'!M253+Nchalo!M253+Nsanje!M253+Ngabu!M253</f>
        <v>107</v>
      </c>
      <c r="N253" s="26">
        <f>Bangula!N253+Chikwawa!N253+'Miseu Folo'!N253+Nchalo!N253+Nsanje!N253+Ngabu!N253</f>
        <v>121</v>
      </c>
      <c r="O253" s="26">
        <f>Bangula!O253+Chikwawa!O253+'Miseu Folo'!O253+Nchalo!O253+Nsanje!O253+Ngabu!O253</f>
        <v>57</v>
      </c>
      <c r="P253" s="114">
        <f>SUM(D253:O253)</f>
        <v>1343</v>
      </c>
    </row>
    <row r="254" spans="1:16" s="2" customFormat="1" x14ac:dyDescent="0.3">
      <c r="A254" s="250" t="s">
        <v>12</v>
      </c>
      <c r="B254" s="251"/>
      <c r="C254" s="5" t="s">
        <v>3</v>
      </c>
      <c r="D254" s="26">
        <f>Bangula!D254+Chikwawa!D254+'Miseu Folo'!D254+Nchalo!D254+Nsanje!D254+Ngabu!D254</f>
        <v>36</v>
      </c>
      <c r="E254" s="26">
        <f>Bangula!E254+Chikwawa!E254+'Miseu Folo'!E254+Nchalo!E254+Nsanje!E254+Ngabu!E254</f>
        <v>18</v>
      </c>
      <c r="F254" s="26">
        <f>Bangula!F254+Chikwawa!F254+'Miseu Folo'!F254+Nchalo!F254+Nsanje!F254+Ngabu!F254</f>
        <v>20</v>
      </c>
      <c r="G254" s="26">
        <f>Bangula!G254+Chikwawa!G254+'Miseu Folo'!G254+Nchalo!G254+Nsanje!G254+Ngabu!G254</f>
        <v>15</v>
      </c>
      <c r="H254" s="26">
        <f>Bangula!H254+Chikwawa!H254+'Miseu Folo'!H254+Nchalo!H254+Nsanje!H254+Ngabu!H254</f>
        <v>17</v>
      </c>
      <c r="I254" s="26">
        <f>Bangula!I254+Chikwawa!I254+'Miseu Folo'!I254+Nchalo!I254+Nsanje!I254+Ngabu!I254</f>
        <v>24</v>
      </c>
      <c r="J254" s="26">
        <f>Bangula!J254+Chikwawa!J254+'Miseu Folo'!J254+Nchalo!J254+Nsanje!J254+Ngabu!J254</f>
        <v>35</v>
      </c>
      <c r="K254" s="26">
        <f>Bangula!K254+Chikwawa!K254+'Miseu Folo'!K254+Nchalo!K254+Nsanje!K254+Ngabu!K254</f>
        <v>29</v>
      </c>
      <c r="L254" s="26">
        <f>Bangula!L254+Chikwawa!L254+'Miseu Folo'!L254+Nchalo!L254+Nsanje!L254+Ngabu!L254</f>
        <v>43</v>
      </c>
      <c r="M254" s="26">
        <f>Bangula!M254+Chikwawa!M254+'Miseu Folo'!M254+Nchalo!M254+Nsanje!M254+Ngabu!M254</f>
        <v>33</v>
      </c>
      <c r="N254" s="26">
        <f>Bangula!N254+Chikwawa!N254+'Miseu Folo'!N254+Nchalo!N254+Nsanje!N254+Ngabu!N254</f>
        <v>23</v>
      </c>
      <c r="O254" s="26">
        <f>Bangula!O254+Chikwawa!O254+'Miseu Folo'!O254+Nchalo!O254+Nsanje!O254+Ngabu!O254</f>
        <v>28</v>
      </c>
      <c r="P254" s="114">
        <f>SUM(D254:O254)</f>
        <v>321</v>
      </c>
    </row>
    <row r="255" spans="1:16" ht="15.75" customHeight="1" x14ac:dyDescent="0.3">
      <c r="A255" s="250" t="s">
        <v>11</v>
      </c>
      <c r="B255" s="251"/>
      <c r="C255" s="5" t="s">
        <v>3</v>
      </c>
      <c r="D255" s="4">
        <f>D95</f>
        <v>766</v>
      </c>
      <c r="E255" s="4">
        <f>E95</f>
        <v>751</v>
      </c>
      <c r="F255" s="4">
        <f>F95</f>
        <v>745</v>
      </c>
      <c r="G255" s="4">
        <f>G95</f>
        <v>854</v>
      </c>
      <c r="H255" s="4">
        <f>H95</f>
        <v>851</v>
      </c>
      <c r="I255" s="4">
        <f t="shared" ref="I255:O255" si="105">I95</f>
        <v>826</v>
      </c>
      <c r="J255" s="4">
        <f t="shared" si="105"/>
        <v>801</v>
      </c>
      <c r="K255" s="4">
        <f t="shared" si="105"/>
        <v>778</v>
      </c>
      <c r="L255" s="4">
        <f t="shared" si="105"/>
        <v>784</v>
      </c>
      <c r="M255" s="4">
        <f t="shared" si="105"/>
        <v>736</v>
      </c>
      <c r="N255" s="4">
        <f t="shared" si="105"/>
        <v>717</v>
      </c>
      <c r="O255" s="4">
        <f t="shared" si="105"/>
        <v>698</v>
      </c>
      <c r="P255" s="114">
        <f>SUM(D255:O255)</f>
        <v>9307</v>
      </c>
    </row>
    <row r="256" spans="1:16" x14ac:dyDescent="0.3">
      <c r="A256" s="250" t="s">
        <v>10</v>
      </c>
      <c r="B256" s="251"/>
      <c r="C256" s="5" t="s">
        <v>3</v>
      </c>
      <c r="D256" s="4">
        <f>D91</f>
        <v>58</v>
      </c>
      <c r="E256" s="4">
        <f>E91</f>
        <v>47</v>
      </c>
      <c r="F256" s="4">
        <f>F91</f>
        <v>100</v>
      </c>
      <c r="G256" s="4">
        <f>G91</f>
        <v>243</v>
      </c>
      <c r="H256" s="4">
        <f>H91</f>
        <v>106</v>
      </c>
      <c r="I256" s="4">
        <f t="shared" ref="I256:O256" si="106">I91</f>
        <v>77</v>
      </c>
      <c r="J256" s="4">
        <f t="shared" si="106"/>
        <v>51</v>
      </c>
      <c r="K256" s="4">
        <f t="shared" si="106"/>
        <v>52</v>
      </c>
      <c r="L256" s="4">
        <f t="shared" si="106"/>
        <v>61</v>
      </c>
      <c r="M256" s="4">
        <f t="shared" si="106"/>
        <v>25</v>
      </c>
      <c r="N256" s="4">
        <f t="shared" si="106"/>
        <v>34</v>
      </c>
      <c r="O256" s="4">
        <f t="shared" si="106"/>
        <v>48</v>
      </c>
      <c r="P256" s="114">
        <f>SUM(D256:O256)</f>
        <v>902</v>
      </c>
    </row>
    <row r="257" spans="1:16" ht="15.6" customHeight="1" x14ac:dyDescent="0.3">
      <c r="A257" s="250" t="s">
        <v>9</v>
      </c>
      <c r="B257" s="251"/>
      <c r="C257" s="5" t="s">
        <v>3</v>
      </c>
      <c r="D257" s="26">
        <f>Bangula!D257+Chikwawa!D257+'Miseu Folo'!D257+Nchalo!D257+Nsanje!D257+Ngabu!D257</f>
        <v>197</v>
      </c>
      <c r="E257" s="26">
        <f>Bangula!E257+Chikwawa!E257+'Miseu Folo'!E257+Nchalo!E257+Nsanje!E257+Ngabu!E257</f>
        <v>173</v>
      </c>
      <c r="F257" s="26">
        <f>Bangula!F257+Chikwawa!F257+'Miseu Folo'!F257+Nchalo!F257+Nsanje!F257+Ngabu!F257</f>
        <v>192</v>
      </c>
      <c r="G257" s="26">
        <f>Bangula!G257+Chikwawa!G257+'Miseu Folo'!G257+Nchalo!G257+Nsanje!G257+Ngabu!G257</f>
        <v>174</v>
      </c>
      <c r="H257" s="26">
        <f>Bangula!H257+Chikwawa!H257+'Miseu Folo'!H257+Nchalo!H257+Nsanje!H257+Ngabu!H257</f>
        <v>335</v>
      </c>
      <c r="I257" s="26">
        <f>Bangula!I257+Chikwawa!I257+'Miseu Folo'!I257+Nchalo!I257+Nsanje!I257+Ngabu!I257</f>
        <v>159</v>
      </c>
      <c r="J257" s="26">
        <f>Bangula!J257+Chikwawa!J257+'Miseu Folo'!J257+Nchalo!J257+Nsanje!J257+Ngabu!J257</f>
        <v>318</v>
      </c>
      <c r="K257" s="26">
        <f>Bangula!K257+Chikwawa!K257+'Miseu Folo'!K257+Nchalo!K257+Nsanje!K257+Ngabu!K257</f>
        <v>318</v>
      </c>
      <c r="L257" s="26">
        <f>Bangula!L257+Chikwawa!L257+'Miseu Folo'!L257+Nchalo!L257+Nsanje!L257+Ngabu!L257</f>
        <v>290.52941176470586</v>
      </c>
      <c r="M257" s="26">
        <f>Bangula!M257+Chikwawa!M257+'Miseu Folo'!M257+Nchalo!M257+Nsanje!M257+Ngabu!M257</f>
        <v>232</v>
      </c>
      <c r="N257" s="26">
        <f>Bangula!N257+Chikwawa!N257+'Miseu Folo'!N257+Nchalo!N257+Nsanje!N257+Ngabu!N257</f>
        <v>217</v>
      </c>
      <c r="O257" s="26">
        <f>Bangula!O257+Chikwawa!O257+'Miseu Folo'!O257+Nchalo!O257+Nsanje!O257+Ngabu!O257</f>
        <v>206</v>
      </c>
      <c r="P257" s="114">
        <f>SUM(D257:O257)</f>
        <v>2811.5294117647059</v>
      </c>
    </row>
    <row r="258" spans="1:16" x14ac:dyDescent="0.3">
      <c r="A258" s="290" t="s">
        <v>8</v>
      </c>
      <c r="B258" s="291"/>
      <c r="C258" s="5" t="s">
        <v>3</v>
      </c>
      <c r="D258" s="1">
        <f t="shared" ref="D258:P258" si="107">D257/D256</f>
        <v>3.396551724137931</v>
      </c>
      <c r="E258" s="1">
        <f t="shared" si="107"/>
        <v>3.6808510638297873</v>
      </c>
      <c r="F258" s="1">
        <f t="shared" si="107"/>
        <v>1.92</v>
      </c>
      <c r="G258" s="1">
        <f t="shared" si="107"/>
        <v>0.71604938271604934</v>
      </c>
      <c r="H258" s="1">
        <f t="shared" si="107"/>
        <v>3.1603773584905661</v>
      </c>
      <c r="I258" s="1">
        <f t="shared" si="107"/>
        <v>2.0649350649350651</v>
      </c>
      <c r="J258" s="1">
        <f t="shared" si="107"/>
        <v>6.2352941176470589</v>
      </c>
      <c r="K258" s="1">
        <f t="shared" si="107"/>
        <v>6.115384615384615</v>
      </c>
      <c r="L258" s="1">
        <f t="shared" si="107"/>
        <v>4.7627772420443586</v>
      </c>
      <c r="M258" s="1">
        <f t="shared" si="107"/>
        <v>9.2799999999999994</v>
      </c>
      <c r="N258" s="1">
        <f t="shared" si="107"/>
        <v>6.382352941176471</v>
      </c>
      <c r="O258" s="1">
        <f t="shared" si="107"/>
        <v>4.291666666666667</v>
      </c>
      <c r="P258" s="114">
        <f t="shared" si="107"/>
        <v>3.1169949132646408</v>
      </c>
    </row>
    <row r="259" spans="1:16" x14ac:dyDescent="0.3">
      <c r="A259" s="290" t="s">
        <v>7</v>
      </c>
      <c r="B259" s="291"/>
      <c r="C259" s="5" t="s">
        <v>6</v>
      </c>
      <c r="D259" s="1">
        <f t="shared" ref="D259:P259" si="108">D92/D255*100</f>
        <v>9.2689295039164499</v>
      </c>
      <c r="E259" s="1">
        <f t="shared" si="108"/>
        <v>8.2556591211717709</v>
      </c>
      <c r="F259" s="1">
        <f t="shared" si="108"/>
        <v>14.228187919463087</v>
      </c>
      <c r="G259" s="1">
        <f t="shared" si="108"/>
        <v>15.690866510538642</v>
      </c>
      <c r="H259" s="1">
        <f t="shared" si="108"/>
        <v>12.45593419506463</v>
      </c>
      <c r="I259" s="1">
        <f t="shared" si="108"/>
        <v>9.2009685230024214</v>
      </c>
      <c r="J259" s="1">
        <f t="shared" si="108"/>
        <v>9.488139825218477</v>
      </c>
      <c r="K259" s="1">
        <f t="shared" si="108"/>
        <v>8.7403598971722367</v>
      </c>
      <c r="L259" s="1">
        <f t="shared" si="108"/>
        <v>6.5051020408163271</v>
      </c>
      <c r="M259" s="1">
        <f t="shared" si="108"/>
        <v>9.9184782608695645</v>
      </c>
      <c r="N259" s="1">
        <f t="shared" si="108"/>
        <v>7.3919107391910739</v>
      </c>
      <c r="O259" s="1">
        <f t="shared" si="108"/>
        <v>9.5988538681948423</v>
      </c>
      <c r="P259" s="115">
        <f t="shared" si="108"/>
        <v>10.13215859030837</v>
      </c>
    </row>
    <row r="260" spans="1:16" ht="14.4" x14ac:dyDescent="0.3">
      <c r="A260" s="277" t="s">
        <v>5</v>
      </c>
      <c r="B260" s="278"/>
      <c r="C260" s="278"/>
      <c r="D260" s="278"/>
      <c r="E260" s="278"/>
      <c r="F260" s="278"/>
      <c r="G260" s="278"/>
      <c r="H260" s="278"/>
      <c r="I260" s="278"/>
      <c r="J260" s="278"/>
      <c r="K260" s="278"/>
      <c r="L260" s="278"/>
      <c r="M260" s="278"/>
      <c r="N260" s="278"/>
      <c r="O260" s="278"/>
      <c r="P260" s="279"/>
    </row>
    <row r="261" spans="1:16" s="2" customFormat="1" ht="15" customHeight="1" x14ac:dyDescent="0.3">
      <c r="A261" s="250" t="s">
        <v>4</v>
      </c>
      <c r="B261" s="251"/>
      <c r="C261" s="5" t="s">
        <v>3</v>
      </c>
      <c r="D261" s="26">
        <f>Bangula!D261+Chikwawa!D261+'Miseu Folo'!D261+Nchalo!D261+Nsanje!D261+Ngabu!D261</f>
        <v>111</v>
      </c>
      <c r="E261" s="26">
        <f>Bangula!E261+Chikwawa!E261+'Miseu Folo'!E261+Nchalo!E261+Nsanje!E261+Ngabu!E261</f>
        <v>99</v>
      </c>
      <c r="F261" s="26">
        <f>Bangula!F261+Chikwawa!F261+'Miseu Folo'!F261+Nchalo!F261+Nsanje!F261+Ngabu!F261</f>
        <v>90</v>
      </c>
      <c r="G261" s="26">
        <f>Bangula!G261+Chikwawa!G261+'Miseu Folo'!G261+Nchalo!G261+Nsanje!G261+Ngabu!G261</f>
        <v>93</v>
      </c>
      <c r="H261" s="26">
        <f>Bangula!H261+Chikwawa!H261+'Miseu Folo'!H261+Nchalo!H261+Nsanje!H261+Ngabu!H261</f>
        <v>62</v>
      </c>
      <c r="I261" s="26">
        <f>Bangula!I261+Chikwawa!I261+'Miseu Folo'!I261+Nchalo!I261+Nsanje!I261+Ngabu!I261</f>
        <v>85</v>
      </c>
      <c r="J261" s="26">
        <f>Bangula!J261+Chikwawa!J261+'Miseu Folo'!J261+Nchalo!J261+Nsanje!J261+Ngabu!J261</f>
        <v>85</v>
      </c>
      <c r="K261" s="26">
        <f>Bangula!K261+Chikwawa!K261+'Miseu Folo'!K261+Nchalo!K261+Nsanje!K261+Ngabu!K261</f>
        <v>62</v>
      </c>
      <c r="L261" s="26">
        <f>Bangula!L261+Chikwawa!L261+'Miseu Folo'!L261+Nchalo!L261+Nsanje!L261+Ngabu!L261</f>
        <v>92</v>
      </c>
      <c r="M261" s="26">
        <f>Bangula!M261+Chikwawa!M261+'Miseu Folo'!M261+Nchalo!M261+Nsanje!M261+Ngabu!M261</f>
        <v>85</v>
      </c>
      <c r="N261" s="26">
        <f>Bangula!N261+Chikwawa!N261+'Miseu Folo'!N261+Nchalo!N261+Nsanje!N261+Ngabu!N261</f>
        <v>57</v>
      </c>
      <c r="O261" s="26">
        <f>Bangula!O261+Chikwawa!O261+'Miseu Folo'!O261+Nchalo!O261+Nsanje!O261+Ngabu!O261</f>
        <v>57</v>
      </c>
      <c r="P261" s="40">
        <f>SUM(D261:O261)</f>
        <v>978</v>
      </c>
    </row>
    <row r="262" spans="1:16" s="2" customFormat="1" ht="15.75" customHeight="1" x14ac:dyDescent="0.3">
      <c r="A262" s="250" t="s">
        <v>2</v>
      </c>
      <c r="B262" s="251"/>
      <c r="C262" s="5" t="s">
        <v>0</v>
      </c>
      <c r="D262" s="26">
        <f>Bangula!D262+Chikwawa!D262+'Miseu Folo'!D262+Nchalo!D262+Nsanje!D262+Ngabu!D262</f>
        <v>131</v>
      </c>
      <c r="E262" s="26">
        <f>Bangula!E262+Chikwawa!E262+'Miseu Folo'!E262+Nchalo!E262+Nsanje!E262+Ngabu!E262</f>
        <v>108</v>
      </c>
      <c r="F262" s="26">
        <f>Bangula!F262+Chikwawa!F262+'Miseu Folo'!F262+Nchalo!F262+Nsanje!F262+Ngabu!F262</f>
        <v>120</v>
      </c>
      <c r="G262" s="26">
        <f>Bangula!G262+Chikwawa!G262+'Miseu Folo'!G262+Nchalo!G262+Nsanje!G262+Ngabu!G262</f>
        <v>129</v>
      </c>
      <c r="H262" s="26">
        <f>Bangula!H262+Chikwawa!H262+'Miseu Folo'!H262+Nchalo!H262+Nsanje!H262+Ngabu!H262</f>
        <v>103</v>
      </c>
      <c r="I262" s="26">
        <f>Bangula!I262+Chikwawa!I262+'Miseu Folo'!I262+Nchalo!I262+Nsanje!I262+Ngabu!I262</f>
        <v>141</v>
      </c>
      <c r="J262" s="26">
        <f>Bangula!J262+Chikwawa!J262+'Miseu Folo'!J262+Nchalo!J262+Nsanje!J262+Ngabu!J262</f>
        <v>131</v>
      </c>
      <c r="K262" s="26">
        <f>Bangula!K262+Chikwawa!K262+'Miseu Folo'!K262+Nchalo!K262+Nsanje!K262+Ngabu!K262</f>
        <v>125</v>
      </c>
      <c r="L262" s="26">
        <f>Bangula!L262+Chikwawa!L262+'Miseu Folo'!L262+Nchalo!L262+Nsanje!L262+Ngabu!L262</f>
        <v>141</v>
      </c>
      <c r="M262" s="26">
        <f>Bangula!M262+Chikwawa!M262+'Miseu Folo'!M262+Nchalo!M262+Nsanje!M262+Ngabu!M262</f>
        <v>153</v>
      </c>
      <c r="N262" s="26">
        <f>Bangula!N262+Chikwawa!N262+'Miseu Folo'!N262+Nchalo!N262+Nsanje!N262+Ngabu!N262</f>
        <v>122</v>
      </c>
      <c r="O262" s="26">
        <f>Bangula!O262+Chikwawa!O262+'Miseu Folo'!O262+Nchalo!O262+Nsanje!O262+Ngabu!O262</f>
        <v>109</v>
      </c>
      <c r="P262" s="40">
        <f>SUM(D262:O262)</f>
        <v>1513</v>
      </c>
    </row>
    <row r="263" spans="1:16" ht="16.2" thickBot="1" x14ac:dyDescent="0.35">
      <c r="A263" s="295" t="s">
        <v>1</v>
      </c>
      <c r="B263" s="296"/>
      <c r="C263" s="116" t="s">
        <v>0</v>
      </c>
      <c r="D263" s="117">
        <f>D261/D262</f>
        <v>0.84732824427480913</v>
      </c>
      <c r="E263" s="117">
        <f>E261/E262</f>
        <v>0.91666666666666663</v>
      </c>
      <c r="F263" s="117">
        <f>F261/F262</f>
        <v>0.75</v>
      </c>
      <c r="G263" s="117">
        <f>G261/G262</f>
        <v>0.72093023255813948</v>
      </c>
      <c r="H263" s="117">
        <f>H261/H262</f>
        <v>0.60194174757281549</v>
      </c>
      <c r="I263" s="117">
        <f t="shared" ref="I263:P263" si="109">I261/I262</f>
        <v>0.6028368794326241</v>
      </c>
      <c r="J263" s="117">
        <f t="shared" si="109"/>
        <v>0.64885496183206104</v>
      </c>
      <c r="K263" s="117">
        <f t="shared" si="109"/>
        <v>0.496</v>
      </c>
      <c r="L263" s="117">
        <f t="shared" si="109"/>
        <v>0.65248226950354615</v>
      </c>
      <c r="M263" s="117">
        <f t="shared" si="109"/>
        <v>0.55555555555555558</v>
      </c>
      <c r="N263" s="117">
        <f t="shared" si="109"/>
        <v>0.46721311475409838</v>
      </c>
      <c r="O263" s="117">
        <f t="shared" si="109"/>
        <v>0.52293577981651373</v>
      </c>
      <c r="P263" s="198">
        <f t="shared" si="109"/>
        <v>0.64639788499669526</v>
      </c>
    </row>
  </sheetData>
  <mergeCells count="1">
    <mergeCell ref="B29:B3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J263"/>
  <sheetViews>
    <sheetView zoomScaleNormal="100" workbookViewId="0">
      <pane xSplit="3" ySplit="8" topLeftCell="D252" activePane="bottomRight" state="frozen"/>
      <selection pane="topRight" activeCell="D1" sqref="D1"/>
      <selection pane="bottomLeft" activeCell="A9" sqref="A9"/>
      <selection pane="bottomRight" activeCell="D54" sqref="D54"/>
    </sheetView>
  </sheetViews>
  <sheetFormatPr defaultRowHeight="14.4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9" width="19.109375" customWidth="1"/>
    <col min="10" max="10" width="20.109375" bestFit="1" customWidth="1"/>
  </cols>
  <sheetData>
    <row r="1" spans="1:10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21"/>
    </row>
    <row r="2" spans="1:10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3"/>
    </row>
    <row r="3" spans="1:10" ht="18" thickBot="1" x14ac:dyDescent="0.35">
      <c r="A3" s="213" t="s">
        <v>217</v>
      </c>
      <c r="B3" s="214"/>
      <c r="C3" s="214"/>
      <c r="D3" s="214"/>
      <c r="E3" s="214"/>
      <c r="F3" s="214"/>
      <c r="G3" s="214"/>
      <c r="H3" s="214"/>
      <c r="I3" s="316"/>
      <c r="J3" s="215"/>
    </row>
    <row r="4" spans="1:10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124"/>
      <c r="I4" s="124"/>
      <c r="J4" s="125"/>
    </row>
    <row r="5" spans="1:10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126"/>
    </row>
    <row r="6" spans="1:10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9"/>
    </row>
    <row r="7" spans="1:10" ht="16.2" thickBot="1" x14ac:dyDescent="0.35">
      <c r="A7" s="235" t="s">
        <v>174</v>
      </c>
      <c r="B7" s="236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60" t="s">
        <v>223</v>
      </c>
      <c r="I7" s="565" t="s">
        <v>224</v>
      </c>
      <c r="J7" s="59" t="s">
        <v>160</v>
      </c>
    </row>
    <row r="8" spans="1:10" ht="15" thickBot="1" x14ac:dyDescent="0.35">
      <c r="A8" s="297" t="s">
        <v>159</v>
      </c>
      <c r="B8" s="298"/>
      <c r="C8" s="298"/>
      <c r="D8" s="298"/>
      <c r="E8" s="298"/>
      <c r="F8" s="298"/>
      <c r="G8" s="298"/>
      <c r="H8" s="298"/>
      <c r="I8" s="298"/>
      <c r="J8" s="299"/>
    </row>
    <row r="9" spans="1:10" ht="15.6" x14ac:dyDescent="0.3">
      <c r="A9" s="239" t="s">
        <v>176</v>
      </c>
      <c r="B9" s="240"/>
      <c r="C9" s="58" t="s">
        <v>152</v>
      </c>
      <c r="D9" s="57">
        <f>Bangula!D9+Bangula!E9+Bangula!F9</f>
        <v>35203</v>
      </c>
      <c r="E9" s="57">
        <f>Chikwawa!D9+Chikwawa!E9+Chikwawa!F9</f>
        <v>86703</v>
      </c>
      <c r="F9" s="57">
        <f>'Miseu Folo'!D9+'Miseu Folo'!E9+'Miseu Folo'!F9</f>
        <v>9507</v>
      </c>
      <c r="G9" s="57">
        <f>Nchalo!D9+Nchalo!E9+Nchalo!F9</f>
        <v>71651</v>
      </c>
      <c r="H9" s="57">
        <f>Nsanje!D9+Nsanje!E9+Nsanje!F9</f>
        <v>59952</v>
      </c>
      <c r="I9" s="566">
        <f>Ngabu!D9+Ngabu!E9+Ngabu!F9</f>
        <v>56667</v>
      </c>
      <c r="J9" s="150">
        <f>SUM(D9:I9)</f>
        <v>319683</v>
      </c>
    </row>
    <row r="10" spans="1:10" x14ac:dyDescent="0.3">
      <c r="A10" s="277" t="s">
        <v>177</v>
      </c>
      <c r="B10" s="278"/>
      <c r="C10" s="278"/>
      <c r="D10" s="300"/>
      <c r="E10" s="300"/>
      <c r="F10" s="300"/>
      <c r="G10" s="300"/>
      <c r="H10" s="300"/>
      <c r="I10" s="300"/>
      <c r="J10" s="279"/>
    </row>
    <row r="11" spans="1:10" ht="15.6" x14ac:dyDescent="0.3">
      <c r="A11" s="237" t="s">
        <v>157</v>
      </c>
      <c r="B11" s="238"/>
      <c r="C11" s="11" t="s">
        <v>152</v>
      </c>
      <c r="D11" s="26">
        <f>Bangula!D11+Bangula!E11+Bangula!F11</f>
        <v>14750</v>
      </c>
      <c r="E11" s="26">
        <f>Chikwawa!D11+Chikwawa!E11+Chikwawa!F11</f>
        <v>50320</v>
      </c>
      <c r="F11" s="26">
        <f>'Miseu Folo'!D11+'Miseu Folo'!E11+'Miseu Folo'!F11</f>
        <v>1173</v>
      </c>
      <c r="G11" s="26">
        <f>Nchalo!D11+Nchalo!E11+Nchalo!F11</f>
        <v>38649</v>
      </c>
      <c r="H11" s="26">
        <f>Nsanje!D11+Nsanje!E11+Nsanje!F11</f>
        <v>24747</v>
      </c>
      <c r="I11" s="128">
        <f>Ngabu!D11+Ngabu!E11+Ngabu!F11</f>
        <v>16748</v>
      </c>
      <c r="J11" s="55">
        <f>SUM(D11:I11)</f>
        <v>146387</v>
      </c>
    </row>
    <row r="12" spans="1:10" ht="15.6" x14ac:dyDescent="0.3">
      <c r="A12" s="237" t="s">
        <v>156</v>
      </c>
      <c r="B12" s="238"/>
      <c r="C12" s="11" t="s">
        <v>152</v>
      </c>
      <c r="D12" s="26">
        <f>Bangula!D12+Bangula!E12+Bangula!F12</f>
        <v>5600</v>
      </c>
      <c r="E12" s="26">
        <f>Chikwawa!D12+Chikwawa!E12+Chikwawa!F12</f>
        <v>2778</v>
      </c>
      <c r="F12" s="26">
        <f>'Miseu Folo'!D12+'Miseu Folo'!E12+'Miseu Folo'!F12</f>
        <v>0</v>
      </c>
      <c r="G12" s="26">
        <f>Nchalo!D12+Nchalo!E12+Nchalo!F12</f>
        <v>2040</v>
      </c>
      <c r="H12" s="26">
        <f>Nsanje!D12+Nsanje!E12+Nsanje!F12</f>
        <v>2259</v>
      </c>
      <c r="I12" s="128">
        <f>Ngabu!D12+Ngabu!E12+Ngabu!F12</f>
        <v>2857</v>
      </c>
      <c r="J12" s="55">
        <f>SUM(D12:I12)</f>
        <v>15534</v>
      </c>
    </row>
    <row r="13" spans="1:10" ht="15.6" x14ac:dyDescent="0.3">
      <c r="A13" s="237" t="s">
        <v>155</v>
      </c>
      <c r="B13" s="238"/>
      <c r="C13" s="11" t="s">
        <v>152</v>
      </c>
      <c r="D13" s="26">
        <f>Bangula!D13+Bangula!E13+Bangula!F13</f>
        <v>180</v>
      </c>
      <c r="E13" s="26">
        <f>Chikwawa!D13+Chikwawa!E13+Chikwawa!F13</f>
        <v>848</v>
      </c>
      <c r="F13" s="26">
        <f>'Miseu Folo'!D13+'Miseu Folo'!E13+'Miseu Folo'!F13</f>
        <v>5</v>
      </c>
      <c r="G13" s="26">
        <f>Nchalo!D13+Nchalo!E13+Nchalo!F13</f>
        <v>95</v>
      </c>
      <c r="H13" s="26">
        <f>Nsanje!D13+Nsanje!E13+Nsanje!F13</f>
        <v>329</v>
      </c>
      <c r="I13" s="128">
        <f>Ngabu!D13+Ngabu!E13+Ngabu!F13</f>
        <v>846</v>
      </c>
      <c r="J13" s="55">
        <f>SUM(D13:I13)</f>
        <v>2303</v>
      </c>
    </row>
    <row r="14" spans="1:10" ht="15.6" x14ac:dyDescent="0.3">
      <c r="A14" s="231" t="s">
        <v>154</v>
      </c>
      <c r="B14" s="232"/>
      <c r="C14" s="11" t="s">
        <v>152</v>
      </c>
      <c r="D14" s="26">
        <f>Bangula!D14+Bangula!E14+Bangula!F14</f>
        <v>25</v>
      </c>
      <c r="E14" s="26">
        <f>Chikwawa!D14+Chikwawa!E14+Chikwawa!F14</f>
        <v>247</v>
      </c>
      <c r="F14" s="26">
        <f>'Miseu Folo'!D14+'Miseu Folo'!E14+'Miseu Folo'!F14</f>
        <v>36</v>
      </c>
      <c r="G14" s="26">
        <f>Nchalo!D14+Nchalo!E14+Nchalo!F14</f>
        <v>650</v>
      </c>
      <c r="H14" s="26">
        <f>Nsanje!D14+Nsanje!E14+Nsanje!F14</f>
        <v>21</v>
      </c>
      <c r="I14" s="128">
        <f>Ngabu!D14+Ngabu!E14+Ngabu!F14</f>
        <v>75</v>
      </c>
      <c r="J14" s="55">
        <f>SUM(D14:I14)</f>
        <v>1054</v>
      </c>
    </row>
    <row r="15" spans="1:10" s="63" customFormat="1" ht="15.6" x14ac:dyDescent="0.3">
      <c r="A15" s="233" t="s">
        <v>158</v>
      </c>
      <c r="B15" s="234"/>
      <c r="C15" s="62" t="s">
        <v>152</v>
      </c>
      <c r="D15" s="34">
        <f t="shared" ref="D15:H15" si="0">SUM(D11:D14)</f>
        <v>20555</v>
      </c>
      <c r="E15" s="34">
        <f t="shared" si="0"/>
        <v>54193</v>
      </c>
      <c r="F15" s="34">
        <f t="shared" si="0"/>
        <v>1214</v>
      </c>
      <c r="G15" s="34">
        <f t="shared" si="0"/>
        <v>41434</v>
      </c>
      <c r="H15" s="34">
        <f t="shared" si="0"/>
        <v>27356</v>
      </c>
      <c r="I15" s="33">
        <f>SUM(I11:I14)</f>
        <v>20526</v>
      </c>
      <c r="J15" s="55">
        <f>SUM(J11:J14)</f>
        <v>165278</v>
      </c>
    </row>
    <row r="16" spans="1:10" s="2" customFormat="1" x14ac:dyDescent="0.3">
      <c r="A16" s="277" t="s">
        <v>178</v>
      </c>
      <c r="B16" s="278"/>
      <c r="C16" s="278"/>
      <c r="D16" s="278"/>
      <c r="E16" s="278"/>
      <c r="F16" s="278"/>
      <c r="G16" s="278"/>
      <c r="H16" s="278"/>
      <c r="I16" s="278"/>
      <c r="J16" s="279"/>
    </row>
    <row r="17" spans="1:10" s="2" customFormat="1" ht="15.6" x14ac:dyDescent="0.3">
      <c r="A17" s="237" t="s">
        <v>180</v>
      </c>
      <c r="B17" s="238"/>
      <c r="C17" s="11" t="s">
        <v>152</v>
      </c>
      <c r="D17" s="26">
        <f>Bangula!D17+Bangula!E17+Bangula!F17</f>
        <v>1796</v>
      </c>
      <c r="E17" s="26">
        <f>Chikwawa!D17+Chikwawa!E17+Chikwawa!F17</f>
        <v>2252</v>
      </c>
      <c r="F17" s="26">
        <f>'Miseu Folo'!D17+'Miseu Folo'!E17+'Miseu Folo'!F17</f>
        <v>0</v>
      </c>
      <c r="G17" s="26">
        <f>Nchalo!D17+Nchalo!E17+Nchalo!F17</f>
        <v>0</v>
      </c>
      <c r="H17" s="26">
        <f>Nsanje!D17+Nsanje!E17+Nsanje!F17</f>
        <v>4491</v>
      </c>
      <c r="I17" s="128">
        <f>Ngabu!D17+Ngabu!E17+Ngabu!F17</f>
        <v>0</v>
      </c>
      <c r="J17" s="55">
        <f>SUM(D17:I17)</f>
        <v>8539</v>
      </c>
    </row>
    <row r="18" spans="1:10" s="2" customFormat="1" ht="15.6" x14ac:dyDescent="0.3">
      <c r="A18" s="237" t="s">
        <v>181</v>
      </c>
      <c r="B18" s="238"/>
      <c r="C18" s="11" t="s">
        <v>152</v>
      </c>
      <c r="D18" s="26">
        <f>Bangula!D18+Bangula!E18+Bangula!F18</f>
        <v>0</v>
      </c>
      <c r="E18" s="26">
        <f>Chikwawa!D18+Chikwawa!E18+Chikwawa!F18</f>
        <v>0</v>
      </c>
      <c r="F18" s="26">
        <f>'Miseu Folo'!D18+'Miseu Folo'!E18+'Miseu Folo'!F18</f>
        <v>0</v>
      </c>
      <c r="G18" s="26">
        <f>Nchalo!D18+Nchalo!E18+Nchalo!F18</f>
        <v>0</v>
      </c>
      <c r="H18" s="26">
        <f>Nsanje!D18+Nsanje!E18+Nsanje!F18</f>
        <v>0</v>
      </c>
      <c r="I18" s="128">
        <f>Ngabu!D18+Ngabu!E18+Ngabu!F18</f>
        <v>0</v>
      </c>
      <c r="J18" s="55">
        <f>SUM(D18:H18)</f>
        <v>0</v>
      </c>
    </row>
    <row r="19" spans="1:10" s="2" customFormat="1" ht="15.6" x14ac:dyDescent="0.3">
      <c r="A19" s="237" t="s">
        <v>182</v>
      </c>
      <c r="B19" s="238"/>
      <c r="C19" s="11" t="s">
        <v>152</v>
      </c>
      <c r="D19" s="26">
        <f>Bangula!D19+Bangula!E19+Bangula!F19</f>
        <v>6408.9</v>
      </c>
      <c r="E19" s="26">
        <f>Chikwawa!D19+Chikwawa!E19+Chikwawa!F19</f>
        <v>17019</v>
      </c>
      <c r="F19" s="26">
        <f>'Miseu Folo'!D19+'Miseu Folo'!E19+'Miseu Folo'!F19</f>
        <v>6535.2</v>
      </c>
      <c r="G19" s="26">
        <f>Nchalo!D19+Nchalo!E19+Nchalo!F19</f>
        <v>7919.8</v>
      </c>
      <c r="H19" s="26">
        <f>Nsanje!D19+Nsanje!E19+Nsanje!F19</f>
        <v>12962</v>
      </c>
      <c r="I19" s="128">
        <f>Ngabu!D19+Ngabu!E19+Ngabu!F19</f>
        <v>9665</v>
      </c>
      <c r="J19" s="55">
        <f>SUM(D19:H19)</f>
        <v>50844.9</v>
      </c>
    </row>
    <row r="20" spans="1:10" s="2" customFormat="1" ht="15.6" x14ac:dyDescent="0.3">
      <c r="A20" s="231" t="s">
        <v>183</v>
      </c>
      <c r="B20" s="232"/>
      <c r="C20" s="11" t="s">
        <v>152</v>
      </c>
      <c r="D20" s="26">
        <f>Bangula!D20+Bangula!E20+Bangula!F20</f>
        <v>264</v>
      </c>
      <c r="E20" s="26">
        <f>Chikwawa!D20+Chikwawa!E20+Chikwawa!F20</f>
        <v>943</v>
      </c>
      <c r="F20" s="26">
        <f>'Miseu Folo'!D20+'Miseu Folo'!E20+'Miseu Folo'!F20</f>
        <v>0</v>
      </c>
      <c r="G20" s="26">
        <f>Nchalo!D20+Nchalo!E20+Nchalo!F20</f>
        <v>0</v>
      </c>
      <c r="H20" s="26">
        <f>Nsanje!D20+Nsanje!E20+Nsanje!F20</f>
        <v>529</v>
      </c>
      <c r="I20" s="128">
        <f>Ngabu!D20+Ngabu!E20+Ngabu!F20</f>
        <v>0</v>
      </c>
      <c r="J20" s="55">
        <f>SUM(D20:H20)</f>
        <v>1736</v>
      </c>
    </row>
    <row r="21" spans="1:10" s="73" customFormat="1" ht="15.6" x14ac:dyDescent="0.3">
      <c r="A21" s="233" t="s">
        <v>184</v>
      </c>
      <c r="B21" s="234"/>
      <c r="C21" s="62" t="s">
        <v>152</v>
      </c>
      <c r="D21" s="34">
        <f>SUM(D17:D20)</f>
        <v>8468.9</v>
      </c>
      <c r="E21" s="34">
        <f t="shared" ref="E21:J21" si="1">SUM(E17:E20)</f>
        <v>20214</v>
      </c>
      <c r="F21" s="34">
        <f t="shared" si="1"/>
        <v>6535.2</v>
      </c>
      <c r="G21" s="34">
        <f t="shared" si="1"/>
        <v>7919.8</v>
      </c>
      <c r="H21" s="34">
        <f t="shared" si="1"/>
        <v>17982</v>
      </c>
      <c r="I21" s="34">
        <f t="shared" si="1"/>
        <v>9665</v>
      </c>
      <c r="J21" s="55">
        <f t="shared" si="1"/>
        <v>61119.9</v>
      </c>
    </row>
    <row r="22" spans="1:10" s="2" customFormat="1" ht="15.6" x14ac:dyDescent="0.3">
      <c r="A22" s="230" t="s">
        <v>185</v>
      </c>
      <c r="B22" s="217"/>
      <c r="C22" s="11" t="s">
        <v>152</v>
      </c>
      <c r="D22" s="34">
        <f>D21+D15</f>
        <v>29023.9</v>
      </c>
      <c r="E22" s="34">
        <f t="shared" ref="E22:G22" si="2">E21+E15</f>
        <v>74407</v>
      </c>
      <c r="F22" s="34">
        <f t="shared" si="2"/>
        <v>7749.2</v>
      </c>
      <c r="G22" s="34">
        <f t="shared" si="2"/>
        <v>49353.8</v>
      </c>
      <c r="H22" s="34">
        <f>H21+H15</f>
        <v>45338</v>
      </c>
      <c r="I22" s="34">
        <f>I21+I15</f>
        <v>30191</v>
      </c>
      <c r="J22" s="34">
        <f>J21+J15</f>
        <v>226397.9</v>
      </c>
    </row>
    <row r="23" spans="1:10" x14ac:dyDescent="0.3">
      <c r="A23" s="277" t="s">
        <v>215</v>
      </c>
      <c r="B23" s="278"/>
      <c r="C23" s="278"/>
      <c r="D23" s="278"/>
      <c r="E23" s="278"/>
      <c r="F23" s="278"/>
      <c r="G23" s="278"/>
      <c r="H23" s="278"/>
      <c r="I23" s="278"/>
      <c r="J23" s="279"/>
    </row>
    <row r="24" spans="1:10" ht="15.6" x14ac:dyDescent="0.3">
      <c r="A24" s="223" t="s">
        <v>179</v>
      </c>
      <c r="B24" s="37" t="s">
        <v>153</v>
      </c>
      <c r="C24" s="5" t="s">
        <v>152</v>
      </c>
      <c r="D24" s="54">
        <f>D9-D22</f>
        <v>6179.0999999999985</v>
      </c>
      <c r="E24" s="54">
        <f t="shared" ref="E24:I24" si="3">E9-E22</f>
        <v>12296</v>
      </c>
      <c r="F24" s="54">
        <f t="shared" si="3"/>
        <v>1757.8000000000002</v>
      </c>
      <c r="G24" s="54">
        <f t="shared" si="3"/>
        <v>22297.199999999997</v>
      </c>
      <c r="H24" s="54">
        <f t="shared" si="3"/>
        <v>14614</v>
      </c>
      <c r="I24" s="54">
        <f t="shared" si="3"/>
        <v>26476</v>
      </c>
      <c r="J24" s="160">
        <f>J9-J22</f>
        <v>93285.1</v>
      </c>
    </row>
    <row r="25" spans="1:10" ht="15.6" x14ac:dyDescent="0.3">
      <c r="A25" s="225"/>
      <c r="B25" s="53" t="s">
        <v>151</v>
      </c>
      <c r="C25" s="52" t="s">
        <v>6</v>
      </c>
      <c r="D25" s="51">
        <f t="shared" ref="D25:J25" si="4">D24/D9</f>
        <v>0.17552765389313407</v>
      </c>
      <c r="E25" s="51">
        <f t="shared" si="4"/>
        <v>0.14181746883037497</v>
      </c>
      <c r="F25" s="51">
        <f t="shared" si="4"/>
        <v>0.18489534027558643</v>
      </c>
      <c r="G25" s="51">
        <f t="shared" si="4"/>
        <v>0.31119174889394424</v>
      </c>
      <c r="H25" s="51">
        <f t="shared" si="4"/>
        <v>0.24376167600747264</v>
      </c>
      <c r="I25" s="51">
        <f t="shared" si="4"/>
        <v>0.4672207810542291</v>
      </c>
      <c r="J25" s="151">
        <f t="shared" si="4"/>
        <v>0.29180500683489585</v>
      </c>
    </row>
    <row r="26" spans="1:10" x14ac:dyDescent="0.3">
      <c r="A26" s="277" t="s">
        <v>150</v>
      </c>
      <c r="B26" s="278"/>
      <c r="C26" s="278"/>
      <c r="D26" s="278"/>
      <c r="E26" s="278"/>
      <c r="F26" s="278"/>
      <c r="G26" s="278"/>
      <c r="H26" s="278"/>
      <c r="I26" s="278"/>
      <c r="J26" s="279"/>
    </row>
    <row r="27" spans="1:10" x14ac:dyDescent="0.3">
      <c r="A27" s="220" t="s">
        <v>149</v>
      </c>
      <c r="B27" s="221"/>
      <c r="C27" s="221"/>
      <c r="D27" s="221"/>
      <c r="E27" s="221"/>
      <c r="F27" s="221"/>
      <c r="G27" s="221"/>
      <c r="H27" s="221"/>
      <c r="I27" s="564"/>
      <c r="J27" s="222"/>
    </row>
    <row r="28" spans="1:10" ht="15.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8"/>
      <c r="J28" s="46"/>
    </row>
    <row r="29" spans="1:10" ht="15.6" x14ac:dyDescent="0.3">
      <c r="A29" s="245" t="s">
        <v>146</v>
      </c>
      <c r="B29" s="585">
        <v>3525.29</v>
      </c>
      <c r="C29" s="5" t="s">
        <v>140</v>
      </c>
      <c r="D29" s="26">
        <f>Bangula!D29+Bangula!E29+Bangula!F29</f>
        <v>40</v>
      </c>
      <c r="E29" s="26">
        <f>Chikwawa!D29+Chikwawa!E29+Chikwawa!F29</f>
        <v>90</v>
      </c>
      <c r="F29" s="26">
        <f>'Miseu Folo'!D29+'Miseu Folo'!E29+'Miseu Folo'!F29</f>
        <v>20.5</v>
      </c>
      <c r="G29" s="26">
        <f>Nchalo!D29+Nchalo!E29+Nchalo!F29</f>
        <v>53</v>
      </c>
      <c r="H29" s="26">
        <f>Nsanje!D29+Nsanje!E29+Nsanje!F29</f>
        <v>30</v>
      </c>
      <c r="I29" s="128">
        <f>Ngabu!D29+Ngabu!E29+Ngabu!F29</f>
        <v>58</v>
      </c>
      <c r="J29" s="45">
        <f>SUM(D29:I29)</f>
        <v>291.5</v>
      </c>
    </row>
    <row r="30" spans="1:10" ht="15.6" x14ac:dyDescent="0.3">
      <c r="A30" s="246"/>
      <c r="B30" s="586"/>
      <c r="C30" s="42" t="s">
        <v>139</v>
      </c>
      <c r="D30" s="15">
        <f t="shared" ref="D30:J30" si="5">D29/(D9/1000)</f>
        <v>1.1362667954435701</v>
      </c>
      <c r="E30" s="15">
        <f t="shared" si="5"/>
        <v>1.0380263658696931</v>
      </c>
      <c r="F30" s="15">
        <f t="shared" si="5"/>
        <v>2.1563058798779848</v>
      </c>
      <c r="G30" s="15">
        <f t="shared" si="5"/>
        <v>0.73969658483482437</v>
      </c>
      <c r="H30" s="15">
        <f t="shared" si="5"/>
        <v>0.50040032025620496</v>
      </c>
      <c r="I30" s="15">
        <f t="shared" si="5"/>
        <v>1.0235233910388761</v>
      </c>
      <c r="J30" s="103">
        <f t="shared" si="5"/>
        <v>0.91184079228485726</v>
      </c>
    </row>
    <row r="31" spans="1:10" ht="15.6" x14ac:dyDescent="0.3">
      <c r="A31" s="241" t="s">
        <v>145</v>
      </c>
      <c r="B31" s="243"/>
      <c r="C31" s="5" t="s">
        <v>140</v>
      </c>
      <c r="D31" s="26">
        <f>Bangula!D31+Bangula!E31+Bangula!F31</f>
        <v>0</v>
      </c>
      <c r="E31" s="26">
        <f>Chikwawa!D31+Chikwawa!E31+Chikwawa!F31</f>
        <v>0</v>
      </c>
      <c r="F31" s="26">
        <f>'Miseu Folo'!D31+'Miseu Folo'!E31+'Miseu Folo'!F31</f>
        <v>0</v>
      </c>
      <c r="G31" s="26">
        <f>Nchalo!D31+Nchalo!E31+Nchalo!F31</f>
        <v>0</v>
      </c>
      <c r="H31" s="26">
        <f>Nsanje!D31+Nsanje!E31+Nsanje!F31</f>
        <v>0</v>
      </c>
      <c r="I31" s="128">
        <f>Ngabu!D31+Ngabu!E31+Ngabu!F31</f>
        <v>0</v>
      </c>
      <c r="J31" s="45">
        <f>SUM(D31:I31)</f>
        <v>0</v>
      </c>
    </row>
    <row r="32" spans="1:10" ht="15.6" x14ac:dyDescent="0.3">
      <c r="A32" s="242"/>
      <c r="B32" s="244">
        <v>1060.01</v>
      </c>
      <c r="C32" s="42" t="s">
        <v>139</v>
      </c>
      <c r="D32" s="15">
        <f t="shared" ref="D32:J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28">
        <f>Ngabu!D32+Ngabu!E32+Ngabu!F32</f>
        <v>0</v>
      </c>
      <c r="J32" s="103">
        <f t="shared" si="6"/>
        <v>0</v>
      </c>
    </row>
    <row r="33" spans="1:10" ht="15.6" x14ac:dyDescent="0.3">
      <c r="A33" s="241" t="s">
        <v>144</v>
      </c>
      <c r="B33" s="243"/>
      <c r="C33" s="5" t="s">
        <v>140</v>
      </c>
      <c r="D33" s="26">
        <f>Bangula!D33+Bangula!E33+Bangula!F33</f>
        <v>0</v>
      </c>
      <c r="E33" s="26">
        <f>Chikwawa!D33+Chikwawa!E33+Chikwawa!F33</f>
        <v>0</v>
      </c>
      <c r="F33" s="26">
        <f>'Miseu Folo'!D33+'Miseu Folo'!E33+'Miseu Folo'!F33</f>
        <v>0</v>
      </c>
      <c r="G33" s="26">
        <f>Nchalo!D33+Nchalo!E33+Nchalo!F33</f>
        <v>0</v>
      </c>
      <c r="H33" s="26">
        <f>Nsanje!D33+Nsanje!E33+Nsanje!F33</f>
        <v>0</v>
      </c>
      <c r="I33" s="128">
        <f>Ngabu!D33+Ngabu!E33+Ngabu!F33</f>
        <v>0</v>
      </c>
      <c r="J33" s="45">
        <f>SUM(D33:I33)</f>
        <v>0</v>
      </c>
    </row>
    <row r="34" spans="1:10" ht="15.6" x14ac:dyDescent="0.3">
      <c r="A34" s="242"/>
      <c r="B34" s="244">
        <v>1228.29</v>
      </c>
      <c r="C34" s="42" t="s">
        <v>139</v>
      </c>
      <c r="D34" s="15">
        <f t="shared" ref="D34:J38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28">
        <f>Ngabu!D34+Ngabu!E34+Ngabu!F34</f>
        <v>0</v>
      </c>
      <c r="J34" s="103">
        <f t="shared" si="7"/>
        <v>0</v>
      </c>
    </row>
    <row r="35" spans="1:10" ht="15.6" x14ac:dyDescent="0.3">
      <c r="A35" s="241" t="s">
        <v>143</v>
      </c>
      <c r="B35" s="243"/>
      <c r="C35" s="5" t="s">
        <v>126</v>
      </c>
      <c r="D35" s="26">
        <f>Bangula!D35+Bangula!E35+Bangula!F35</f>
        <v>0</v>
      </c>
      <c r="E35" s="26">
        <f>Chikwawa!D35+Chikwawa!E35+Chikwawa!F35</f>
        <v>0</v>
      </c>
      <c r="F35" s="26">
        <f>'Miseu Folo'!D35+'Miseu Folo'!E35+'Miseu Folo'!F35</f>
        <v>0</v>
      </c>
      <c r="G35" s="26">
        <f>Nchalo!D35+Nchalo!E35+Nchalo!F35</f>
        <v>0</v>
      </c>
      <c r="H35" s="26">
        <f>Nsanje!D35+Nsanje!E35+Nsanje!F35</f>
        <v>0</v>
      </c>
      <c r="I35" s="128">
        <f>Ngabu!D35+Ngabu!E35+Ngabu!F35</f>
        <v>0</v>
      </c>
      <c r="J35" s="45">
        <f>SUM(D35:I35)</f>
        <v>0</v>
      </c>
    </row>
    <row r="36" spans="1:10" ht="15.6" x14ac:dyDescent="0.3">
      <c r="A36" s="242"/>
      <c r="B36" s="244">
        <v>3726.73</v>
      </c>
      <c r="C36" s="5" t="s">
        <v>142</v>
      </c>
      <c r="D36" s="15">
        <f t="shared" si="7"/>
        <v>0</v>
      </c>
      <c r="E36" s="15">
        <f t="shared" si="7"/>
        <v>0</v>
      </c>
      <c r="F36" s="15">
        <f t="shared" si="7"/>
        <v>0</v>
      </c>
      <c r="G36" s="15">
        <f t="shared" si="7"/>
        <v>0</v>
      </c>
      <c r="H36" s="15">
        <f t="shared" si="7"/>
        <v>0</v>
      </c>
      <c r="I36" s="128">
        <f>Ngabu!D36+Ngabu!E36+Ngabu!F36</f>
        <v>0</v>
      </c>
      <c r="J36" s="40">
        <f t="shared" si="7"/>
        <v>0</v>
      </c>
    </row>
    <row r="37" spans="1:10" ht="15.6" x14ac:dyDescent="0.3">
      <c r="A37" s="241" t="s">
        <v>186</v>
      </c>
      <c r="B37" s="243"/>
      <c r="C37" s="5" t="s">
        <v>126</v>
      </c>
      <c r="D37" s="26">
        <f>Bangula!D37+Bangula!E37+Bangula!F37</f>
        <v>0</v>
      </c>
      <c r="E37" s="26">
        <f>Chikwawa!D37+Chikwawa!E37+Chikwawa!F37</f>
        <v>0</v>
      </c>
      <c r="F37" s="26">
        <f>'Miseu Folo'!D37+'Miseu Folo'!E37+'Miseu Folo'!F37</f>
        <v>0</v>
      </c>
      <c r="G37" s="26">
        <f>Nchalo!D37+Nchalo!E37+Nchalo!F37</f>
        <v>0</v>
      </c>
      <c r="H37" s="26">
        <f>Nsanje!D37+Nsanje!E37+Nsanje!F37</f>
        <v>0</v>
      </c>
      <c r="I37" s="128">
        <f>Ngabu!D37+Ngabu!E37+Ngabu!F37</f>
        <v>0</v>
      </c>
      <c r="J37" s="45">
        <f>SUM(D37:I37)</f>
        <v>0</v>
      </c>
    </row>
    <row r="38" spans="1:10" ht="15.6" x14ac:dyDescent="0.3">
      <c r="A38" s="242"/>
      <c r="B38" s="244">
        <v>3951.59</v>
      </c>
      <c r="C38" s="5" t="s">
        <v>142</v>
      </c>
      <c r="D38" s="15">
        <f t="shared" si="7"/>
        <v>0</v>
      </c>
      <c r="E38" s="15">
        <f t="shared" si="7"/>
        <v>0</v>
      </c>
      <c r="F38" s="15">
        <f t="shared" si="7"/>
        <v>0</v>
      </c>
      <c r="G38" s="15">
        <f t="shared" si="7"/>
        <v>0</v>
      </c>
      <c r="H38" s="15">
        <f t="shared" si="7"/>
        <v>0</v>
      </c>
      <c r="I38" s="128">
        <f>Ngabu!D38+Ngabu!E38+Ngabu!F38</f>
        <v>0</v>
      </c>
      <c r="J38" s="103">
        <f t="shared" si="7"/>
        <v>0</v>
      </c>
    </row>
    <row r="39" spans="1:10" ht="15.6" x14ac:dyDescent="0.3">
      <c r="A39" s="241" t="s">
        <v>141</v>
      </c>
      <c r="B39" s="243"/>
      <c r="C39" s="5" t="s">
        <v>140</v>
      </c>
      <c r="D39" s="26">
        <f>Bangula!D39+Bangula!E39+Bangula!F39</f>
        <v>0</v>
      </c>
      <c r="E39" s="26">
        <f>Chikwawa!D39+Chikwawa!E39+Chikwawa!F39</f>
        <v>0</v>
      </c>
      <c r="F39" s="26">
        <f>'Miseu Folo'!D39+'Miseu Folo'!E39+'Miseu Folo'!F39</f>
        <v>0</v>
      </c>
      <c r="G39" s="26">
        <f>Nchalo!D39+Nchalo!E39+Nchalo!F39</f>
        <v>0</v>
      </c>
      <c r="H39" s="26">
        <f>Nsanje!D39+Nsanje!E39+Nsanje!F39</f>
        <v>0</v>
      </c>
      <c r="I39" s="128">
        <f>Ngabu!D39+Ngabu!E39+Ngabu!F39</f>
        <v>0</v>
      </c>
      <c r="J39" s="45">
        <f>SUM(D39:I39)</f>
        <v>0</v>
      </c>
    </row>
    <row r="40" spans="1:10" ht="15.6" x14ac:dyDescent="0.3">
      <c r="A40" s="242"/>
      <c r="B40" s="244">
        <v>1950</v>
      </c>
      <c r="C40" s="42" t="s">
        <v>139</v>
      </c>
      <c r="D40" s="15">
        <f t="shared" ref="D40:J40" si="8">D39/(D9/1000)</f>
        <v>0</v>
      </c>
      <c r="E40" s="15">
        <f t="shared" si="8"/>
        <v>0</v>
      </c>
      <c r="F40" s="15">
        <f t="shared" si="8"/>
        <v>0</v>
      </c>
      <c r="G40" s="15">
        <f t="shared" si="8"/>
        <v>0</v>
      </c>
      <c r="H40" s="15">
        <f t="shared" si="8"/>
        <v>0</v>
      </c>
      <c r="I40" s="128">
        <f>Ngabu!D40+Ngabu!E40+Ngabu!F40</f>
        <v>0</v>
      </c>
      <c r="J40" s="103">
        <f t="shared" si="8"/>
        <v>0</v>
      </c>
    </row>
    <row r="41" spans="1:10" ht="15.6" x14ac:dyDescent="0.3">
      <c r="A41" s="231" t="s">
        <v>138</v>
      </c>
      <c r="B41" s="232"/>
      <c r="C41" s="11" t="s">
        <v>31</v>
      </c>
      <c r="D41" s="41">
        <f>(D29*$B29)+(D31*$B31)+(D33*$B33)+(D35*$B35)+(D37*$B37)+(D39*$B39)</f>
        <v>141011.6</v>
      </c>
      <c r="E41" s="41">
        <f t="shared" ref="E41:I41" si="9">(E29*$B29)+(E31*$B31)+(E33*$B33)+(E35*$B35)+(E37*$B37)+(E39*$B39)</f>
        <v>317276.09999999998</v>
      </c>
      <c r="F41" s="41">
        <f t="shared" si="9"/>
        <v>72268.444999999992</v>
      </c>
      <c r="G41" s="41">
        <f t="shared" si="9"/>
        <v>186840.37</v>
      </c>
      <c r="H41" s="41">
        <f t="shared" si="9"/>
        <v>105758.7</v>
      </c>
      <c r="I41" s="41">
        <f t="shared" si="9"/>
        <v>204466.82</v>
      </c>
      <c r="J41" s="39">
        <f>SUM(D41:I41)</f>
        <v>1027622.0349999999</v>
      </c>
    </row>
    <row r="42" spans="1:10" ht="15.6" x14ac:dyDescent="0.3">
      <c r="A42" s="252" t="s">
        <v>137</v>
      </c>
      <c r="B42" s="253"/>
      <c r="C42" s="42" t="s">
        <v>115</v>
      </c>
      <c r="D42" s="15">
        <f t="shared" ref="D42:J42" si="10">D41/D9</f>
        <v>4.0056699713092634</v>
      </c>
      <c r="E42" s="15">
        <f t="shared" si="10"/>
        <v>3.65934396733677</v>
      </c>
      <c r="F42" s="15">
        <f t="shared" si="10"/>
        <v>7.6016035552750596</v>
      </c>
      <c r="G42" s="15">
        <f t="shared" si="10"/>
        <v>2.6076449735523579</v>
      </c>
      <c r="H42" s="15">
        <f t="shared" si="10"/>
        <v>1.7640562449959967</v>
      </c>
      <c r="I42" s="15">
        <f t="shared" si="10"/>
        <v>3.6082167751954399</v>
      </c>
      <c r="J42" s="44">
        <f t="shared" si="10"/>
        <v>3.2145032266338838</v>
      </c>
    </row>
    <row r="43" spans="1:10" x14ac:dyDescent="0.3">
      <c r="A43" s="247" t="s">
        <v>136</v>
      </c>
      <c r="B43" s="248"/>
      <c r="C43" s="248"/>
      <c r="D43" s="248"/>
      <c r="E43" s="248"/>
      <c r="F43" s="248"/>
      <c r="G43" s="248"/>
      <c r="H43" s="248"/>
      <c r="I43" s="248"/>
      <c r="J43" s="249"/>
    </row>
    <row r="44" spans="1:10" ht="15.6" x14ac:dyDescent="0.3">
      <c r="A44" s="231" t="s">
        <v>135</v>
      </c>
      <c r="B44" s="232"/>
      <c r="C44" s="11" t="s">
        <v>134</v>
      </c>
      <c r="D44" s="26">
        <f>Bangula!D44+Bangula!E44+Bangula!F44</f>
        <v>8933.77</v>
      </c>
      <c r="E44" s="26">
        <f>Chikwawa!D44+Chikwawa!E44+Chikwawa!F44</f>
        <v>52682</v>
      </c>
      <c r="F44" s="26">
        <f>'Miseu Folo'!D44+'Miseu Folo'!E44+'Miseu Folo'!F44</f>
        <v>2495</v>
      </c>
      <c r="G44" s="26">
        <f>Nchalo!D44+Nchalo!E44+Nchalo!F44</f>
        <v>21612</v>
      </c>
      <c r="H44" s="26">
        <f>Nsanje!D44+Nsanje!E44+Nsanje!F44</f>
        <v>50009</v>
      </c>
      <c r="I44" s="128">
        <f>Ngabu!D44+Ngabu!E44+Ngabu!F44</f>
        <v>31140.989999999998</v>
      </c>
      <c r="J44" s="39">
        <f>SUM(D44:I44)</f>
        <v>166872.76</v>
      </c>
    </row>
    <row r="45" spans="1:10" ht="15.6" x14ac:dyDescent="0.3">
      <c r="A45" s="252" t="s">
        <v>133</v>
      </c>
      <c r="B45" s="253"/>
      <c r="C45" s="42" t="s">
        <v>132</v>
      </c>
      <c r="D45" s="15">
        <f t="shared" ref="D45:J45" si="11">D44/D9</f>
        <v>0.25377865522824761</v>
      </c>
      <c r="E45" s="15">
        <f t="shared" si="11"/>
        <v>0.60761450007496853</v>
      </c>
      <c r="F45" s="15">
        <f t="shared" si="11"/>
        <v>0.26243820342905227</v>
      </c>
      <c r="G45" s="15">
        <f t="shared" si="11"/>
        <v>0.30162872814057029</v>
      </c>
      <c r="H45" s="15">
        <f t="shared" si="11"/>
        <v>0.83415065385641851</v>
      </c>
      <c r="I45" s="15">
        <f t="shared" si="11"/>
        <v>0.54954364974323677</v>
      </c>
      <c r="J45" s="103">
        <f t="shared" si="11"/>
        <v>0.52199447577756719</v>
      </c>
    </row>
    <row r="46" spans="1:10" ht="15.6" x14ac:dyDescent="0.3">
      <c r="A46" s="250" t="s">
        <v>131</v>
      </c>
      <c r="B46" s="251"/>
      <c r="C46" s="5" t="s">
        <v>31</v>
      </c>
      <c r="D46" s="26">
        <f>Bangula!D46+Bangula!E46+Bangula!F46</f>
        <v>1349892.6469999999</v>
      </c>
      <c r="E46" s="26">
        <f>Chikwawa!D46+Chikwawa!E46+Chikwawa!F46</f>
        <v>7960250.1999999993</v>
      </c>
      <c r="F46" s="26">
        <f>'Miseu Folo'!D46+'Miseu Folo'!E46+'Miseu Folo'!F46</f>
        <v>376994.5</v>
      </c>
      <c r="G46" s="26">
        <f>Nchalo!D46+Nchalo!E46+Nchalo!F46</f>
        <v>3265573.1999999997</v>
      </c>
      <c r="H46" s="26">
        <f>Nsanje!D46+Nsanje!E46+Nsanje!F46</f>
        <v>7556359.8999999994</v>
      </c>
      <c r="I46" s="128">
        <f>Ngabu!D46+Ngabu!E46+Ngabu!F46</f>
        <v>4705403.5889999997</v>
      </c>
      <c r="J46" s="39">
        <f>SUM(D46:I46)</f>
        <v>25214474.035999998</v>
      </c>
    </row>
    <row r="47" spans="1:10" s="2" customFormat="1" ht="15.6" x14ac:dyDescent="0.3">
      <c r="A47" s="231" t="s">
        <v>130</v>
      </c>
      <c r="B47" s="232"/>
      <c r="C47" s="11" t="s">
        <v>115</v>
      </c>
      <c r="D47" s="15">
        <f t="shared" ref="D47:J47" si="12">D46/D9</f>
        <v>38.34595480498821</v>
      </c>
      <c r="E47" s="15">
        <f t="shared" si="12"/>
        <v>91.810550961327749</v>
      </c>
      <c r="F47" s="15">
        <f t="shared" si="12"/>
        <v>39.654412538129797</v>
      </c>
      <c r="G47" s="15">
        <f t="shared" si="12"/>
        <v>45.576100822040161</v>
      </c>
      <c r="H47" s="15">
        <f t="shared" si="12"/>
        <v>126.04016379770482</v>
      </c>
      <c r="I47" s="15">
        <f t="shared" si="12"/>
        <v>83.036045476203071</v>
      </c>
      <c r="J47" s="103">
        <f t="shared" si="12"/>
        <v>78.873365289990389</v>
      </c>
    </row>
    <row r="48" spans="1:10" x14ac:dyDescent="0.3">
      <c r="A48" s="247" t="s">
        <v>129</v>
      </c>
      <c r="B48" s="248"/>
      <c r="C48" s="248"/>
      <c r="D48" s="248"/>
      <c r="E48" s="248"/>
      <c r="F48" s="248"/>
      <c r="G48" s="248"/>
      <c r="H48" s="248"/>
      <c r="I48" s="248"/>
      <c r="J48" s="249"/>
    </row>
    <row r="49" spans="1:10" ht="15.6" x14ac:dyDescent="0.3">
      <c r="A49" s="231" t="s">
        <v>128</v>
      </c>
      <c r="B49" s="232"/>
      <c r="C49" s="5" t="s">
        <v>127</v>
      </c>
      <c r="D49" s="26">
        <f>Bangula!D49+Bangula!E49+Bangula!F49</f>
        <v>1020</v>
      </c>
      <c r="E49" s="26">
        <f>Chikwawa!D49+Chikwawa!E49+Chikwawa!F49</f>
        <v>1855</v>
      </c>
      <c r="F49" s="26">
        <f>'Miseu Folo'!D49+'Miseu Folo'!E49+'Miseu Folo'!F49</f>
        <v>655</v>
      </c>
      <c r="G49" s="26">
        <f>Nchalo!D49+Nchalo!E49+Nchalo!F49</f>
        <v>0</v>
      </c>
      <c r="H49" s="26">
        <f>Nsanje!D49+Nsanje!E49+Nsanje!F49</f>
        <v>3883</v>
      </c>
      <c r="I49" s="128">
        <f>Ngabu!D49+Ngabu!E49+Ngabu!F49</f>
        <v>6128</v>
      </c>
      <c r="J49" s="39">
        <f>SUM(D49:I49)</f>
        <v>13541</v>
      </c>
    </row>
    <row r="50" spans="1:10" ht="15.6" x14ac:dyDescent="0.3">
      <c r="A50" s="231" t="s">
        <v>187</v>
      </c>
      <c r="B50" s="232"/>
      <c r="C50" s="5" t="s">
        <v>126</v>
      </c>
      <c r="D50" s="26">
        <f>Bangula!D50+Bangula!E50+Bangula!F50</f>
        <v>32</v>
      </c>
      <c r="E50" s="26">
        <f>Chikwawa!D50+Chikwawa!E50+Chikwawa!F50</f>
        <v>258</v>
      </c>
      <c r="F50" s="26">
        <f>'Miseu Folo'!D50+'Miseu Folo'!E50+'Miseu Folo'!F50</f>
        <v>50</v>
      </c>
      <c r="G50" s="26">
        <f>Nchalo!D50+Nchalo!E50+Nchalo!F50</f>
        <v>0</v>
      </c>
      <c r="H50" s="26">
        <f>Nsanje!D50+Nsanje!E50+Nsanje!F50</f>
        <v>445</v>
      </c>
      <c r="I50" s="128">
        <f>Ngabu!D50+Ngabu!E50+Ngabu!F50</f>
        <v>750</v>
      </c>
      <c r="J50" s="39">
        <f>SUM(D50:I50)</f>
        <v>1535</v>
      </c>
    </row>
    <row r="51" spans="1:10" ht="15.6" x14ac:dyDescent="0.3">
      <c r="A51" s="250" t="s">
        <v>125</v>
      </c>
      <c r="B51" s="251"/>
      <c r="C51" s="5" t="s">
        <v>31</v>
      </c>
      <c r="D51" s="26">
        <f>Bangula!D51+Bangula!E51+Bangula!F51</f>
        <v>47040</v>
      </c>
      <c r="E51" s="26">
        <f>Chikwawa!D51+Chikwawa!E51+Chikwawa!F51</f>
        <v>495360</v>
      </c>
      <c r="F51" s="26">
        <f>'Miseu Folo'!D51+'Miseu Folo'!E51+'Miseu Folo'!F51</f>
        <v>96000</v>
      </c>
      <c r="G51" s="26">
        <f>Nchalo!D51+Nchalo!E51+Nchalo!F51</f>
        <v>0</v>
      </c>
      <c r="H51" s="26">
        <f>Nsanje!D51+Nsanje!E51+Nsanje!F51</f>
        <v>854400</v>
      </c>
      <c r="I51" s="128">
        <f>Ngabu!D51+Ngabu!E51+Ngabu!F51</f>
        <v>1440000</v>
      </c>
      <c r="J51" s="40">
        <f>SUM(D51:I51)</f>
        <v>2932800</v>
      </c>
    </row>
    <row r="52" spans="1:10" ht="15.6" x14ac:dyDescent="0.3">
      <c r="A52" s="231" t="s">
        <v>124</v>
      </c>
      <c r="B52" s="232"/>
      <c r="C52" s="5" t="s">
        <v>31</v>
      </c>
      <c r="D52" s="26">
        <f>Bangula!D52+Bangula!E52+Bangula!F52</f>
        <v>115000</v>
      </c>
      <c r="E52" s="26">
        <f>Chikwawa!D52+Chikwawa!E52+Chikwawa!F52</f>
        <v>0</v>
      </c>
      <c r="F52" s="26">
        <f>'Miseu Folo'!D52+'Miseu Folo'!E52+'Miseu Folo'!F52</f>
        <v>0</v>
      </c>
      <c r="G52" s="26">
        <f>Nchalo!D52+Nchalo!E52+Nchalo!F52</f>
        <v>0</v>
      </c>
      <c r="H52" s="26">
        <f>Nsanje!D52+Nsanje!E52+Nsanje!F52</f>
        <v>0</v>
      </c>
      <c r="I52" s="128">
        <f>Ngabu!D52+Ngabu!E52+Ngabu!F52</f>
        <v>0</v>
      </c>
      <c r="J52" s="40">
        <f>SUM(D52:I52)</f>
        <v>115000</v>
      </c>
    </row>
    <row r="53" spans="1:10" x14ac:dyDescent="0.3">
      <c r="A53" s="247" t="s">
        <v>123</v>
      </c>
      <c r="B53" s="248"/>
      <c r="C53" s="248"/>
      <c r="D53" s="248"/>
      <c r="E53" s="248"/>
      <c r="F53" s="248"/>
      <c r="G53" s="248"/>
      <c r="H53" s="248"/>
      <c r="I53" s="248"/>
      <c r="J53" s="249"/>
    </row>
    <row r="54" spans="1:10" ht="15.6" x14ac:dyDescent="0.3">
      <c r="A54" s="231" t="s">
        <v>122</v>
      </c>
      <c r="B54" s="232"/>
      <c r="C54" s="11" t="s">
        <v>18</v>
      </c>
      <c r="D54" s="26">
        <f>Bangula!D54+Bangula!E54+Bangula!F54</f>
        <v>2510009.2379999999</v>
      </c>
      <c r="E54" s="26">
        <f>Chikwawa!D54+Chikwawa!E54+Chikwawa!F54</f>
        <v>0</v>
      </c>
      <c r="F54" s="26">
        <f>'Miseu Folo'!D54+'Miseu Folo'!E54+'Miseu Folo'!F54</f>
        <v>4314458.4120000005</v>
      </c>
      <c r="G54" s="26">
        <f>Nchalo!D54+Nchalo!E54+Nchalo!F54</f>
        <v>4568856.2039999999</v>
      </c>
      <c r="H54" s="26">
        <f>Nsanje!D54+Nsanje!E54+Nsanje!F54</f>
        <v>11834021.82</v>
      </c>
      <c r="I54" s="128">
        <f>Ngabu!D54+Ngabu!E54+Ngabu!F54</f>
        <v>4997427.2039999999</v>
      </c>
      <c r="J54" s="39">
        <f>SUM(D54:I54)</f>
        <v>28224772.878000002</v>
      </c>
    </row>
    <row r="55" spans="1:10" ht="15.6" x14ac:dyDescent="0.3">
      <c r="A55" s="216" t="s">
        <v>121</v>
      </c>
      <c r="B55" s="217"/>
      <c r="C55" s="11" t="s">
        <v>18</v>
      </c>
      <c r="D55" s="26">
        <f>Bangula!D55+Bangula!E55+Bangula!F55</f>
        <v>496425.39</v>
      </c>
      <c r="E55" s="26">
        <f>Chikwawa!D55+Chikwawa!E55+Chikwawa!F55</f>
        <v>0</v>
      </c>
      <c r="F55" s="26">
        <f>'Miseu Folo'!D55+'Miseu Folo'!E55+'Miseu Folo'!F55</f>
        <v>0</v>
      </c>
      <c r="G55" s="26">
        <f>Nchalo!D55+Nchalo!E55+Nchalo!F55</f>
        <v>522116.39999999997</v>
      </c>
      <c r="H55" s="26">
        <f>Nsanje!D55+Nsanje!E55+Nsanje!F55</f>
        <v>2072286.27</v>
      </c>
      <c r="I55" s="128">
        <f>Ngabu!D55+Ngabu!E55+Ngabu!F55</f>
        <v>723463.2</v>
      </c>
      <c r="J55" s="39">
        <f>SUM(D55:I55)</f>
        <v>3814291.26</v>
      </c>
    </row>
    <row r="56" spans="1:10" ht="15.6" x14ac:dyDescent="0.3">
      <c r="A56" s="231" t="s">
        <v>120</v>
      </c>
      <c r="B56" s="232"/>
      <c r="C56" s="5" t="s">
        <v>18</v>
      </c>
      <c r="D56" s="26">
        <f>Bangula!D56+Bangula!E56+Bangula!F56</f>
        <v>0</v>
      </c>
      <c r="E56" s="26">
        <f>Chikwawa!D56+Chikwawa!E56+Chikwawa!F56</f>
        <v>0</v>
      </c>
      <c r="F56" s="26">
        <f>'Miseu Folo'!D56+'Miseu Folo'!E56+'Miseu Folo'!F56</f>
        <v>0</v>
      </c>
      <c r="G56" s="26">
        <f>Nchalo!D56+Nchalo!E56+Nchalo!F56</f>
        <v>0</v>
      </c>
      <c r="H56" s="26">
        <f>Nsanje!D56+Nsanje!E56+Nsanje!F56</f>
        <v>0</v>
      </c>
      <c r="I56" s="128">
        <f>Ngabu!D56+Ngabu!E56+Ngabu!F56</f>
        <v>0</v>
      </c>
      <c r="J56" s="39">
        <f>SUM(D56:I56)</f>
        <v>0</v>
      </c>
    </row>
    <row r="57" spans="1:10" x14ac:dyDescent="0.3">
      <c r="A57" s="247" t="s">
        <v>119</v>
      </c>
      <c r="B57" s="248"/>
      <c r="C57" s="248"/>
      <c r="D57" s="248"/>
      <c r="E57" s="248"/>
      <c r="F57" s="248"/>
      <c r="G57" s="248"/>
      <c r="H57" s="248"/>
      <c r="I57" s="248"/>
      <c r="J57" s="249"/>
    </row>
    <row r="58" spans="1:10" ht="15.6" x14ac:dyDescent="0.3">
      <c r="A58" s="250" t="s">
        <v>118</v>
      </c>
      <c r="B58" s="251"/>
      <c r="C58" s="5" t="s">
        <v>18</v>
      </c>
      <c r="D58" s="13">
        <f>D41+D46+D51+D52+D54+D55+D56</f>
        <v>4659378.875</v>
      </c>
      <c r="E58" s="13">
        <f t="shared" ref="E58:I58" si="13">E41+E46+E51+E52+E54+E55+E56</f>
        <v>8772886.2999999989</v>
      </c>
      <c r="F58" s="13">
        <f t="shared" si="13"/>
        <v>4859721.3570000008</v>
      </c>
      <c r="G58" s="13">
        <f t="shared" si="13"/>
        <v>8543386.1740000006</v>
      </c>
      <c r="H58" s="13">
        <f t="shared" si="13"/>
        <v>22422826.690000001</v>
      </c>
      <c r="I58" s="13">
        <f t="shared" si="13"/>
        <v>12070760.812999999</v>
      </c>
      <c r="J58" s="64">
        <f>SUM(D58:I58)</f>
        <v>61328960.208999999</v>
      </c>
    </row>
    <row r="59" spans="1:10" ht="15.6" x14ac:dyDescent="0.3">
      <c r="A59" s="250" t="s">
        <v>117</v>
      </c>
      <c r="B59" s="251"/>
      <c r="C59" s="5" t="s">
        <v>115</v>
      </c>
      <c r="D59" s="15">
        <f t="shared" ref="D59:J59" si="14">D58/D9</f>
        <v>132.35743757634293</v>
      </c>
      <c r="E59" s="15">
        <f t="shared" si="14"/>
        <v>101.18319204641129</v>
      </c>
      <c r="F59" s="15">
        <f t="shared" si="14"/>
        <v>511.17296276427902</v>
      </c>
      <c r="G59" s="15">
        <f t="shared" si="14"/>
        <v>119.23610520439352</v>
      </c>
      <c r="H59" s="15">
        <f t="shared" si="14"/>
        <v>374.0129885575127</v>
      </c>
      <c r="I59" s="15">
        <f t="shared" si="14"/>
        <v>213.01217309898175</v>
      </c>
      <c r="J59" s="103">
        <f t="shared" si="14"/>
        <v>191.84304516974629</v>
      </c>
    </row>
    <row r="60" spans="1:10" ht="15.6" x14ac:dyDescent="0.3">
      <c r="A60" s="250" t="s">
        <v>116</v>
      </c>
      <c r="B60" s="251"/>
      <c r="C60" s="5" t="s">
        <v>115</v>
      </c>
      <c r="D60" s="15">
        <f>D58/D22</f>
        <v>160.53593331702493</v>
      </c>
      <c r="E60" s="15">
        <f t="shared" ref="E60:I60" si="15">E58/E22</f>
        <v>117.9040453183168</v>
      </c>
      <c r="F60" s="15">
        <f t="shared" si="15"/>
        <v>627.12555579930847</v>
      </c>
      <c r="G60" s="15">
        <f t="shared" si="15"/>
        <v>173.10493161620786</v>
      </c>
      <c r="H60" s="15">
        <f t="shared" si="15"/>
        <v>494.57026534033264</v>
      </c>
      <c r="I60" s="15">
        <f t="shared" si="15"/>
        <v>399.81321628962269</v>
      </c>
      <c r="J60" s="104">
        <f>J58/J22</f>
        <v>270.89014610559548</v>
      </c>
    </row>
    <row r="61" spans="1:10" ht="15.6" x14ac:dyDescent="0.3">
      <c r="A61" s="231" t="s">
        <v>114</v>
      </c>
      <c r="B61" s="232"/>
      <c r="C61" s="5" t="s">
        <v>3</v>
      </c>
      <c r="D61" s="26">
        <f>Bangula!F61</f>
        <v>2</v>
      </c>
      <c r="E61" s="26">
        <f>Chikwawa!F61</f>
        <v>8</v>
      </c>
      <c r="F61" s="26">
        <f>'Miseu Folo'!F61</f>
        <v>8</v>
      </c>
      <c r="G61" s="26">
        <f>Nchalo!F61</f>
        <v>6</v>
      </c>
      <c r="H61" s="26">
        <f>Nsanje!F61</f>
        <v>8</v>
      </c>
      <c r="I61" s="26">
        <f>Ngabu!G61</f>
        <v>7</v>
      </c>
      <c r="J61" s="9">
        <f>I61</f>
        <v>7</v>
      </c>
    </row>
    <row r="62" spans="1:10" ht="15.6" customHeight="1" x14ac:dyDescent="0.3">
      <c r="A62" s="250" t="s">
        <v>113</v>
      </c>
      <c r="B62" s="251"/>
      <c r="C62" s="5" t="s">
        <v>112</v>
      </c>
      <c r="D62" s="15">
        <f t="shared" ref="D62:J62" si="16">(D61*1000*31)/D9</f>
        <v>1.7612135329375338</v>
      </c>
      <c r="E62" s="15">
        <f t="shared" si="16"/>
        <v>2.8603393192853765</v>
      </c>
      <c r="F62" s="15">
        <f t="shared" si="16"/>
        <v>26.086041863889765</v>
      </c>
      <c r="G62" s="15">
        <f t="shared" si="16"/>
        <v>2.5959163165901384</v>
      </c>
      <c r="H62" s="15">
        <f t="shared" si="16"/>
        <v>4.1366426474512945</v>
      </c>
      <c r="I62" s="15">
        <f t="shared" si="16"/>
        <v>3.8293892388868302</v>
      </c>
      <c r="J62" s="103">
        <f t="shared" si="16"/>
        <v>0.6787974337077668</v>
      </c>
    </row>
    <row r="63" spans="1:10" ht="15.6" x14ac:dyDescent="0.3">
      <c r="A63" s="254" t="s">
        <v>111</v>
      </c>
      <c r="B63" s="255"/>
      <c r="C63" s="38" t="s">
        <v>3</v>
      </c>
      <c r="D63" s="26">
        <f>Bangula!F63</f>
        <v>4</v>
      </c>
      <c r="E63" s="26">
        <f>Chikwawa!F63</f>
        <v>6</v>
      </c>
      <c r="F63" s="26">
        <f>'Miseu Folo'!F63</f>
        <v>0</v>
      </c>
      <c r="G63" s="26">
        <f>Nchalo!F63</f>
        <v>6</v>
      </c>
      <c r="H63" s="26">
        <f>Nsanje!F63</f>
        <v>6</v>
      </c>
      <c r="I63" s="567">
        <f>Ngabu!F63</f>
        <v>6</v>
      </c>
      <c r="J63" s="9">
        <f>SUM(D63:I63)</f>
        <v>28</v>
      </c>
    </row>
    <row r="64" spans="1:10" x14ac:dyDescent="0.3">
      <c r="A64" s="256"/>
      <c r="B64" s="257"/>
      <c r="C64" s="257"/>
      <c r="D64" s="257"/>
      <c r="E64" s="257"/>
      <c r="F64" s="257"/>
      <c r="G64" s="257"/>
      <c r="H64" s="257"/>
      <c r="I64" s="257"/>
      <c r="J64" s="258"/>
    </row>
    <row r="65" spans="1:10" ht="14.4" customHeight="1" x14ac:dyDescent="0.3">
      <c r="A65" s="247" t="s">
        <v>110</v>
      </c>
      <c r="B65" s="248"/>
      <c r="C65" s="248"/>
      <c r="D65" s="248"/>
      <c r="E65" s="248"/>
      <c r="F65" s="248"/>
      <c r="G65" s="248"/>
      <c r="H65" s="248"/>
      <c r="I65" s="248"/>
      <c r="J65" s="249"/>
    </row>
    <row r="66" spans="1:10" ht="15.6" x14ac:dyDescent="0.3">
      <c r="A66" s="223" t="s">
        <v>109</v>
      </c>
      <c r="B66" s="37" t="s">
        <v>85</v>
      </c>
      <c r="C66" s="5" t="s">
        <v>3</v>
      </c>
      <c r="D66" s="26">
        <f>Bangula!D66</f>
        <v>45</v>
      </c>
      <c r="E66" s="26">
        <f>Chikwawa!D66</f>
        <v>376</v>
      </c>
      <c r="F66" s="26">
        <f>'Miseu Folo'!D66</f>
        <v>4</v>
      </c>
      <c r="G66" s="26">
        <f>Nchalo!D66</f>
        <v>54</v>
      </c>
      <c r="H66" s="26">
        <f>Nsanje!D66</f>
        <v>166</v>
      </c>
      <c r="I66" s="26">
        <f>Ngabu!D66</f>
        <v>134</v>
      </c>
      <c r="J66" s="572">
        <f>SUM(D66:I66)</f>
        <v>779</v>
      </c>
    </row>
    <row r="67" spans="1:10" ht="15.6" x14ac:dyDescent="0.3">
      <c r="A67" s="224"/>
      <c r="B67" s="24" t="s">
        <v>104</v>
      </c>
      <c r="C67" s="5" t="s">
        <v>3</v>
      </c>
      <c r="D67" s="26">
        <f>Bangula!D67+Bangula!E67+Bangula!F67</f>
        <v>8</v>
      </c>
      <c r="E67" s="26">
        <f>Chikwawa!D67+Chikwawa!E67+Chikwawa!F67</f>
        <v>32</v>
      </c>
      <c r="F67" s="26">
        <f>'Miseu Folo'!D67+'Miseu Folo'!E67+'Miseu Folo'!F67</f>
        <v>71</v>
      </c>
      <c r="G67" s="26">
        <f>Nchalo!D67+Nchalo!E67+Nchalo!F67</f>
        <v>34</v>
      </c>
      <c r="H67" s="26">
        <f>Nsanje!D67+Nsanje!E67+Nsanje!F67</f>
        <v>40</v>
      </c>
      <c r="I67" s="26">
        <f>Ngabu!D67+Ngabu!E67+Ngabu!F67</f>
        <v>17</v>
      </c>
      <c r="J67" s="572">
        <f>SUM(D67:I67)</f>
        <v>202</v>
      </c>
    </row>
    <row r="68" spans="1:10" ht="27" x14ac:dyDescent="0.3">
      <c r="A68" s="224"/>
      <c r="B68" s="24" t="s">
        <v>103</v>
      </c>
      <c r="C68" s="5" t="s">
        <v>3</v>
      </c>
      <c r="D68" s="26">
        <f>Bangula!D68+Bangula!E68+Bangula!F68</f>
        <v>3</v>
      </c>
      <c r="E68" s="26">
        <f>Chikwawa!D68+Chikwawa!E68+Chikwawa!F68</f>
        <v>83</v>
      </c>
      <c r="F68" s="26">
        <f>'Miseu Folo'!D68+'Miseu Folo'!E68+'Miseu Folo'!F68</f>
        <v>22</v>
      </c>
      <c r="G68" s="26">
        <f>Nchalo!D68+Nchalo!E68+Nchalo!F68</f>
        <v>56</v>
      </c>
      <c r="H68" s="26">
        <f>Nsanje!D68+Nsanje!E68+Nsanje!F68</f>
        <v>46</v>
      </c>
      <c r="I68" s="26">
        <f>Ngabu!D68+Ngabu!E68+Ngabu!F68</f>
        <v>27</v>
      </c>
      <c r="J68" s="572">
        <f>SUM(D68:I68)</f>
        <v>237</v>
      </c>
    </row>
    <row r="69" spans="1:10" s="2" customFormat="1" ht="27" x14ac:dyDescent="0.3">
      <c r="A69" s="224"/>
      <c r="B69" s="24" t="s">
        <v>102</v>
      </c>
      <c r="C69" s="11" t="s">
        <v>3</v>
      </c>
      <c r="D69" s="26">
        <f>Bangula!D69+Bangula!E69+Bangula!F69</f>
        <v>0</v>
      </c>
      <c r="E69" s="26">
        <f>Chikwawa!D69+Chikwawa!E69+Chikwawa!F69</f>
        <v>0</v>
      </c>
      <c r="F69" s="26">
        <f>'Miseu Folo'!D69+'Miseu Folo'!E69+'Miseu Folo'!F69</f>
        <v>0</v>
      </c>
      <c r="G69" s="26">
        <f>Nchalo!D69+Nchalo!E69+Nchalo!F69</f>
        <v>0</v>
      </c>
      <c r="H69" s="26">
        <f>Nsanje!D69+Nsanje!E69+Nsanje!F69</f>
        <v>0</v>
      </c>
      <c r="I69" s="26">
        <f>Ngabu!D69+Ngabu!E69+Ngabu!F69</f>
        <v>0</v>
      </c>
      <c r="J69" s="573">
        <f>SUM(D69:I69)</f>
        <v>0</v>
      </c>
    </row>
    <row r="70" spans="1:10" s="2" customFormat="1" ht="15.6" x14ac:dyDescent="0.3">
      <c r="A70" s="224"/>
      <c r="B70" s="24" t="s">
        <v>188</v>
      </c>
      <c r="C70" s="11" t="s">
        <v>3</v>
      </c>
      <c r="D70" s="4">
        <f>D68+D69</f>
        <v>3</v>
      </c>
      <c r="E70" s="4">
        <f t="shared" ref="E70:J70" si="17">E68+E69</f>
        <v>83</v>
      </c>
      <c r="F70" s="4">
        <f t="shared" si="17"/>
        <v>22</v>
      </c>
      <c r="G70" s="4">
        <f t="shared" si="17"/>
        <v>56</v>
      </c>
      <c r="H70" s="4">
        <f t="shared" si="17"/>
        <v>46</v>
      </c>
      <c r="I70" s="4">
        <f t="shared" si="17"/>
        <v>27</v>
      </c>
      <c r="J70" s="146">
        <f t="shared" si="17"/>
        <v>237</v>
      </c>
    </row>
    <row r="71" spans="1:10" ht="15.6" x14ac:dyDescent="0.3">
      <c r="A71" s="225"/>
      <c r="B71" s="37" t="s">
        <v>81</v>
      </c>
      <c r="C71" s="5" t="s">
        <v>3</v>
      </c>
      <c r="D71" s="26">
        <f>D66+D67-D70</f>
        <v>50</v>
      </c>
      <c r="E71" s="26">
        <f t="shared" ref="E71:I71" si="18">E66+E67-E70</f>
        <v>325</v>
      </c>
      <c r="F71" s="26">
        <f t="shared" si="18"/>
        <v>53</v>
      </c>
      <c r="G71" s="26">
        <f t="shared" si="18"/>
        <v>32</v>
      </c>
      <c r="H71" s="26">
        <f t="shared" si="18"/>
        <v>160</v>
      </c>
      <c r="I71" s="26">
        <f t="shared" si="18"/>
        <v>124</v>
      </c>
      <c r="J71" s="55">
        <f>J66+J67-J70</f>
        <v>744</v>
      </c>
    </row>
    <row r="72" spans="1:10" ht="15.6" x14ac:dyDescent="0.3">
      <c r="A72" s="223" t="s">
        <v>108</v>
      </c>
      <c r="B72" s="37" t="s">
        <v>85</v>
      </c>
      <c r="C72" s="5" t="s">
        <v>3</v>
      </c>
      <c r="D72" s="26">
        <f>Bangula!D72</f>
        <v>0</v>
      </c>
      <c r="E72" s="26">
        <f>Chikwawa!D72</f>
        <v>0</v>
      </c>
      <c r="F72" s="26">
        <f>'Miseu Folo'!D72</f>
        <v>0</v>
      </c>
      <c r="G72" s="26">
        <f>Nchalo!D72</f>
        <v>0</v>
      </c>
      <c r="H72" s="26">
        <f>Nsanje!D72</f>
        <v>0</v>
      </c>
      <c r="I72" s="128">
        <f>Ngabu!D72</f>
        <v>0</v>
      </c>
      <c r="J72" s="572">
        <f>SUM(D72:I72)</f>
        <v>0</v>
      </c>
    </row>
    <row r="73" spans="1:10" ht="15.6" x14ac:dyDescent="0.3">
      <c r="A73" s="224"/>
      <c r="B73" s="24" t="s">
        <v>104</v>
      </c>
      <c r="C73" s="5" t="s">
        <v>3</v>
      </c>
      <c r="D73" s="26">
        <f>Bangula!D73+Bangula!E73+Bangula!F73</f>
        <v>0</v>
      </c>
      <c r="E73" s="26">
        <f>Chikwawa!D73+Chikwawa!E73+Chikwawa!F73</f>
        <v>1</v>
      </c>
      <c r="F73" s="26">
        <f>'Miseu Folo'!D73+'Miseu Folo'!E73+'Miseu Folo'!F73</f>
        <v>0</v>
      </c>
      <c r="G73" s="26">
        <f>Nchalo!D73+Nchalo!E73+Nchalo!F73</f>
        <v>0</v>
      </c>
      <c r="H73" s="26">
        <f>Nsanje!D73+Nsanje!E73+Nsanje!F73</f>
        <v>0</v>
      </c>
      <c r="I73" s="128">
        <f>Ngabu!D73+Ngabu!E73+Ngabu!F73</f>
        <v>0</v>
      </c>
      <c r="J73" s="572">
        <f>SUM(D73:I73)</f>
        <v>1</v>
      </c>
    </row>
    <row r="74" spans="1:10" ht="27" x14ac:dyDescent="0.3">
      <c r="A74" s="224"/>
      <c r="B74" s="24" t="s">
        <v>103</v>
      </c>
      <c r="C74" s="5" t="s">
        <v>3</v>
      </c>
      <c r="D74" s="26">
        <f>Bangula!D74+Bangula!E74+Bangula!F74</f>
        <v>0</v>
      </c>
      <c r="E74" s="26">
        <f>Chikwawa!D74+Chikwawa!E74+Chikwawa!F74</f>
        <v>1</v>
      </c>
      <c r="F74" s="26">
        <f>'Miseu Folo'!D74+'Miseu Folo'!E74+'Miseu Folo'!F74</f>
        <v>0</v>
      </c>
      <c r="G74" s="26">
        <f>Nchalo!D74+Nchalo!E74+Nchalo!F74</f>
        <v>0</v>
      </c>
      <c r="H74" s="26">
        <f>Nsanje!D74+Nsanje!E74+Nsanje!F74</f>
        <v>0</v>
      </c>
      <c r="I74" s="128">
        <f>Ngabu!D74+Ngabu!E74+Ngabu!F74</f>
        <v>0</v>
      </c>
      <c r="J74" s="572">
        <f>SUM(D74:I74)</f>
        <v>1</v>
      </c>
    </row>
    <row r="75" spans="1:10" s="2" customFormat="1" ht="27" x14ac:dyDescent="0.3">
      <c r="A75" s="224"/>
      <c r="B75" s="24" t="s">
        <v>102</v>
      </c>
      <c r="C75" s="11" t="s">
        <v>3</v>
      </c>
      <c r="D75" s="26">
        <f>Bangula!D75+Bangula!E75+Bangula!F75</f>
        <v>0</v>
      </c>
      <c r="E75" s="26">
        <f>Chikwawa!D75+Chikwawa!E75+Chikwawa!F75</f>
        <v>0</v>
      </c>
      <c r="F75" s="26">
        <f>'Miseu Folo'!D75+'Miseu Folo'!E75+'Miseu Folo'!F75</f>
        <v>0</v>
      </c>
      <c r="G75" s="26">
        <f>Nchalo!D75+Nchalo!E75+Nchalo!F75</f>
        <v>0</v>
      </c>
      <c r="H75" s="26">
        <f>Nsanje!D75+Nsanje!E75+Nsanje!F75</f>
        <v>0</v>
      </c>
      <c r="I75" s="128">
        <f>Ngabu!D75+Ngabu!E75+Ngabu!F75</f>
        <v>0</v>
      </c>
      <c r="J75" s="572">
        <f>SUM(D75:I75)</f>
        <v>0</v>
      </c>
    </row>
    <row r="76" spans="1:10" s="2" customFormat="1" ht="15.6" x14ac:dyDescent="0.3">
      <c r="A76" s="224"/>
      <c r="B76" s="24" t="s">
        <v>188</v>
      </c>
      <c r="C76" s="11" t="s">
        <v>3</v>
      </c>
      <c r="D76" s="4">
        <f>D74+D75</f>
        <v>0</v>
      </c>
      <c r="E76" s="4">
        <f t="shared" ref="E76:J76" si="19">E74+E75</f>
        <v>1</v>
      </c>
      <c r="F76" s="4">
        <f t="shared" si="19"/>
        <v>0</v>
      </c>
      <c r="G76" s="4">
        <f t="shared" si="19"/>
        <v>0</v>
      </c>
      <c r="H76" s="4">
        <f t="shared" si="19"/>
        <v>0</v>
      </c>
      <c r="I76" s="4">
        <f t="shared" si="19"/>
        <v>0</v>
      </c>
      <c r="J76" s="146">
        <f t="shared" si="19"/>
        <v>1</v>
      </c>
    </row>
    <row r="77" spans="1:10" ht="15.6" x14ac:dyDescent="0.3">
      <c r="A77" s="225"/>
      <c r="B77" s="37" t="s">
        <v>81</v>
      </c>
      <c r="C77" s="5" t="s">
        <v>3</v>
      </c>
      <c r="D77" s="26">
        <f>D73+D74-D76</f>
        <v>0</v>
      </c>
      <c r="E77" s="26">
        <f t="shared" ref="E77:J77" si="20">E73+E74-E76</f>
        <v>1</v>
      </c>
      <c r="F77" s="26">
        <f t="shared" si="20"/>
        <v>0</v>
      </c>
      <c r="G77" s="26">
        <f t="shared" si="20"/>
        <v>0</v>
      </c>
      <c r="H77" s="26">
        <f t="shared" si="20"/>
        <v>0</v>
      </c>
      <c r="I77" s="26">
        <f t="shared" si="20"/>
        <v>0</v>
      </c>
      <c r="J77" s="147">
        <f t="shared" si="20"/>
        <v>1</v>
      </c>
    </row>
    <row r="78" spans="1:10" ht="15.6" customHeight="1" x14ac:dyDescent="0.3">
      <c r="A78" s="223" t="s">
        <v>107</v>
      </c>
      <c r="B78" s="37" t="s">
        <v>85</v>
      </c>
      <c r="C78" s="5" t="s">
        <v>3</v>
      </c>
      <c r="D78" s="26">
        <f>Bangula!D78</f>
        <v>0</v>
      </c>
      <c r="E78" s="26">
        <f>Chikwawa!D78</f>
        <v>0</v>
      </c>
      <c r="F78" s="26">
        <f>'Miseu Folo'!D78</f>
        <v>0</v>
      </c>
      <c r="G78" s="26">
        <f>Nchalo!D78</f>
        <v>0</v>
      </c>
      <c r="H78" s="26">
        <f>Nsanje!D78</f>
        <v>0</v>
      </c>
      <c r="I78" s="128">
        <f>Ngabu!D78</f>
        <v>0</v>
      </c>
      <c r="J78" s="572">
        <f>SUM(D78:I78)</f>
        <v>0</v>
      </c>
    </row>
    <row r="79" spans="1:10" ht="15.6" x14ac:dyDescent="0.3">
      <c r="A79" s="224"/>
      <c r="B79" s="24" t="s">
        <v>104</v>
      </c>
      <c r="C79" s="5" t="s">
        <v>3</v>
      </c>
      <c r="D79" s="26">
        <f>Bangula!D79+Bangula!E79+Bangula!F79</f>
        <v>1</v>
      </c>
      <c r="E79" s="26">
        <f>Chikwawa!D79+Chikwawa!E79+Chikwawa!F79</f>
        <v>0</v>
      </c>
      <c r="F79" s="26">
        <f>'Miseu Folo'!D79+'Miseu Folo'!E79+'Miseu Folo'!F79</f>
        <v>0</v>
      </c>
      <c r="G79" s="26">
        <f>Nchalo!D79+Nchalo!E79+Nchalo!F79</f>
        <v>1</v>
      </c>
      <c r="H79" s="26">
        <f>Nsanje!D79+Nsanje!E79+Nsanje!F79</f>
        <v>0</v>
      </c>
      <c r="I79" s="128">
        <f>Ngabu!D79+Ngabu!E79+Ngabu!F79</f>
        <v>0</v>
      </c>
      <c r="J79" s="572">
        <f>SUM(D79:I79)</f>
        <v>2</v>
      </c>
    </row>
    <row r="80" spans="1:10" ht="27" x14ac:dyDescent="0.3">
      <c r="A80" s="224"/>
      <c r="B80" s="24" t="s">
        <v>103</v>
      </c>
      <c r="C80" s="5" t="s">
        <v>3</v>
      </c>
      <c r="D80" s="26">
        <f>Bangula!D80+Bangula!E80+Bangula!F80</f>
        <v>0</v>
      </c>
      <c r="E80" s="26">
        <f>Chikwawa!D80+Chikwawa!E80+Chikwawa!F80</f>
        <v>0</v>
      </c>
      <c r="F80" s="26">
        <f>'Miseu Folo'!D80+'Miseu Folo'!E80+'Miseu Folo'!F80</f>
        <v>0</v>
      </c>
      <c r="G80" s="26">
        <f>Nchalo!D80+Nchalo!E80+Nchalo!F80</f>
        <v>1</v>
      </c>
      <c r="H80" s="26">
        <f>Nsanje!D80+Nsanje!E80+Nsanje!F80</f>
        <v>0</v>
      </c>
      <c r="I80" s="128">
        <f>Ngabu!D80+Ngabu!E80+Ngabu!F80</f>
        <v>0</v>
      </c>
      <c r="J80" s="572">
        <f>SUM(D80:I80)</f>
        <v>1</v>
      </c>
    </row>
    <row r="81" spans="1:10" s="2" customFormat="1" ht="27" x14ac:dyDescent="0.3">
      <c r="A81" s="224"/>
      <c r="B81" s="24" t="s">
        <v>102</v>
      </c>
      <c r="C81" s="11" t="s">
        <v>3</v>
      </c>
      <c r="D81" s="26">
        <f>Bangula!D81+Bangula!E81+Bangula!F81</f>
        <v>0</v>
      </c>
      <c r="E81" s="26">
        <f>Chikwawa!D81+Chikwawa!E81+Chikwawa!F81</f>
        <v>0</v>
      </c>
      <c r="F81" s="26">
        <f>'Miseu Folo'!D81+'Miseu Folo'!E81+'Miseu Folo'!F81</f>
        <v>0</v>
      </c>
      <c r="G81" s="26">
        <f>Nchalo!D81+Nchalo!E81+Nchalo!F81</f>
        <v>0</v>
      </c>
      <c r="H81" s="26">
        <f>Nsanje!D81+Nsanje!E81+Nsanje!F81</f>
        <v>0</v>
      </c>
      <c r="I81" s="128">
        <f>Ngabu!D81+Ngabu!E81+Ngabu!F81</f>
        <v>0</v>
      </c>
      <c r="J81" s="573">
        <f>SUM(D81:I81)</f>
        <v>0</v>
      </c>
    </row>
    <row r="82" spans="1:10" s="2" customFormat="1" ht="15.6" x14ac:dyDescent="0.3">
      <c r="A82" s="224"/>
      <c r="B82" s="24" t="s">
        <v>188</v>
      </c>
      <c r="C82" s="11" t="s">
        <v>3</v>
      </c>
      <c r="D82" s="4">
        <f>D81+D80</f>
        <v>0</v>
      </c>
      <c r="E82" s="4">
        <f t="shared" ref="E82:J82" si="21">E81+E80</f>
        <v>0</v>
      </c>
      <c r="F82" s="4">
        <f t="shared" si="21"/>
        <v>0</v>
      </c>
      <c r="G82" s="4">
        <f t="shared" si="21"/>
        <v>1</v>
      </c>
      <c r="H82" s="4">
        <f t="shared" si="21"/>
        <v>0</v>
      </c>
      <c r="I82" s="4">
        <f t="shared" si="21"/>
        <v>0</v>
      </c>
      <c r="J82" s="146">
        <f t="shared" si="21"/>
        <v>1</v>
      </c>
    </row>
    <row r="83" spans="1:10" ht="15.6" x14ac:dyDescent="0.3">
      <c r="A83" s="225"/>
      <c r="B83" s="37" t="s">
        <v>81</v>
      </c>
      <c r="C83" s="5" t="s">
        <v>3</v>
      </c>
      <c r="D83" s="26">
        <f>D78+D79-D82</f>
        <v>1</v>
      </c>
      <c r="E83" s="26">
        <f t="shared" ref="E83:I83" si="22">E78+E79-E82</f>
        <v>0</v>
      </c>
      <c r="F83" s="26">
        <f t="shared" si="22"/>
        <v>0</v>
      </c>
      <c r="G83" s="26">
        <f t="shared" si="22"/>
        <v>0</v>
      </c>
      <c r="H83" s="26">
        <f t="shared" si="22"/>
        <v>0</v>
      </c>
      <c r="I83" s="26">
        <f t="shared" si="22"/>
        <v>0</v>
      </c>
      <c r="J83" s="55">
        <f>J78+J79-J82</f>
        <v>1</v>
      </c>
    </row>
    <row r="84" spans="1:10" ht="15.6" x14ac:dyDescent="0.3">
      <c r="A84" s="261" t="s">
        <v>106</v>
      </c>
      <c r="B84" s="37" t="s">
        <v>85</v>
      </c>
      <c r="C84" s="5" t="s">
        <v>3</v>
      </c>
      <c r="D84" s="26">
        <f>Bangula!D84</f>
        <v>0</v>
      </c>
      <c r="E84" s="26">
        <f>Chikwawa!D84</f>
        <v>0</v>
      </c>
      <c r="F84" s="26">
        <f>'Miseu Folo'!D84</f>
        <v>0</v>
      </c>
      <c r="G84" s="26">
        <f>Nchalo!D84</f>
        <v>0</v>
      </c>
      <c r="H84" s="26">
        <f>Ngabu!D84</f>
        <v>0</v>
      </c>
      <c r="I84" s="26">
        <f>Nsanje!E84</f>
        <v>0</v>
      </c>
      <c r="J84" s="572">
        <f>SUM(D84:I84)</f>
        <v>0</v>
      </c>
    </row>
    <row r="85" spans="1:10" ht="15.6" x14ac:dyDescent="0.3">
      <c r="A85" s="262"/>
      <c r="B85" s="37" t="s">
        <v>104</v>
      </c>
      <c r="C85" s="5" t="s">
        <v>3</v>
      </c>
      <c r="D85" s="26">
        <f>Bangula!D85+Bangula!E85+Bangula!F85</f>
        <v>0</v>
      </c>
      <c r="E85" s="26">
        <f>Chikwawa!D85+Chikwawa!E85+Chikwawa!F85</f>
        <v>0</v>
      </c>
      <c r="F85" s="26">
        <f>'Miseu Folo'!D85+'Miseu Folo'!E85+'Miseu Folo'!F85</f>
        <v>0</v>
      </c>
      <c r="G85" s="26">
        <f>Nchalo!D85+Nchalo!E85+Nchalo!F85</f>
        <v>0</v>
      </c>
      <c r="H85" s="26">
        <f>Nsanje!D85+Nsanje!E85+Nsanje!F85</f>
        <v>0</v>
      </c>
      <c r="I85" s="128">
        <f>Ngabu!D85+Ngabu!E85+Ngabu!F85</f>
        <v>0</v>
      </c>
      <c r="J85" s="572">
        <f>SUM(D85:I85)</f>
        <v>0</v>
      </c>
    </row>
    <row r="86" spans="1:10" ht="27" x14ac:dyDescent="0.3">
      <c r="A86" s="262"/>
      <c r="B86" s="37" t="s">
        <v>103</v>
      </c>
      <c r="C86" s="5" t="s">
        <v>3</v>
      </c>
      <c r="D86" s="26">
        <f>Bangula!D86+Bangula!E86+Bangula!F86</f>
        <v>0</v>
      </c>
      <c r="E86" s="26">
        <f>Chikwawa!D86+Chikwawa!E86+Chikwawa!F86</f>
        <v>0</v>
      </c>
      <c r="F86" s="26">
        <f>'Miseu Folo'!D86+'Miseu Folo'!E86+'Miseu Folo'!F86</f>
        <v>0</v>
      </c>
      <c r="G86" s="26">
        <f>Nchalo!D86+Nchalo!E86+Nchalo!F86</f>
        <v>0</v>
      </c>
      <c r="H86" s="26">
        <f>Nsanje!D86+Nsanje!E86+Nsanje!F86</f>
        <v>0</v>
      </c>
      <c r="I86" s="128">
        <f>Ngabu!D86+Ngabu!E86+Ngabu!F86</f>
        <v>0</v>
      </c>
      <c r="J86" s="572">
        <f>SUM(D86:I86)</f>
        <v>0</v>
      </c>
    </row>
    <row r="87" spans="1:10" s="2" customFormat="1" ht="27" x14ac:dyDescent="0.3">
      <c r="A87" s="262"/>
      <c r="B87" s="24" t="s">
        <v>102</v>
      </c>
      <c r="C87" s="11" t="s">
        <v>3</v>
      </c>
      <c r="D87" s="26">
        <f>Bangula!D87+Bangula!E87+Bangula!F87</f>
        <v>0</v>
      </c>
      <c r="E87" s="26">
        <f>Chikwawa!D87+Chikwawa!E87+Chikwawa!F87</f>
        <v>0</v>
      </c>
      <c r="F87" s="26">
        <f>'Miseu Folo'!D87+'Miseu Folo'!E87+'Miseu Folo'!F87</f>
        <v>0</v>
      </c>
      <c r="G87" s="26">
        <f>Nchalo!D87+Nchalo!E87+Nchalo!F87</f>
        <v>0</v>
      </c>
      <c r="H87" s="26">
        <f>Nsanje!D87+Nsanje!E87+Nsanje!F87</f>
        <v>0</v>
      </c>
      <c r="I87" s="128">
        <f>Ngabu!D87+Ngabu!E87+Ngabu!F87</f>
        <v>0</v>
      </c>
      <c r="J87" s="573">
        <f>SUM(D87:I87)</f>
        <v>0</v>
      </c>
    </row>
    <row r="88" spans="1:10" s="2" customFormat="1" ht="15.6" x14ac:dyDescent="0.3">
      <c r="A88" s="262"/>
      <c r="B88" s="24" t="s">
        <v>188</v>
      </c>
      <c r="C88" s="11" t="s">
        <v>3</v>
      </c>
      <c r="D88" s="4">
        <f>D87+D86</f>
        <v>0</v>
      </c>
      <c r="E88" s="4">
        <f t="shared" ref="E88:I88" si="23">E87+E86</f>
        <v>0</v>
      </c>
      <c r="F88" s="4">
        <f t="shared" si="23"/>
        <v>0</v>
      </c>
      <c r="G88" s="4">
        <f t="shared" si="23"/>
        <v>0</v>
      </c>
      <c r="H88" s="4">
        <f t="shared" si="23"/>
        <v>0</v>
      </c>
      <c r="I88" s="4">
        <f t="shared" si="23"/>
        <v>0</v>
      </c>
      <c r="J88" s="573">
        <f>SUM(D88:I88)</f>
        <v>0</v>
      </c>
    </row>
    <row r="89" spans="1:10" ht="15.6" x14ac:dyDescent="0.3">
      <c r="A89" s="263"/>
      <c r="B89" s="36" t="s">
        <v>81</v>
      </c>
      <c r="C89" s="5" t="s">
        <v>3</v>
      </c>
      <c r="D89" s="26">
        <f>D84+D85-D88</f>
        <v>0</v>
      </c>
      <c r="E89" s="26">
        <f t="shared" ref="E89:I89" si="24">E84+E85-E88</f>
        <v>0</v>
      </c>
      <c r="F89" s="26">
        <f t="shared" si="24"/>
        <v>0</v>
      </c>
      <c r="G89" s="26">
        <f t="shared" si="24"/>
        <v>0</v>
      </c>
      <c r="H89" s="26">
        <f t="shared" si="24"/>
        <v>0</v>
      </c>
      <c r="I89" s="26">
        <f t="shared" si="24"/>
        <v>0</v>
      </c>
      <c r="J89" s="147">
        <f t="shared" ref="J89" si="25">J84+J85-J86-J87</f>
        <v>0</v>
      </c>
    </row>
    <row r="90" spans="1:10" ht="15.6" x14ac:dyDescent="0.3">
      <c r="A90" s="264" t="s">
        <v>105</v>
      </c>
      <c r="B90" s="24" t="s">
        <v>85</v>
      </c>
      <c r="C90" s="11" t="s">
        <v>3</v>
      </c>
      <c r="D90" s="136">
        <f>D66+D72+D78+D84</f>
        <v>45</v>
      </c>
      <c r="E90" s="136">
        <f t="shared" ref="E90:I90" si="26">E66+E72+E78+E84</f>
        <v>376</v>
      </c>
      <c r="F90" s="136">
        <f t="shared" si="26"/>
        <v>4</v>
      </c>
      <c r="G90" s="136">
        <f t="shared" si="26"/>
        <v>54</v>
      </c>
      <c r="H90" s="136">
        <f t="shared" si="26"/>
        <v>166</v>
      </c>
      <c r="I90" s="136">
        <f t="shared" si="26"/>
        <v>134</v>
      </c>
      <c r="J90" s="35">
        <f>SUM(D90:I90)</f>
        <v>779</v>
      </c>
    </row>
    <row r="91" spans="1:10" ht="15.6" x14ac:dyDescent="0.3">
      <c r="A91" s="265"/>
      <c r="B91" s="24" t="s">
        <v>104</v>
      </c>
      <c r="C91" s="11" t="s">
        <v>3</v>
      </c>
      <c r="D91" s="136">
        <f t="shared" ref="D91:I93" si="27">D67+D73+D79+D85</f>
        <v>9</v>
      </c>
      <c r="E91" s="136">
        <f t="shared" si="27"/>
        <v>33</v>
      </c>
      <c r="F91" s="136">
        <f t="shared" si="27"/>
        <v>71</v>
      </c>
      <c r="G91" s="136">
        <f t="shared" si="27"/>
        <v>35</v>
      </c>
      <c r="H91" s="136">
        <f t="shared" si="27"/>
        <v>40</v>
      </c>
      <c r="I91" s="136">
        <f t="shared" si="27"/>
        <v>17</v>
      </c>
      <c r="J91" s="35">
        <f>SUM(D91:I91)</f>
        <v>205</v>
      </c>
    </row>
    <row r="92" spans="1:10" ht="27" x14ac:dyDescent="0.3">
      <c r="A92" s="265"/>
      <c r="B92" s="24" t="s">
        <v>103</v>
      </c>
      <c r="C92" s="11" t="s">
        <v>3</v>
      </c>
      <c r="D92" s="136">
        <f t="shared" si="27"/>
        <v>3</v>
      </c>
      <c r="E92" s="136">
        <f t="shared" si="27"/>
        <v>84</v>
      </c>
      <c r="F92" s="136">
        <f t="shared" si="27"/>
        <v>22</v>
      </c>
      <c r="G92" s="136">
        <f t="shared" si="27"/>
        <v>57</v>
      </c>
      <c r="H92" s="136">
        <f t="shared" si="27"/>
        <v>46</v>
      </c>
      <c r="I92" s="136">
        <f t="shared" si="27"/>
        <v>27</v>
      </c>
      <c r="J92" s="35">
        <f>SUM(D92:I92)</f>
        <v>239</v>
      </c>
    </row>
    <row r="93" spans="1:10" s="2" customFormat="1" ht="27" x14ac:dyDescent="0.3">
      <c r="A93" s="265"/>
      <c r="B93" s="24" t="s">
        <v>102</v>
      </c>
      <c r="C93" s="11"/>
      <c r="D93" s="136">
        <f t="shared" si="27"/>
        <v>0</v>
      </c>
      <c r="E93" s="136">
        <f t="shared" si="27"/>
        <v>0</v>
      </c>
      <c r="F93" s="136">
        <f t="shared" si="27"/>
        <v>0</v>
      </c>
      <c r="G93" s="136">
        <f t="shared" si="27"/>
        <v>0</v>
      </c>
      <c r="H93" s="136">
        <f t="shared" si="27"/>
        <v>0</v>
      </c>
      <c r="I93" s="136">
        <f t="shared" si="27"/>
        <v>0</v>
      </c>
      <c r="J93" s="35">
        <f>SUM(D93:I93)</f>
        <v>0</v>
      </c>
    </row>
    <row r="94" spans="1:10" s="2" customFormat="1" ht="15.6" x14ac:dyDescent="0.3">
      <c r="A94" s="265"/>
      <c r="B94" s="24" t="s">
        <v>188</v>
      </c>
      <c r="C94" s="11" t="s">
        <v>3</v>
      </c>
      <c r="D94" s="137">
        <f>D93+D92</f>
        <v>3</v>
      </c>
      <c r="E94" s="137">
        <f t="shared" ref="E94:I94" si="28">E93+E92</f>
        <v>84</v>
      </c>
      <c r="F94" s="137">
        <f t="shared" si="28"/>
        <v>22</v>
      </c>
      <c r="G94" s="137">
        <f t="shared" si="28"/>
        <v>57</v>
      </c>
      <c r="H94" s="137">
        <f t="shared" si="28"/>
        <v>46</v>
      </c>
      <c r="I94" s="137">
        <f t="shared" si="28"/>
        <v>27</v>
      </c>
      <c r="J94" s="144">
        <f>J93+J92</f>
        <v>239</v>
      </c>
    </row>
    <row r="95" spans="1:10" ht="16.2" thickBot="1" x14ac:dyDescent="0.35">
      <c r="A95" s="266"/>
      <c r="B95" s="24" t="s">
        <v>81</v>
      </c>
      <c r="C95" s="11" t="s">
        <v>3</v>
      </c>
      <c r="D95" s="138">
        <f>D90+D91-D94</f>
        <v>51</v>
      </c>
      <c r="E95" s="138">
        <f t="shared" ref="E95:I95" si="29">E90+E91-E94</f>
        <v>325</v>
      </c>
      <c r="F95" s="138">
        <f t="shared" si="29"/>
        <v>53</v>
      </c>
      <c r="G95" s="138">
        <f t="shared" si="29"/>
        <v>32</v>
      </c>
      <c r="H95" s="138">
        <f t="shared" si="29"/>
        <v>160</v>
      </c>
      <c r="I95" s="138">
        <f t="shared" si="29"/>
        <v>124</v>
      </c>
      <c r="J95" s="148">
        <f>J90+J91-J94</f>
        <v>745</v>
      </c>
    </row>
    <row r="96" spans="1:10" ht="16.2" customHeight="1" thickBot="1" x14ac:dyDescent="0.35">
      <c r="A96" s="270"/>
      <c r="B96" s="271"/>
      <c r="C96" s="271"/>
      <c r="D96" s="271"/>
      <c r="E96" s="271"/>
      <c r="F96" s="271"/>
      <c r="G96" s="271"/>
      <c r="H96" s="271"/>
      <c r="I96" s="271"/>
      <c r="J96" s="272"/>
    </row>
    <row r="97" spans="1:10" s="2" customFormat="1" ht="15.75" customHeight="1" thickBot="1" x14ac:dyDescent="0.35">
      <c r="A97" s="267" t="s">
        <v>189</v>
      </c>
      <c r="B97" s="268"/>
      <c r="C97" s="268"/>
      <c r="D97" s="268"/>
      <c r="E97" s="268"/>
      <c r="F97" s="268"/>
      <c r="G97" s="268"/>
      <c r="H97" s="268"/>
      <c r="I97" s="268"/>
      <c r="J97" s="269"/>
    </row>
    <row r="98" spans="1:10" ht="15.6" x14ac:dyDescent="0.3">
      <c r="A98" s="88" t="s">
        <v>190</v>
      </c>
      <c r="B98" s="69"/>
      <c r="C98" s="11" t="s">
        <v>3</v>
      </c>
      <c r="D98" s="26">
        <f>Bangula!D98+Bangula!E98+Bangula!F98</f>
        <v>0</v>
      </c>
      <c r="E98" s="26">
        <f>Chikwawa!D98+Chikwawa!E98+Chikwawa!F98</f>
        <v>5</v>
      </c>
      <c r="F98" s="26">
        <f>'Miseu Folo'!D98+'Miseu Folo'!E98+'Miseu Folo'!F98</f>
        <v>0</v>
      </c>
      <c r="G98" s="26">
        <f>Nchalo!D98+Nchalo!E98+Nchalo!F98</f>
        <v>0</v>
      </c>
      <c r="H98" s="26">
        <f>Nsanje!D98+Nsanje!E98+Nsanje!F98</f>
        <v>0</v>
      </c>
      <c r="I98" s="568">
        <f>Ngabu!D98+Ngabu!E98+Ngabu!F98</f>
        <v>0</v>
      </c>
      <c r="J98" s="108">
        <f>SUM(D98:I98)</f>
        <v>5</v>
      </c>
    </row>
    <row r="99" spans="1:10" ht="15.6" x14ac:dyDescent="0.3">
      <c r="A99" s="88"/>
      <c r="B99" s="24"/>
      <c r="C99" s="11"/>
      <c r="D99" s="65"/>
      <c r="E99" s="65"/>
      <c r="F99" s="65"/>
      <c r="G99" s="65"/>
      <c r="H99" s="65"/>
      <c r="I99" s="66"/>
      <c r="J99" s="107"/>
    </row>
    <row r="100" spans="1:10" s="2" customFormat="1" x14ac:dyDescent="0.3">
      <c r="A100" s="273" t="s">
        <v>101</v>
      </c>
      <c r="B100" s="274"/>
      <c r="C100" s="274"/>
      <c r="D100" s="274"/>
      <c r="E100" s="274"/>
      <c r="F100" s="274"/>
      <c r="G100" s="274"/>
      <c r="H100" s="274"/>
      <c r="I100" s="274"/>
      <c r="J100" s="275"/>
    </row>
    <row r="101" spans="1:10" ht="15.6" x14ac:dyDescent="0.3">
      <c r="A101" s="231" t="s">
        <v>100</v>
      </c>
      <c r="B101" s="232"/>
      <c r="C101" s="11" t="s">
        <v>3</v>
      </c>
      <c r="D101" s="26">
        <f>Bangula!F101</f>
        <v>192</v>
      </c>
      <c r="E101" s="26">
        <f>Chikwawa!F101</f>
        <v>546</v>
      </c>
      <c r="F101" s="26">
        <f>'Miseu Folo'!F101</f>
        <v>0</v>
      </c>
      <c r="G101" s="26">
        <f>Nchalo!F101</f>
        <v>629</v>
      </c>
      <c r="H101" s="26">
        <f>Nsanje!F101</f>
        <v>495</v>
      </c>
      <c r="I101" s="26">
        <f>Ngabu!G101</f>
        <v>487</v>
      </c>
      <c r="J101" s="55">
        <f>SUM(D101:I101)</f>
        <v>2349</v>
      </c>
    </row>
    <row r="102" spans="1:10" ht="15.6" x14ac:dyDescent="0.3">
      <c r="A102" s="231" t="s">
        <v>99</v>
      </c>
      <c r="B102" s="232"/>
      <c r="C102" s="11" t="s">
        <v>3</v>
      </c>
      <c r="D102" s="26">
        <f>Bangula!F102</f>
        <v>9</v>
      </c>
      <c r="E102" s="26">
        <f>Chikwawa!F102</f>
        <v>11</v>
      </c>
      <c r="F102" s="26">
        <f>'Miseu Folo'!F102</f>
        <v>0</v>
      </c>
      <c r="G102" s="26">
        <f>Nchalo!F102</f>
        <v>17</v>
      </c>
      <c r="H102" s="26">
        <f>Nsanje!F102</f>
        <v>20</v>
      </c>
      <c r="I102" s="26">
        <f>Ngabu!G102</f>
        <v>10</v>
      </c>
      <c r="J102" s="55">
        <f>SUM(D102:I102)</f>
        <v>67</v>
      </c>
    </row>
    <row r="103" spans="1:10" ht="15.6" customHeight="1" x14ac:dyDescent="0.3">
      <c r="A103" s="237" t="s">
        <v>98</v>
      </c>
      <c r="B103" s="238"/>
      <c r="C103" s="11" t="s">
        <v>3</v>
      </c>
      <c r="D103" s="26">
        <f>Bangula!F103</f>
        <v>8</v>
      </c>
      <c r="E103" s="26">
        <f>Chikwawa!F103</f>
        <v>13</v>
      </c>
      <c r="F103" s="26">
        <f>'Miseu Folo'!F103</f>
        <v>0</v>
      </c>
      <c r="G103" s="26">
        <f>Nchalo!F103</f>
        <v>27</v>
      </c>
      <c r="H103" s="26">
        <f>Nsanje!F103</f>
        <v>2</v>
      </c>
      <c r="I103" s="26">
        <f>Ngabu!G103</f>
        <v>12</v>
      </c>
      <c r="J103" s="55">
        <f>SUM(D103:I103)</f>
        <v>62</v>
      </c>
    </row>
    <row r="104" spans="1:10" ht="15.6" x14ac:dyDescent="0.3">
      <c r="A104" s="237" t="s">
        <v>97</v>
      </c>
      <c r="B104" s="238"/>
      <c r="C104" s="11" t="s">
        <v>3</v>
      </c>
      <c r="D104" s="26">
        <f>Bangula!F104</f>
        <v>4</v>
      </c>
      <c r="E104" s="26">
        <f>Chikwawa!F104</f>
        <v>14</v>
      </c>
      <c r="F104" s="26">
        <f>'Miseu Folo'!F104</f>
        <v>0</v>
      </c>
      <c r="G104" s="26">
        <f>Nchalo!F104</f>
        <v>11</v>
      </c>
      <c r="H104" s="26">
        <f>Nsanje!F104</f>
        <v>25</v>
      </c>
      <c r="I104" s="26">
        <f>Ngabu!G104</f>
        <v>20</v>
      </c>
      <c r="J104" s="55">
        <f>SUM(D104:I104)</f>
        <v>74</v>
      </c>
    </row>
    <row r="105" spans="1:10" ht="15.6" x14ac:dyDescent="0.3">
      <c r="A105" s="259" t="s">
        <v>96</v>
      </c>
      <c r="B105" s="260"/>
      <c r="C105" s="11" t="s">
        <v>3</v>
      </c>
      <c r="D105" s="33">
        <f>SUM(D101:D104)</f>
        <v>213</v>
      </c>
      <c r="E105" s="33">
        <f t="shared" ref="E105:H105" si="30">SUM(E101:E104)</f>
        <v>584</v>
      </c>
      <c r="F105" s="33">
        <f t="shared" si="30"/>
        <v>0</v>
      </c>
      <c r="G105" s="33">
        <f t="shared" si="30"/>
        <v>684</v>
      </c>
      <c r="H105" s="33">
        <f t="shared" si="30"/>
        <v>542</v>
      </c>
      <c r="I105" s="33">
        <f>SUM(I101:I104)</f>
        <v>529</v>
      </c>
      <c r="J105" s="55">
        <f>SUM(D105:I105)</f>
        <v>2552</v>
      </c>
    </row>
    <row r="106" spans="1:10" s="2" customFormat="1" ht="15.6" customHeight="1" x14ac:dyDescent="0.3">
      <c r="A106" s="292" t="s">
        <v>210</v>
      </c>
      <c r="B106" s="293"/>
      <c r="C106" s="293"/>
      <c r="D106" s="293"/>
      <c r="E106" s="293"/>
      <c r="F106" s="293"/>
      <c r="G106" s="293"/>
      <c r="H106" s="293"/>
      <c r="I106" s="293"/>
      <c r="J106" s="294"/>
    </row>
    <row r="107" spans="1:10" ht="15.6" x14ac:dyDescent="0.3">
      <c r="A107" s="231" t="s">
        <v>193</v>
      </c>
      <c r="B107" s="232"/>
      <c r="C107" s="11" t="s">
        <v>3</v>
      </c>
      <c r="D107" s="26">
        <f>Bangula!F107</f>
        <v>506</v>
      </c>
      <c r="E107" s="26">
        <f>Chikwawa!F107</f>
        <v>2004</v>
      </c>
      <c r="F107" s="26">
        <f>'Miseu Folo'!F107</f>
        <v>82</v>
      </c>
      <c r="G107" s="26">
        <f>Nchalo!F107</f>
        <v>1345</v>
      </c>
      <c r="H107" s="26">
        <f>Nsanje!F107</f>
        <v>991</v>
      </c>
      <c r="I107" s="26">
        <f>Ngabu!G107</f>
        <v>756</v>
      </c>
      <c r="J107" s="55">
        <f>SUM(D107:I107)</f>
        <v>5684</v>
      </c>
    </row>
    <row r="108" spans="1:10" ht="15.6" x14ac:dyDescent="0.3">
      <c r="A108" s="231" t="s">
        <v>194</v>
      </c>
      <c r="B108" s="232"/>
      <c r="C108" s="11" t="s">
        <v>3</v>
      </c>
      <c r="D108" s="26">
        <f>Bangula!F108</f>
        <v>5</v>
      </c>
      <c r="E108" s="26">
        <f>Chikwawa!F108</f>
        <v>22</v>
      </c>
      <c r="F108" s="26">
        <f>'Miseu Folo'!F108</f>
        <v>0</v>
      </c>
      <c r="G108" s="26">
        <f>Nchalo!F108</f>
        <v>5</v>
      </c>
      <c r="H108" s="26">
        <f>Nsanje!F108</f>
        <v>7</v>
      </c>
      <c r="I108" s="26">
        <f>Ngabu!G108</f>
        <v>9</v>
      </c>
      <c r="J108" s="55">
        <f>SUM(D108:I108)</f>
        <v>48</v>
      </c>
    </row>
    <row r="109" spans="1:10" ht="15.6" x14ac:dyDescent="0.3">
      <c r="A109" s="231" t="s">
        <v>195</v>
      </c>
      <c r="B109" s="232"/>
      <c r="C109" s="11" t="s">
        <v>3</v>
      </c>
      <c r="D109" s="26">
        <f>Bangula!F109</f>
        <v>2</v>
      </c>
      <c r="E109" s="26">
        <f>Chikwawa!F109</f>
        <v>13</v>
      </c>
      <c r="F109" s="26">
        <f>'Miseu Folo'!F109</f>
        <v>2</v>
      </c>
      <c r="G109" s="26">
        <f>Nchalo!F109</f>
        <v>9</v>
      </c>
      <c r="H109" s="26">
        <f>Nsanje!F109</f>
        <v>1</v>
      </c>
      <c r="I109" s="26">
        <f>Ngabu!G109</f>
        <v>3</v>
      </c>
      <c r="J109" s="55">
        <f>SUM(D109:I109)</f>
        <v>30</v>
      </c>
    </row>
    <row r="110" spans="1:10" ht="15.6" x14ac:dyDescent="0.3">
      <c r="A110" s="231" t="s">
        <v>196</v>
      </c>
      <c r="B110" s="232"/>
      <c r="C110" s="11" t="s">
        <v>3</v>
      </c>
      <c r="D110" s="26">
        <f>Bangula!F110</f>
        <v>17</v>
      </c>
      <c r="E110" s="26">
        <f>Chikwawa!F110</f>
        <v>12</v>
      </c>
      <c r="F110" s="26">
        <f>'Miseu Folo'!F110</f>
        <v>0</v>
      </c>
      <c r="G110" s="26">
        <f>Nchalo!F110</f>
        <v>8</v>
      </c>
      <c r="H110" s="26">
        <f>Nsanje!F110</f>
        <v>9</v>
      </c>
      <c r="I110" s="26">
        <f>Ngabu!G110</f>
        <v>19</v>
      </c>
      <c r="J110" s="55">
        <f>SUM(D110:I110)</f>
        <v>65</v>
      </c>
    </row>
    <row r="111" spans="1:10" ht="15.6" x14ac:dyDescent="0.3">
      <c r="A111" s="233" t="s">
        <v>95</v>
      </c>
      <c r="B111" s="234"/>
      <c r="C111" s="11" t="s">
        <v>3</v>
      </c>
      <c r="D111" s="33">
        <f>SUM(D107:D110)</f>
        <v>530</v>
      </c>
      <c r="E111" s="33">
        <f t="shared" ref="E111:H111" si="31">SUM(E107:E110)</f>
        <v>2051</v>
      </c>
      <c r="F111" s="33">
        <f t="shared" si="31"/>
        <v>84</v>
      </c>
      <c r="G111" s="33">
        <f t="shared" si="31"/>
        <v>1367</v>
      </c>
      <c r="H111" s="33">
        <f t="shared" si="31"/>
        <v>1008</v>
      </c>
      <c r="I111" s="33">
        <f>SUM(I107:I110)</f>
        <v>787</v>
      </c>
      <c r="J111" s="55">
        <f>SUM(D111:I111)</f>
        <v>5827</v>
      </c>
    </row>
    <row r="112" spans="1:10" s="2" customFormat="1" ht="15.6" customHeight="1" x14ac:dyDescent="0.3">
      <c r="A112" s="273" t="s">
        <v>210</v>
      </c>
      <c r="B112" s="274"/>
      <c r="C112" s="274"/>
      <c r="D112" s="274"/>
      <c r="E112" s="274"/>
      <c r="F112" s="274"/>
      <c r="G112" s="274"/>
      <c r="H112" s="274"/>
      <c r="I112" s="274"/>
      <c r="J112" s="275"/>
    </row>
    <row r="113" spans="1:10" ht="15.6" x14ac:dyDescent="0.3">
      <c r="A113" s="231" t="s">
        <v>197</v>
      </c>
      <c r="B113" s="232"/>
      <c r="C113" s="11" t="s">
        <v>3</v>
      </c>
      <c r="D113" s="26">
        <f>Bangula!F113</f>
        <v>181</v>
      </c>
      <c r="E113" s="26">
        <f>Chikwawa!F113</f>
        <v>1304</v>
      </c>
      <c r="F113" s="26">
        <f>'Miseu Folo'!F113</f>
        <v>384</v>
      </c>
      <c r="G113" s="26">
        <f>Nchalo!F113</f>
        <v>307</v>
      </c>
      <c r="H113" s="26">
        <f>Nsanje!F113</f>
        <v>508</v>
      </c>
      <c r="I113" s="26">
        <f>Ngabu!G113</f>
        <v>316</v>
      </c>
      <c r="J113" s="55">
        <f t="shared" ref="J113:J119" si="32">SUM(D113:I113)</f>
        <v>3000</v>
      </c>
    </row>
    <row r="114" spans="1:10" ht="15.6" x14ac:dyDescent="0.3">
      <c r="A114" s="231" t="s">
        <v>198</v>
      </c>
      <c r="B114" s="232"/>
      <c r="C114" s="11" t="s">
        <v>3</v>
      </c>
      <c r="D114" s="26">
        <f>Bangula!F114</f>
        <v>32</v>
      </c>
      <c r="E114" s="26">
        <f>Chikwawa!F114</f>
        <v>42</v>
      </c>
      <c r="F114" s="26">
        <f>'Miseu Folo'!F114</f>
        <v>10</v>
      </c>
      <c r="G114" s="26">
        <f>Nchalo!F114</f>
        <v>27</v>
      </c>
      <c r="H114" s="26">
        <f>Nsanje!F114</f>
        <v>52</v>
      </c>
      <c r="I114" s="26">
        <f>Ngabu!G114</f>
        <v>25</v>
      </c>
      <c r="J114" s="55">
        <f t="shared" si="32"/>
        <v>188</v>
      </c>
    </row>
    <row r="115" spans="1:10" ht="15.6" x14ac:dyDescent="0.3">
      <c r="A115" s="231" t="s">
        <v>199</v>
      </c>
      <c r="B115" s="232"/>
      <c r="C115" s="11" t="s">
        <v>3</v>
      </c>
      <c r="D115" s="26">
        <f>Bangula!F115</f>
        <v>25</v>
      </c>
      <c r="E115" s="26">
        <f>Chikwawa!F115</f>
        <v>56</v>
      </c>
      <c r="F115" s="26">
        <f>'Miseu Folo'!F115</f>
        <v>6</v>
      </c>
      <c r="G115" s="26">
        <f>Nchalo!F115</f>
        <v>61</v>
      </c>
      <c r="H115" s="26">
        <f>Nsanje!F115</f>
        <v>49</v>
      </c>
      <c r="I115" s="26">
        <f>Ngabu!G115</f>
        <v>34</v>
      </c>
      <c r="J115" s="55">
        <f t="shared" si="32"/>
        <v>231</v>
      </c>
    </row>
    <row r="116" spans="1:10" ht="15.6" x14ac:dyDescent="0.3">
      <c r="A116" s="231" t="s">
        <v>200</v>
      </c>
      <c r="B116" s="232"/>
      <c r="C116" s="11" t="s">
        <v>3</v>
      </c>
      <c r="D116" s="26">
        <f>Bangula!F116</f>
        <v>1</v>
      </c>
      <c r="E116" s="26">
        <f>Chikwawa!F116</f>
        <v>3</v>
      </c>
      <c r="F116" s="26">
        <f>'Miseu Folo'!F116</f>
        <v>14</v>
      </c>
      <c r="G116" s="26">
        <f>Nchalo!F116</f>
        <v>1</v>
      </c>
      <c r="H116" s="26">
        <f>Nsanje!F116</f>
        <v>1</v>
      </c>
      <c r="I116" s="26">
        <f>Ngabu!G116</f>
        <v>1</v>
      </c>
      <c r="J116" s="55">
        <f t="shared" si="32"/>
        <v>21</v>
      </c>
    </row>
    <row r="117" spans="1:10" ht="15.6" x14ac:dyDescent="0.3">
      <c r="A117" s="233" t="s">
        <v>94</v>
      </c>
      <c r="B117" s="234"/>
      <c r="C117" s="11" t="s">
        <v>3</v>
      </c>
      <c r="D117" s="33">
        <f>SUM(D113:D116)</f>
        <v>239</v>
      </c>
      <c r="E117" s="33">
        <f t="shared" ref="E117:G117" si="33">SUM(E113:E116)</f>
        <v>1405</v>
      </c>
      <c r="F117" s="33">
        <f t="shared" si="33"/>
        <v>414</v>
      </c>
      <c r="G117" s="33">
        <f t="shared" si="33"/>
        <v>396</v>
      </c>
      <c r="H117" s="33">
        <f>SUM(H113:H116)</f>
        <v>610</v>
      </c>
      <c r="I117" s="33">
        <f>SUM(I113:I116)</f>
        <v>376</v>
      </c>
      <c r="J117" s="55">
        <f t="shared" si="32"/>
        <v>3440</v>
      </c>
    </row>
    <row r="118" spans="1:10" s="2" customFormat="1" ht="15.6" x14ac:dyDescent="0.3">
      <c r="A118" s="218" t="s">
        <v>191</v>
      </c>
      <c r="B118" s="219"/>
      <c r="C118" s="11" t="s">
        <v>3</v>
      </c>
      <c r="D118" s="33">
        <f>D117+D111</f>
        <v>769</v>
      </c>
      <c r="E118" s="33">
        <f t="shared" ref="E118:I118" si="34">E117+E111</f>
        <v>3456</v>
      </c>
      <c r="F118" s="33">
        <f t="shared" si="34"/>
        <v>498</v>
      </c>
      <c r="G118" s="33">
        <f t="shared" si="34"/>
        <v>1763</v>
      </c>
      <c r="H118" s="33">
        <f t="shared" si="34"/>
        <v>1618</v>
      </c>
      <c r="I118" s="33">
        <f t="shared" si="34"/>
        <v>1163</v>
      </c>
      <c r="J118" s="55">
        <f t="shared" si="32"/>
        <v>9267</v>
      </c>
    </row>
    <row r="119" spans="1:10" ht="15.6" x14ac:dyDescent="0.3">
      <c r="A119" s="233" t="s">
        <v>192</v>
      </c>
      <c r="B119" s="234"/>
      <c r="C119" s="11" t="s">
        <v>3</v>
      </c>
      <c r="D119" s="33">
        <f>D118+D105</f>
        <v>982</v>
      </c>
      <c r="E119" s="33">
        <f t="shared" ref="E119:I119" si="35">E118+E105</f>
        <v>4040</v>
      </c>
      <c r="F119" s="33">
        <f t="shared" si="35"/>
        <v>498</v>
      </c>
      <c r="G119" s="33">
        <f t="shared" si="35"/>
        <v>2447</v>
      </c>
      <c r="H119" s="33">
        <f t="shared" si="35"/>
        <v>2160</v>
      </c>
      <c r="I119" s="33">
        <f t="shared" si="35"/>
        <v>1692</v>
      </c>
      <c r="J119" s="55">
        <f t="shared" si="32"/>
        <v>11819</v>
      </c>
    </row>
    <row r="120" spans="1:10" x14ac:dyDescent="0.3">
      <c r="A120" s="277" t="s">
        <v>201</v>
      </c>
      <c r="B120" s="278"/>
      <c r="C120" s="278"/>
      <c r="D120" s="278"/>
      <c r="E120" s="278"/>
      <c r="F120" s="278"/>
      <c r="G120" s="278"/>
      <c r="H120" s="278"/>
      <c r="I120" s="278"/>
      <c r="J120" s="279"/>
    </row>
    <row r="121" spans="1:10" ht="15.6" x14ac:dyDescent="0.3">
      <c r="A121" s="231" t="s">
        <v>93</v>
      </c>
      <c r="B121" s="232"/>
      <c r="C121" s="5" t="s">
        <v>3</v>
      </c>
      <c r="D121" s="26">
        <f>Bangula!F121</f>
        <v>11460.867809580001</v>
      </c>
      <c r="E121" s="26">
        <f>Chikwawa!F121</f>
        <v>22217.604516000003</v>
      </c>
      <c r="F121" s="26">
        <f>'Miseu Folo'!F121</f>
        <v>0</v>
      </c>
      <c r="G121" s="26">
        <f>Nchalo!F121</f>
        <v>21073.039956000001</v>
      </c>
      <c r="H121" s="26">
        <f>Nsanje!F121</f>
        <v>25832.607403050002</v>
      </c>
      <c r="I121" s="26">
        <f>Ngabu!G121</f>
        <v>18435.170046600004</v>
      </c>
      <c r="J121" s="55">
        <f>SUM(D121:I121)</f>
        <v>99019.289731230019</v>
      </c>
    </row>
    <row r="122" spans="1:10" ht="15.6" x14ac:dyDescent="0.3">
      <c r="A122" s="231" t="s">
        <v>92</v>
      </c>
      <c r="B122" s="232"/>
      <c r="C122" s="5" t="s">
        <v>3</v>
      </c>
      <c r="D122" s="26">
        <f>Bangula!F122</f>
        <v>7098</v>
      </c>
      <c r="E122" s="26">
        <f>Chikwawa!F122</f>
        <v>16982</v>
      </c>
      <c r="F122" s="26">
        <f>'Miseu Folo'!F122</f>
        <v>0</v>
      </c>
      <c r="G122" s="26">
        <f>Nchalo!F122</f>
        <v>16373</v>
      </c>
      <c r="H122" s="26">
        <f>Nsanje!F122</f>
        <v>17998</v>
      </c>
      <c r="I122" s="26">
        <f>Ngabu!G122</f>
        <v>11567</v>
      </c>
      <c r="J122" s="55">
        <f>SUM(D122:I122)</f>
        <v>70018</v>
      </c>
    </row>
    <row r="123" spans="1:10" ht="15.6" x14ac:dyDescent="0.3">
      <c r="A123" s="280" t="s">
        <v>91</v>
      </c>
      <c r="B123" s="281"/>
      <c r="C123" s="30" t="s">
        <v>6</v>
      </c>
      <c r="D123" s="29">
        <f t="shared" ref="D123:I123" si="36">D122/D121</f>
        <v>0.61932482931762534</v>
      </c>
      <c r="E123" s="29">
        <f t="shared" si="36"/>
        <v>0.76434882922550973</v>
      </c>
      <c r="F123" s="29" t="e">
        <f t="shared" si="36"/>
        <v>#DIV/0!</v>
      </c>
      <c r="G123" s="29">
        <f t="shared" si="36"/>
        <v>0.77696431241939601</v>
      </c>
      <c r="H123" s="29">
        <f t="shared" si="36"/>
        <v>0.69671635229028461</v>
      </c>
      <c r="I123" s="29">
        <f t="shared" si="36"/>
        <v>0.62744200193224153</v>
      </c>
      <c r="J123" s="109">
        <f>J122/J121</f>
        <v>0.70711474693518017</v>
      </c>
    </row>
    <row r="124" spans="1:10" x14ac:dyDescent="0.3">
      <c r="A124" s="303" t="s">
        <v>90</v>
      </c>
      <c r="B124" s="304"/>
      <c r="C124" s="304"/>
      <c r="D124" s="304"/>
      <c r="E124" s="304"/>
      <c r="F124" s="304"/>
      <c r="G124" s="304"/>
      <c r="H124" s="304"/>
      <c r="I124" s="304"/>
      <c r="J124" s="305"/>
    </row>
    <row r="125" spans="1:10" ht="15.6" x14ac:dyDescent="0.3">
      <c r="A125" s="241" t="s">
        <v>227</v>
      </c>
      <c r="B125" s="24" t="s">
        <v>85</v>
      </c>
      <c r="C125" s="11" t="s">
        <v>3</v>
      </c>
      <c r="D125" s="26">
        <f>Bangula!D125</f>
        <v>0</v>
      </c>
      <c r="E125" s="26">
        <f>Chikwawa!D125</f>
        <v>0</v>
      </c>
      <c r="F125" s="26">
        <f>'Miseu Folo'!D125</f>
        <v>0</v>
      </c>
      <c r="G125" s="26">
        <f>Nchalo!D125</f>
        <v>0</v>
      </c>
      <c r="H125" s="26">
        <f>Nsanje!D125</f>
        <v>0</v>
      </c>
      <c r="I125" s="26">
        <f>Ngabu!E125</f>
        <v>1</v>
      </c>
      <c r="J125" s="32">
        <f>D125</f>
        <v>0</v>
      </c>
    </row>
    <row r="126" spans="1:10" ht="15.6" x14ac:dyDescent="0.3">
      <c r="A126" s="276"/>
      <c r="B126" s="24" t="s">
        <v>84</v>
      </c>
      <c r="C126" s="11" t="s">
        <v>3</v>
      </c>
      <c r="D126" s="26">
        <f>Bangula!D126+Bangula!E126+Bangula!F126</f>
        <v>0</v>
      </c>
      <c r="E126" s="26">
        <f>Chikwawa!D126+Chikwawa!E126+Chikwawa!F126</f>
        <v>0</v>
      </c>
      <c r="F126" s="26">
        <f>'Miseu Folo'!D126+'Miseu Folo'!E126+'Miseu Folo'!F126</f>
        <v>0</v>
      </c>
      <c r="G126" s="26">
        <f>Nchalo!D126+Nchalo!E126+Nchalo!F126</f>
        <v>0</v>
      </c>
      <c r="H126" s="26">
        <f>Nsanje!D126+Nsanje!E126+Nsanje!F126</f>
        <v>0</v>
      </c>
      <c r="I126" s="26">
        <f>Ngabu!D126+Ngabu!E126+Ngabu!F126</f>
        <v>0</v>
      </c>
      <c r="J126" s="55">
        <f>SUM(D126:I126)</f>
        <v>0</v>
      </c>
    </row>
    <row r="127" spans="1:10" ht="15.6" x14ac:dyDescent="0.3">
      <c r="A127" s="276"/>
      <c r="B127" s="82" t="s">
        <v>88</v>
      </c>
      <c r="C127" s="11" t="s">
        <v>3</v>
      </c>
      <c r="D127" s="26">
        <f>Bangula!D127+Bangula!E127+Bangula!F127</f>
        <v>0</v>
      </c>
      <c r="E127" s="26">
        <f>Chikwawa!D127+Chikwawa!E127+Chikwawa!F127</f>
        <v>0</v>
      </c>
      <c r="F127" s="26">
        <f>'Miseu Folo'!D127+'Miseu Folo'!E127+'Miseu Folo'!F127</f>
        <v>0</v>
      </c>
      <c r="G127" s="26">
        <f>Nchalo!D127+Nchalo!E127+Nchalo!F127</f>
        <v>0</v>
      </c>
      <c r="H127" s="26">
        <f>Nsanje!D127+Nsanje!E127+Nsanje!F127</f>
        <v>0</v>
      </c>
      <c r="I127" s="26">
        <f>Ngabu!D127+Ngabu!E127+Ngabu!F127</f>
        <v>0</v>
      </c>
      <c r="J127" s="55">
        <f>SUM(D127:I127)</f>
        <v>0</v>
      </c>
    </row>
    <row r="128" spans="1:10" ht="15.6" x14ac:dyDescent="0.3">
      <c r="A128" s="276"/>
      <c r="B128" s="24" t="s">
        <v>82</v>
      </c>
      <c r="C128" s="11" t="s">
        <v>3</v>
      </c>
      <c r="D128" s="26">
        <f>Bangula!D128+Bangula!E128+Bangula!F128</f>
        <v>0</v>
      </c>
      <c r="E128" s="26">
        <f>Chikwawa!D128+Chikwawa!E128+Chikwawa!F128</f>
        <v>0</v>
      </c>
      <c r="F128" s="26">
        <f>'Miseu Folo'!D128+'Miseu Folo'!E128+'Miseu Folo'!F128</f>
        <v>0</v>
      </c>
      <c r="G128" s="26">
        <f>Nchalo!D128+Nchalo!E128+Nchalo!F128</f>
        <v>0</v>
      </c>
      <c r="H128" s="26">
        <f>Nsanje!D128+Nsanje!E128+Nsanje!F128</f>
        <v>0</v>
      </c>
      <c r="I128" s="26">
        <f>Ngabu!D128+Ngabu!E128+Ngabu!F128</f>
        <v>0</v>
      </c>
      <c r="J128" s="55">
        <f>SUM(D128:I128)</f>
        <v>0</v>
      </c>
    </row>
    <row r="129" spans="1:10" ht="15.6" x14ac:dyDescent="0.3">
      <c r="A129" s="242"/>
      <c r="B129" s="24" t="s">
        <v>81</v>
      </c>
      <c r="C129" s="11" t="s">
        <v>3</v>
      </c>
      <c r="D129" s="140">
        <f t="shared" ref="D129:J129" si="37">D125+D126-D127-D128</f>
        <v>0</v>
      </c>
      <c r="E129" s="140">
        <f t="shared" si="37"/>
        <v>0</v>
      </c>
      <c r="F129" s="140">
        <f t="shared" si="37"/>
        <v>0</v>
      </c>
      <c r="G129" s="140">
        <f t="shared" si="37"/>
        <v>0</v>
      </c>
      <c r="H129" s="140">
        <f t="shared" si="37"/>
        <v>0</v>
      </c>
      <c r="I129" s="140">
        <f t="shared" si="37"/>
        <v>1</v>
      </c>
      <c r="J129" s="32">
        <f t="shared" si="37"/>
        <v>0</v>
      </c>
    </row>
    <row r="130" spans="1:10" ht="15.6" x14ac:dyDescent="0.3">
      <c r="A130" s="241" t="s">
        <v>228</v>
      </c>
      <c r="B130" s="28" t="s">
        <v>85</v>
      </c>
      <c r="C130" s="27" t="s">
        <v>3</v>
      </c>
      <c r="D130" s="26">
        <f>Bangula!D130</f>
        <v>0</v>
      </c>
      <c r="E130" s="26">
        <f>Chikwawa!D130</f>
        <v>0</v>
      </c>
      <c r="F130" s="26">
        <f>'Miseu Folo'!D130</f>
        <v>0</v>
      </c>
      <c r="G130" s="26">
        <f>Nchalo!D130</f>
        <v>1</v>
      </c>
      <c r="H130" s="26">
        <f>Nsanje!D130</f>
        <v>0</v>
      </c>
      <c r="I130" s="26">
        <f>Ngabu!E130</f>
        <v>0</v>
      </c>
      <c r="J130" s="32">
        <f>D130</f>
        <v>0</v>
      </c>
    </row>
    <row r="131" spans="1:10" ht="15.6" x14ac:dyDescent="0.3">
      <c r="A131" s="276"/>
      <c r="B131" s="24" t="s">
        <v>84</v>
      </c>
      <c r="C131" s="11" t="s">
        <v>3</v>
      </c>
      <c r="D131" s="26">
        <f>Bangula!D131+Bangula!E131+Bangula!F131</f>
        <v>0</v>
      </c>
      <c r="E131" s="26">
        <f>Chikwawa!D131+Chikwawa!E131+Chikwawa!F131</f>
        <v>0</v>
      </c>
      <c r="F131" s="26">
        <f>'Miseu Folo'!D131+'Miseu Folo'!E131+'Miseu Folo'!F131</f>
        <v>0</v>
      </c>
      <c r="G131" s="26">
        <f>Nchalo!D131+Nchalo!E131+Nchalo!F131</f>
        <v>0</v>
      </c>
      <c r="H131" s="26">
        <f>Nsanje!D131+Nsanje!E131+Nsanje!F131</f>
        <v>0</v>
      </c>
      <c r="I131" s="26">
        <f>Ngabu!D131+Ngabu!E131+Ngabu!F131</f>
        <v>0</v>
      </c>
      <c r="J131" s="55">
        <f>SUM(D131:I131)</f>
        <v>0</v>
      </c>
    </row>
    <row r="132" spans="1:10" ht="15.6" x14ac:dyDescent="0.3">
      <c r="A132" s="276"/>
      <c r="B132" s="82" t="s">
        <v>88</v>
      </c>
      <c r="C132" s="11" t="s">
        <v>3</v>
      </c>
      <c r="D132" s="26">
        <f>Bangula!D132+Bangula!E132+Bangula!F132</f>
        <v>0</v>
      </c>
      <c r="E132" s="26">
        <f>Chikwawa!D132+Chikwawa!E132+Chikwawa!F132</f>
        <v>0</v>
      </c>
      <c r="F132" s="26">
        <f>'Miseu Folo'!D132+'Miseu Folo'!E132+'Miseu Folo'!F132</f>
        <v>0</v>
      </c>
      <c r="G132" s="26">
        <f>Nchalo!D132+Nchalo!E132+Nchalo!F132</f>
        <v>0</v>
      </c>
      <c r="H132" s="26">
        <f>Nsanje!D132+Nsanje!E132+Nsanje!F132</f>
        <v>0</v>
      </c>
      <c r="I132" s="26">
        <f>Ngabu!D132+Ngabu!E132+Ngabu!F132</f>
        <v>0</v>
      </c>
      <c r="J132" s="55">
        <f>SUM(D132:I132)</f>
        <v>0</v>
      </c>
    </row>
    <row r="133" spans="1:10" ht="15.6" x14ac:dyDescent="0.3">
      <c r="A133" s="276"/>
      <c r="B133" s="24" t="s">
        <v>82</v>
      </c>
      <c r="C133" s="11" t="s">
        <v>3</v>
      </c>
      <c r="D133" s="26">
        <f>Bangula!D133+Bangula!E133+Bangula!F133</f>
        <v>0</v>
      </c>
      <c r="E133" s="26">
        <f>Chikwawa!D133+Chikwawa!E133+Chikwawa!F133</f>
        <v>0</v>
      </c>
      <c r="F133" s="26">
        <f>'Miseu Folo'!D133+'Miseu Folo'!E133+'Miseu Folo'!F133</f>
        <v>0</v>
      </c>
      <c r="G133" s="26">
        <f>Nchalo!D133+Nchalo!E133+Nchalo!F133</f>
        <v>0</v>
      </c>
      <c r="H133" s="26">
        <f>Nsanje!D133+Nsanje!E133+Nsanje!F133</f>
        <v>0</v>
      </c>
      <c r="I133" s="26">
        <f>Ngabu!D133+Ngabu!E133+Ngabu!F133</f>
        <v>0</v>
      </c>
      <c r="J133" s="55">
        <f>SUM(D133:I133)</f>
        <v>0</v>
      </c>
    </row>
    <row r="134" spans="1:10" ht="15.6" x14ac:dyDescent="0.3">
      <c r="A134" s="242"/>
      <c r="B134" s="24" t="s">
        <v>81</v>
      </c>
      <c r="C134" s="11" t="s">
        <v>3</v>
      </c>
      <c r="D134" s="140">
        <f t="shared" ref="D134:J134" si="38">D130+D131-D132-D133</f>
        <v>0</v>
      </c>
      <c r="E134" s="140">
        <f t="shared" si="38"/>
        <v>0</v>
      </c>
      <c r="F134" s="140">
        <f t="shared" si="38"/>
        <v>0</v>
      </c>
      <c r="G134" s="140">
        <f t="shared" si="38"/>
        <v>1</v>
      </c>
      <c r="H134" s="140">
        <f t="shared" si="38"/>
        <v>0</v>
      </c>
      <c r="I134" s="140">
        <f t="shared" si="38"/>
        <v>0</v>
      </c>
      <c r="J134" s="32">
        <f t="shared" si="38"/>
        <v>0</v>
      </c>
    </row>
    <row r="135" spans="1:10" ht="15.6" x14ac:dyDescent="0.3">
      <c r="A135" s="241" t="s">
        <v>89</v>
      </c>
      <c r="B135" s="24" t="s">
        <v>85</v>
      </c>
      <c r="C135" s="11" t="s">
        <v>3</v>
      </c>
      <c r="D135" s="26">
        <f>Bangula!D135</f>
        <v>1</v>
      </c>
      <c r="E135" s="26">
        <f>Chikwawa!D135</f>
        <v>0</v>
      </c>
      <c r="F135" s="26">
        <f>'Miseu Folo'!D135</f>
        <v>0</v>
      </c>
      <c r="G135" s="26">
        <f>Nchalo!D135</f>
        <v>0</v>
      </c>
      <c r="H135" s="26">
        <f>Nsanje!D135</f>
        <v>1</v>
      </c>
      <c r="I135" s="26">
        <f>Ngabu!E135</f>
        <v>1</v>
      </c>
      <c r="J135" s="32">
        <f>D135</f>
        <v>1</v>
      </c>
    </row>
    <row r="136" spans="1:10" ht="15.6" x14ac:dyDescent="0.3">
      <c r="A136" s="276"/>
      <c r="B136" s="24" t="s">
        <v>84</v>
      </c>
      <c r="C136" s="11" t="s">
        <v>3</v>
      </c>
      <c r="D136" s="26">
        <f>Bangula!D136+Bangula!E136+Bangula!F136</f>
        <v>0</v>
      </c>
      <c r="E136" s="26">
        <f>Chikwawa!D136+Chikwawa!E136+Chikwawa!F136</f>
        <v>0</v>
      </c>
      <c r="F136" s="26">
        <f>'Miseu Folo'!D136+'Miseu Folo'!E136+'Miseu Folo'!F136</f>
        <v>0</v>
      </c>
      <c r="G136" s="26">
        <f>Nchalo!D136+Nchalo!E136+Nchalo!F136</f>
        <v>0</v>
      </c>
      <c r="H136" s="26">
        <f>Nsanje!D136+Nsanje!E136+Nsanje!F136</f>
        <v>0</v>
      </c>
      <c r="I136" s="26">
        <f>Ngabu!D136+Ngabu!E136+Ngabu!F136</f>
        <v>0</v>
      </c>
      <c r="J136" s="55">
        <f>SUM(D136:I136)</f>
        <v>0</v>
      </c>
    </row>
    <row r="137" spans="1:10" ht="15.6" x14ac:dyDescent="0.3">
      <c r="A137" s="276"/>
      <c r="B137" s="82" t="s">
        <v>88</v>
      </c>
      <c r="C137" s="11" t="s">
        <v>3</v>
      </c>
      <c r="D137" s="26">
        <f>Bangula!D137+Bangula!E137+Bangula!F137</f>
        <v>0</v>
      </c>
      <c r="E137" s="26">
        <f>Chikwawa!D137+Chikwawa!E137+Chikwawa!F137</f>
        <v>0</v>
      </c>
      <c r="F137" s="26">
        <f>'Miseu Folo'!D137+'Miseu Folo'!E137+'Miseu Folo'!F137</f>
        <v>0</v>
      </c>
      <c r="G137" s="26">
        <f>Nchalo!D137+Nchalo!E137+Nchalo!F137</f>
        <v>0</v>
      </c>
      <c r="H137" s="26">
        <f>Nsanje!D137+Nsanje!E137+Nsanje!F137</f>
        <v>1</v>
      </c>
      <c r="I137" s="26">
        <f>Ngabu!D137+Ngabu!E137+Ngabu!F137</f>
        <v>0</v>
      </c>
      <c r="J137" s="55">
        <f>SUM(D137:I137)</f>
        <v>1</v>
      </c>
    </row>
    <row r="138" spans="1:10" ht="15.6" x14ac:dyDescent="0.3">
      <c r="A138" s="276"/>
      <c r="B138" s="24" t="s">
        <v>82</v>
      </c>
      <c r="C138" s="11" t="s">
        <v>3</v>
      </c>
      <c r="D138" s="26">
        <f>Bangula!D138+Bangula!E138+Bangula!F138</f>
        <v>0</v>
      </c>
      <c r="E138" s="26">
        <f>Chikwawa!D138+Chikwawa!E138+Chikwawa!F138</f>
        <v>0</v>
      </c>
      <c r="F138" s="26">
        <f>'Miseu Folo'!D138+'Miseu Folo'!E138+'Miseu Folo'!F138</f>
        <v>0</v>
      </c>
      <c r="G138" s="26">
        <f>Nchalo!D138+Nchalo!E138+Nchalo!F138</f>
        <v>0</v>
      </c>
      <c r="H138" s="26">
        <f>Nsanje!D138+Nsanje!E138+Nsanje!F138</f>
        <v>0</v>
      </c>
      <c r="I138" s="26">
        <f>Ngabu!D138+Ngabu!E138+Ngabu!F138</f>
        <v>0</v>
      </c>
      <c r="J138" s="55">
        <f>SUM(D138:I138)</f>
        <v>0</v>
      </c>
    </row>
    <row r="139" spans="1:10" ht="15.6" x14ac:dyDescent="0.3">
      <c r="A139" s="242"/>
      <c r="B139" s="24" t="s">
        <v>81</v>
      </c>
      <c r="C139" s="11" t="s">
        <v>3</v>
      </c>
      <c r="D139" s="140">
        <f t="shared" ref="D139:J139" si="39">D135+D136-D137-D138</f>
        <v>1</v>
      </c>
      <c r="E139" s="140">
        <f t="shared" si="39"/>
        <v>0</v>
      </c>
      <c r="F139" s="140">
        <f t="shared" si="39"/>
        <v>0</v>
      </c>
      <c r="G139" s="140">
        <f t="shared" si="39"/>
        <v>0</v>
      </c>
      <c r="H139" s="140">
        <f t="shared" si="39"/>
        <v>0</v>
      </c>
      <c r="I139" s="140">
        <f t="shared" si="39"/>
        <v>1</v>
      </c>
      <c r="J139" s="32">
        <f t="shared" si="39"/>
        <v>0</v>
      </c>
    </row>
    <row r="140" spans="1:10" ht="15.6" x14ac:dyDescent="0.3">
      <c r="A140" s="241" t="s">
        <v>87</v>
      </c>
      <c r="B140" s="24" t="s">
        <v>85</v>
      </c>
      <c r="C140" s="11" t="s">
        <v>3</v>
      </c>
      <c r="D140" s="26">
        <f>Bangula!D140</f>
        <v>41</v>
      </c>
      <c r="E140" s="26">
        <f>Chikwawa!D140</f>
        <v>326</v>
      </c>
      <c r="F140" s="26">
        <f>'Miseu Folo'!D140</f>
        <v>2</v>
      </c>
      <c r="G140" s="26">
        <f>Nchalo!D140</f>
        <v>432</v>
      </c>
      <c r="H140" s="26">
        <f>Nsanje!D140</f>
        <v>120</v>
      </c>
      <c r="I140" s="26">
        <f>Ngabu!E140</f>
        <v>67</v>
      </c>
      <c r="J140" s="32">
        <f>D140</f>
        <v>41</v>
      </c>
    </row>
    <row r="141" spans="1:10" ht="15.6" x14ac:dyDescent="0.3">
      <c r="A141" s="276"/>
      <c r="B141" s="24" t="s">
        <v>84</v>
      </c>
      <c r="C141" s="11" t="s">
        <v>3</v>
      </c>
      <c r="D141" s="26">
        <f>Bangula!D141+Bangula!E141+Bangula!F141</f>
        <v>10</v>
      </c>
      <c r="E141" s="26">
        <f>Chikwawa!D141+Chikwawa!E141+Chikwawa!F141</f>
        <v>63</v>
      </c>
      <c r="F141" s="26">
        <f>'Miseu Folo'!D141+'Miseu Folo'!E141+'Miseu Folo'!F141</f>
        <v>0</v>
      </c>
      <c r="G141" s="26">
        <f>Nchalo!D141+Nchalo!E141+Nchalo!F141</f>
        <v>18</v>
      </c>
      <c r="H141" s="26">
        <f>Nsanje!D141+Nsanje!E141+Nsanje!F141</f>
        <v>18</v>
      </c>
      <c r="I141" s="128">
        <f>Ngabu!D141+Ngabu!E141+Ngabu!F141</f>
        <v>10</v>
      </c>
      <c r="J141" s="55">
        <f>SUM(D141:I141)</f>
        <v>119</v>
      </c>
    </row>
    <row r="142" spans="1:10" ht="15.6" x14ac:dyDescent="0.3">
      <c r="A142" s="276"/>
      <c r="B142" s="24" t="s">
        <v>83</v>
      </c>
      <c r="C142" s="11" t="s">
        <v>3</v>
      </c>
      <c r="D142" s="26">
        <f>Bangula!D142+Bangula!E142+Bangula!F142</f>
        <v>0</v>
      </c>
      <c r="E142" s="26">
        <f>Chikwawa!D142+Chikwawa!E142+Chikwawa!F142</f>
        <v>59</v>
      </c>
      <c r="F142" s="26">
        <f>'Miseu Folo'!D142+'Miseu Folo'!E142+'Miseu Folo'!F142</f>
        <v>0</v>
      </c>
      <c r="G142" s="26">
        <f>Nchalo!D142+Nchalo!E142+Nchalo!F142</f>
        <v>18</v>
      </c>
      <c r="H142" s="26">
        <f>Nsanje!D142+Nsanje!E142+Nsanje!F142</f>
        <v>21</v>
      </c>
      <c r="I142" s="128">
        <f>Ngabu!D142+Ngabu!E142+Ngabu!F142</f>
        <v>20</v>
      </c>
      <c r="J142" s="55">
        <f>SUM(D142:I142)</f>
        <v>118</v>
      </c>
    </row>
    <row r="143" spans="1:10" ht="15.6" x14ac:dyDescent="0.3">
      <c r="A143" s="276"/>
      <c r="B143" s="24" t="s">
        <v>82</v>
      </c>
      <c r="C143" s="11" t="s">
        <v>3</v>
      </c>
      <c r="D143" s="26">
        <f>Bangula!D143+Bangula!E143+Bangula!F143</f>
        <v>7</v>
      </c>
      <c r="E143" s="26">
        <f>Chikwawa!D143+Chikwawa!E143+Chikwawa!F143</f>
        <v>0</v>
      </c>
      <c r="F143" s="26">
        <f>'Miseu Folo'!D143+'Miseu Folo'!E143+'Miseu Folo'!F143</f>
        <v>0</v>
      </c>
      <c r="G143" s="26">
        <f>Nchalo!D143+Nchalo!E143+Nchalo!F143</f>
        <v>39</v>
      </c>
      <c r="H143" s="26">
        <f>Nsanje!D143+Nsanje!E143+Nsanje!F143</f>
        <v>4</v>
      </c>
      <c r="I143" s="128">
        <f>Ngabu!D143+Ngabu!E143+Ngabu!F143</f>
        <v>0</v>
      </c>
      <c r="J143" s="55">
        <f>SUM(D143:I143)</f>
        <v>50</v>
      </c>
    </row>
    <row r="144" spans="1:10" ht="15.6" x14ac:dyDescent="0.3">
      <c r="A144" s="242"/>
      <c r="B144" s="24" t="s">
        <v>81</v>
      </c>
      <c r="C144" s="11" t="s">
        <v>3</v>
      </c>
      <c r="D144" s="140">
        <f t="shared" ref="D144:I144" si="40">D140+D141-D142-D143</f>
        <v>44</v>
      </c>
      <c r="E144" s="140">
        <f t="shared" si="40"/>
        <v>330</v>
      </c>
      <c r="F144" s="140">
        <f t="shared" si="40"/>
        <v>2</v>
      </c>
      <c r="G144" s="140">
        <f t="shared" si="40"/>
        <v>393</v>
      </c>
      <c r="H144" s="140">
        <f t="shared" si="40"/>
        <v>113</v>
      </c>
      <c r="I144" s="140">
        <f t="shared" si="40"/>
        <v>57</v>
      </c>
      <c r="J144" s="32">
        <f>J140+J141-J142-J143</f>
        <v>-8</v>
      </c>
    </row>
    <row r="145" spans="1:10" s="2" customFormat="1" ht="15.6" x14ac:dyDescent="0.3">
      <c r="A145" s="241" t="s">
        <v>86</v>
      </c>
      <c r="B145" s="24" t="s">
        <v>85</v>
      </c>
      <c r="C145" s="11" t="s">
        <v>3</v>
      </c>
      <c r="D145" s="141">
        <f>D125+D130+D135+D140</f>
        <v>42</v>
      </c>
      <c r="E145" s="141">
        <f t="shared" ref="E145:I145" si="41">E125+E130+E135+E140</f>
        <v>326</v>
      </c>
      <c r="F145" s="141">
        <f t="shared" si="41"/>
        <v>2</v>
      </c>
      <c r="G145" s="141">
        <f t="shared" si="41"/>
        <v>433</v>
      </c>
      <c r="H145" s="141">
        <f t="shared" si="41"/>
        <v>121</v>
      </c>
      <c r="I145" s="141">
        <f t="shared" si="41"/>
        <v>69</v>
      </c>
      <c r="J145" s="55">
        <f t="shared" ref="J145:J149" si="42">J125+J130+J135+J140</f>
        <v>42</v>
      </c>
    </row>
    <row r="146" spans="1:10" ht="15.6" x14ac:dyDescent="0.3">
      <c r="A146" s="276"/>
      <c r="B146" s="24" t="s">
        <v>84</v>
      </c>
      <c r="C146" s="11" t="s">
        <v>3</v>
      </c>
      <c r="D146" s="141">
        <f t="shared" ref="D146:I148" si="43">D126+D131+D136+D141</f>
        <v>10</v>
      </c>
      <c r="E146" s="141">
        <f t="shared" si="43"/>
        <v>63</v>
      </c>
      <c r="F146" s="141">
        <f t="shared" si="43"/>
        <v>0</v>
      </c>
      <c r="G146" s="141">
        <f t="shared" si="43"/>
        <v>18</v>
      </c>
      <c r="H146" s="141">
        <f t="shared" si="43"/>
        <v>18</v>
      </c>
      <c r="I146" s="141">
        <f t="shared" si="43"/>
        <v>10</v>
      </c>
      <c r="J146" s="55">
        <f t="shared" si="42"/>
        <v>119</v>
      </c>
    </row>
    <row r="147" spans="1:10" ht="15.6" x14ac:dyDescent="0.3">
      <c r="A147" s="276"/>
      <c r="B147" s="24" t="s">
        <v>83</v>
      </c>
      <c r="C147" s="11" t="s">
        <v>3</v>
      </c>
      <c r="D147" s="141">
        <f t="shared" si="43"/>
        <v>0</v>
      </c>
      <c r="E147" s="141">
        <f t="shared" si="43"/>
        <v>59</v>
      </c>
      <c r="F147" s="141">
        <f t="shared" si="43"/>
        <v>0</v>
      </c>
      <c r="G147" s="141">
        <f t="shared" si="43"/>
        <v>18</v>
      </c>
      <c r="H147" s="141">
        <f t="shared" si="43"/>
        <v>22</v>
      </c>
      <c r="I147" s="141">
        <f t="shared" si="43"/>
        <v>20</v>
      </c>
      <c r="J147" s="55">
        <f t="shared" si="42"/>
        <v>119</v>
      </c>
    </row>
    <row r="148" spans="1:10" ht="15.6" x14ac:dyDescent="0.3">
      <c r="A148" s="276"/>
      <c r="B148" s="24" t="s">
        <v>82</v>
      </c>
      <c r="C148" s="11" t="s">
        <v>3</v>
      </c>
      <c r="D148" s="141">
        <f t="shared" si="43"/>
        <v>7</v>
      </c>
      <c r="E148" s="141">
        <f t="shared" si="43"/>
        <v>0</v>
      </c>
      <c r="F148" s="141">
        <f t="shared" si="43"/>
        <v>0</v>
      </c>
      <c r="G148" s="141">
        <f t="shared" si="43"/>
        <v>39</v>
      </c>
      <c r="H148" s="141">
        <f t="shared" si="43"/>
        <v>4</v>
      </c>
      <c r="I148" s="141">
        <f t="shared" si="43"/>
        <v>0</v>
      </c>
      <c r="J148" s="55">
        <f t="shared" si="42"/>
        <v>50</v>
      </c>
    </row>
    <row r="149" spans="1:10" ht="15.6" x14ac:dyDescent="0.3">
      <c r="A149" s="242"/>
      <c r="B149" s="24" t="s">
        <v>81</v>
      </c>
      <c r="C149" s="11" t="s">
        <v>3</v>
      </c>
      <c r="D149" s="140">
        <f>D145+D146-D147-D148</f>
        <v>45</v>
      </c>
      <c r="E149" s="140">
        <f t="shared" ref="E149:I149" si="44">E145+E146-E147-E148</f>
        <v>330</v>
      </c>
      <c r="F149" s="140">
        <f t="shared" si="44"/>
        <v>2</v>
      </c>
      <c r="G149" s="140">
        <f t="shared" si="44"/>
        <v>394</v>
      </c>
      <c r="H149" s="140">
        <f t="shared" si="44"/>
        <v>113</v>
      </c>
      <c r="I149" s="140">
        <f t="shared" si="44"/>
        <v>59</v>
      </c>
      <c r="J149" s="55">
        <f t="shared" si="42"/>
        <v>-8</v>
      </c>
    </row>
    <row r="150" spans="1:10" x14ac:dyDescent="0.3">
      <c r="A150" s="277" t="s">
        <v>80</v>
      </c>
      <c r="B150" s="278"/>
      <c r="C150" s="278"/>
      <c r="D150" s="278"/>
      <c r="E150" s="278"/>
      <c r="F150" s="278"/>
      <c r="G150" s="278"/>
      <c r="H150" s="278"/>
      <c r="I150" s="278"/>
      <c r="J150" s="279"/>
    </row>
    <row r="151" spans="1:10" ht="15.6" customHeight="1" x14ac:dyDescent="0.3">
      <c r="A151" s="306" t="s">
        <v>79</v>
      </c>
      <c r="B151" s="307"/>
      <c r="C151" s="307"/>
      <c r="D151" s="307"/>
      <c r="E151" s="307"/>
      <c r="F151" s="307"/>
      <c r="G151" s="307"/>
      <c r="H151" s="307"/>
      <c r="I151" s="307"/>
      <c r="J151" s="308"/>
    </row>
    <row r="152" spans="1:10" ht="15.6" x14ac:dyDescent="0.3">
      <c r="A152" s="287" t="s">
        <v>78</v>
      </c>
      <c r="B152" s="92" t="s">
        <v>63</v>
      </c>
      <c r="C152" s="11"/>
      <c r="D152" s="142"/>
      <c r="E152" s="142"/>
      <c r="F152" s="142"/>
      <c r="G152" s="142"/>
      <c r="H152" s="142"/>
      <c r="I152" s="134"/>
      <c r="J152" s="9"/>
    </row>
    <row r="153" spans="1:10" ht="15.6" x14ac:dyDescent="0.3">
      <c r="A153" s="288"/>
      <c r="B153" s="19" t="s">
        <v>73</v>
      </c>
      <c r="C153" s="11" t="s">
        <v>57</v>
      </c>
      <c r="D153" s="142">
        <f>Bangula!D153+Bangula!E153+Bangula!F153</f>
        <v>53</v>
      </c>
      <c r="E153" s="142">
        <f>Chikwawa!D153+Chikwawa!E153+Chikwawa!F153</f>
        <v>204</v>
      </c>
      <c r="F153" s="142">
        <f>'Miseu Folo'!D153+'Miseu Folo'!E153+'Miseu Folo'!F153</f>
        <v>17</v>
      </c>
      <c r="G153" s="142">
        <f>Nchalo!D153+Nchalo!E153+Nchalo!F153</f>
        <v>98</v>
      </c>
      <c r="H153" s="142">
        <f>Nsanje!D153+Nsanje!E153+Nsanje!F153</f>
        <v>240</v>
      </c>
      <c r="I153" s="134">
        <f>Ngabu!D153+Ngabu!E153+Ngabu!F153</f>
        <v>68</v>
      </c>
      <c r="J153" s="74">
        <f t="shared" ref="J153:J165" si="45">SUM(D153:I153)</f>
        <v>680</v>
      </c>
    </row>
    <row r="154" spans="1:10" ht="15.6" x14ac:dyDescent="0.3">
      <c r="A154" s="288"/>
      <c r="B154" s="19" t="s">
        <v>72</v>
      </c>
      <c r="C154" s="11" t="s">
        <v>57</v>
      </c>
      <c r="D154" s="142">
        <f>Bangula!D154+Bangula!E154+Bangula!F154</f>
        <v>26</v>
      </c>
      <c r="E154" s="142">
        <f>Chikwawa!D154+Chikwawa!E154+Chikwawa!F154</f>
        <v>54</v>
      </c>
      <c r="F154" s="142">
        <f>'Miseu Folo'!D154+'Miseu Folo'!E154+'Miseu Folo'!F154</f>
        <v>7</v>
      </c>
      <c r="G154" s="142">
        <f>Nchalo!D154+Nchalo!E154+Nchalo!F154</f>
        <v>73</v>
      </c>
      <c r="H154" s="142">
        <f>Nsanje!D154+Nsanje!E154+Nsanje!F154</f>
        <v>91</v>
      </c>
      <c r="I154" s="134">
        <f>Ngabu!D154+Ngabu!E154+Ngabu!F154</f>
        <v>18</v>
      </c>
      <c r="J154" s="74">
        <f t="shared" si="45"/>
        <v>269</v>
      </c>
    </row>
    <row r="155" spans="1:10" ht="15.6" x14ac:dyDescent="0.3">
      <c r="A155" s="288"/>
      <c r="B155" s="19" t="s">
        <v>53</v>
      </c>
      <c r="C155" s="11" t="s">
        <v>57</v>
      </c>
      <c r="D155" s="142">
        <f>Bangula!D155+Bangula!E155+Bangula!F155</f>
        <v>0</v>
      </c>
      <c r="E155" s="142">
        <f>Chikwawa!D155+Chikwawa!E155+Chikwawa!F155</f>
        <v>12</v>
      </c>
      <c r="F155" s="142">
        <f>'Miseu Folo'!D155+'Miseu Folo'!E155+'Miseu Folo'!F155</f>
        <v>6</v>
      </c>
      <c r="G155" s="142">
        <f>Nchalo!D155+Nchalo!E155+Nchalo!F155</f>
        <v>15</v>
      </c>
      <c r="H155" s="142">
        <f>Nsanje!D155+Nsanje!E155+Nsanje!F155</f>
        <v>59</v>
      </c>
      <c r="I155" s="134">
        <f>Ngabu!D155+Ngabu!E155+Ngabu!F155</f>
        <v>10</v>
      </c>
      <c r="J155" s="74">
        <f t="shared" si="45"/>
        <v>102</v>
      </c>
    </row>
    <row r="156" spans="1:10" ht="15.6" x14ac:dyDescent="0.3">
      <c r="A156" s="288"/>
      <c r="B156" s="19" t="s">
        <v>71</v>
      </c>
      <c r="C156" s="11" t="s">
        <v>57</v>
      </c>
      <c r="D156" s="142">
        <f>Bangula!D156+Bangula!E156+Bangula!F156</f>
        <v>2</v>
      </c>
      <c r="E156" s="142">
        <f>Chikwawa!D156+Chikwawa!E156+Chikwawa!F156</f>
        <v>1</v>
      </c>
      <c r="F156" s="142">
        <f>'Miseu Folo'!D156+'Miseu Folo'!E156+'Miseu Folo'!F156</f>
        <v>1</v>
      </c>
      <c r="G156" s="142">
        <f>Nchalo!D156+Nchalo!E156+Nchalo!F156</f>
        <v>12</v>
      </c>
      <c r="H156" s="142">
        <f>Nsanje!D156+Nsanje!E156+Nsanje!F156</f>
        <v>25</v>
      </c>
      <c r="I156" s="134">
        <f>Ngabu!D156+Ngabu!E156+Ngabu!F156</f>
        <v>9</v>
      </c>
      <c r="J156" s="74">
        <f t="shared" si="45"/>
        <v>50</v>
      </c>
    </row>
    <row r="157" spans="1:10" ht="15.6" x14ac:dyDescent="0.3">
      <c r="A157" s="288"/>
      <c r="B157" s="19" t="s">
        <v>52</v>
      </c>
      <c r="C157" s="11" t="s">
        <v>57</v>
      </c>
      <c r="D157" s="142">
        <f>Bangula!D157+Bangula!E157+Bangula!F157</f>
        <v>1</v>
      </c>
      <c r="E157" s="142">
        <f>Chikwawa!D157+Chikwawa!E157+Chikwawa!F157</f>
        <v>8</v>
      </c>
      <c r="F157" s="142">
        <f>'Miseu Folo'!D157+'Miseu Folo'!E157+'Miseu Folo'!F157</f>
        <v>3</v>
      </c>
      <c r="G157" s="142">
        <f>Nchalo!D157+Nchalo!E157+Nchalo!F157</f>
        <v>2</v>
      </c>
      <c r="H157" s="142">
        <f>Nsanje!D157+Nsanje!E157+Nsanje!F157</f>
        <v>31</v>
      </c>
      <c r="I157" s="134">
        <f>Ngabu!D157+Ngabu!E157+Ngabu!F157</f>
        <v>7</v>
      </c>
      <c r="J157" s="74">
        <f t="shared" si="45"/>
        <v>52</v>
      </c>
    </row>
    <row r="158" spans="1:10" ht="15.6" x14ac:dyDescent="0.3">
      <c r="A158" s="288"/>
      <c r="B158" s="19" t="s">
        <v>51</v>
      </c>
      <c r="C158" s="11" t="s">
        <v>57</v>
      </c>
      <c r="D158" s="142">
        <f>Bangula!D158+Bangula!E158+Bangula!F158</f>
        <v>12</v>
      </c>
      <c r="E158" s="142">
        <f>Chikwawa!D158+Chikwawa!E158+Chikwawa!F158</f>
        <v>9</v>
      </c>
      <c r="F158" s="142">
        <f>'Miseu Folo'!D158+'Miseu Folo'!E158+'Miseu Folo'!F158</f>
        <v>0</v>
      </c>
      <c r="G158" s="142">
        <f>Nchalo!D158+Nchalo!E158+Nchalo!F158</f>
        <v>5</v>
      </c>
      <c r="H158" s="142">
        <f>Nsanje!D158+Nsanje!E158+Nsanje!F158</f>
        <v>15</v>
      </c>
      <c r="I158" s="134">
        <f>Ngabu!D158+Ngabu!E158+Ngabu!F158</f>
        <v>14</v>
      </c>
      <c r="J158" s="74">
        <f t="shared" si="45"/>
        <v>55</v>
      </c>
    </row>
    <row r="159" spans="1:10" ht="15.6" x14ac:dyDescent="0.3">
      <c r="A159" s="288"/>
      <c r="B159" s="19" t="s">
        <v>62</v>
      </c>
      <c r="C159" s="11" t="s">
        <v>57</v>
      </c>
      <c r="D159" s="142">
        <f>Bangula!D159+Bangula!E159+Bangula!F159</f>
        <v>0</v>
      </c>
      <c r="E159" s="142">
        <f>Chikwawa!D159+Chikwawa!E159+Chikwawa!F159</f>
        <v>0</v>
      </c>
      <c r="F159" s="142">
        <f>'Miseu Folo'!D159+'Miseu Folo'!E159+'Miseu Folo'!F159</f>
        <v>0</v>
      </c>
      <c r="G159" s="142">
        <f>Nchalo!D159+Nchalo!E159+Nchalo!F159</f>
        <v>0</v>
      </c>
      <c r="H159" s="142">
        <f>Nsanje!D159+Nsanje!E159+Nsanje!F159</f>
        <v>12</v>
      </c>
      <c r="I159" s="134">
        <f>Ngabu!D159+Ngabu!E159+Ngabu!F159</f>
        <v>0</v>
      </c>
      <c r="J159" s="74">
        <f t="shared" si="45"/>
        <v>12</v>
      </c>
    </row>
    <row r="160" spans="1:10" ht="15.6" x14ac:dyDescent="0.3">
      <c r="A160" s="288"/>
      <c r="B160" s="19" t="s">
        <v>50</v>
      </c>
      <c r="C160" s="11" t="s">
        <v>57</v>
      </c>
      <c r="D160" s="142">
        <f>Bangula!D160+Bangula!E160+Bangula!F160</f>
        <v>0</v>
      </c>
      <c r="E160" s="142">
        <f>Chikwawa!D160+Chikwawa!E160+Chikwawa!F160</f>
        <v>1</v>
      </c>
      <c r="F160" s="142">
        <f>'Miseu Folo'!D160+'Miseu Folo'!E160+'Miseu Folo'!F160</f>
        <v>0</v>
      </c>
      <c r="G160" s="142">
        <f>Nchalo!D160+Nchalo!E160+Nchalo!F160</f>
        <v>0</v>
      </c>
      <c r="H160" s="142">
        <f>Nsanje!D160+Nsanje!E160+Nsanje!F160</f>
        <v>7</v>
      </c>
      <c r="I160" s="134">
        <f>Ngabu!D160+Ngabu!E160+Ngabu!F160</f>
        <v>0</v>
      </c>
      <c r="J160" s="74">
        <f t="shared" si="45"/>
        <v>8</v>
      </c>
    </row>
    <row r="161" spans="1:10" ht="15.6" x14ac:dyDescent="0.3">
      <c r="A161" s="288"/>
      <c r="B161" s="19" t="s">
        <v>49</v>
      </c>
      <c r="C161" s="11" t="s">
        <v>57</v>
      </c>
      <c r="D161" s="142">
        <f>Bangula!D161+Bangula!E161+Bangula!F161</f>
        <v>3</v>
      </c>
      <c r="E161" s="142">
        <f>Chikwawa!D161+Chikwawa!E161+Chikwawa!F161</f>
        <v>2</v>
      </c>
      <c r="F161" s="142">
        <f>'Miseu Folo'!D161+'Miseu Folo'!E161+'Miseu Folo'!F161</f>
        <v>0</v>
      </c>
      <c r="G161" s="142">
        <f>Nchalo!D161+Nchalo!E161+Nchalo!F161</f>
        <v>6</v>
      </c>
      <c r="H161" s="142">
        <f>Nsanje!D161+Nsanje!E161+Nsanje!F161</f>
        <v>7</v>
      </c>
      <c r="I161" s="134">
        <f>Ngabu!D161+Ngabu!E161+Ngabu!F161</f>
        <v>1</v>
      </c>
      <c r="J161" s="74">
        <f t="shared" si="45"/>
        <v>19</v>
      </c>
    </row>
    <row r="162" spans="1:10" ht="15.6" x14ac:dyDescent="0.3">
      <c r="A162" s="288"/>
      <c r="B162" s="19" t="s">
        <v>77</v>
      </c>
      <c r="C162" s="11" t="s">
        <v>57</v>
      </c>
      <c r="D162" s="142">
        <f>Bangula!D162+Bangula!E162+Bangula!F162</f>
        <v>0</v>
      </c>
      <c r="E162" s="142">
        <f>Chikwawa!D162+Chikwawa!E162+Chikwawa!F162</f>
        <v>0</v>
      </c>
      <c r="F162" s="142">
        <f>'Miseu Folo'!D162+'Miseu Folo'!E162+'Miseu Folo'!F162</f>
        <v>0</v>
      </c>
      <c r="G162" s="142">
        <f>Nchalo!D162+Nchalo!E162+Nchalo!F162</f>
        <v>4</v>
      </c>
      <c r="H162" s="142">
        <f>Nsanje!D162+Nsanje!E162+Nsanje!F162</f>
        <v>2</v>
      </c>
      <c r="I162" s="134">
        <f>Ngabu!D162+Ngabu!E162+Ngabu!F162</f>
        <v>1</v>
      </c>
      <c r="J162" s="74">
        <f t="shared" si="45"/>
        <v>7</v>
      </c>
    </row>
    <row r="163" spans="1:10" ht="15.6" x14ac:dyDescent="0.3">
      <c r="A163" s="288"/>
      <c r="B163" s="19" t="s">
        <v>69</v>
      </c>
      <c r="C163" s="11" t="s">
        <v>57</v>
      </c>
      <c r="D163" s="142">
        <f>Bangula!D163+Bangula!E163+Bangula!F163</f>
        <v>0</v>
      </c>
      <c r="E163" s="142">
        <f>Chikwawa!D163+Chikwawa!E163+Chikwawa!F163</f>
        <v>0</v>
      </c>
      <c r="F163" s="142">
        <f>'Miseu Folo'!D163+'Miseu Folo'!E163+'Miseu Folo'!F163</f>
        <v>0</v>
      </c>
      <c r="G163" s="142">
        <f>Nchalo!D163+Nchalo!E163+Nchalo!F163</f>
        <v>0</v>
      </c>
      <c r="H163" s="142">
        <f>Nsanje!D163+Nsanje!E163+Nsanje!F163</f>
        <v>0</v>
      </c>
      <c r="I163" s="134">
        <f>Ngabu!D163+Ngabu!E163+Ngabu!F163</f>
        <v>2</v>
      </c>
      <c r="J163" s="74">
        <f t="shared" si="45"/>
        <v>2</v>
      </c>
    </row>
    <row r="164" spans="1:10" ht="15.6" x14ac:dyDescent="0.3">
      <c r="A164" s="288"/>
      <c r="B164" s="19" t="s">
        <v>68</v>
      </c>
      <c r="C164" s="11" t="s">
        <v>57</v>
      </c>
      <c r="D164" s="142">
        <f>Bangula!D164+Bangula!E164+Bangula!F164</f>
        <v>0</v>
      </c>
      <c r="E164" s="142">
        <f>Chikwawa!D164+Chikwawa!E164+Chikwawa!F164</f>
        <v>0</v>
      </c>
      <c r="F164" s="142">
        <f>'Miseu Folo'!D164+'Miseu Folo'!E164+'Miseu Folo'!F164</f>
        <v>0</v>
      </c>
      <c r="G164" s="142">
        <f>Nchalo!D164+Nchalo!E164+Nchalo!F164</f>
        <v>0</v>
      </c>
      <c r="H164" s="142">
        <f>Nsanje!D164+Nsanje!E164+Nsanje!F164</f>
        <v>0</v>
      </c>
      <c r="I164" s="134">
        <f>Ngabu!D164+Ngabu!E164+Ngabu!F164</f>
        <v>0</v>
      </c>
      <c r="J164" s="74">
        <f t="shared" si="45"/>
        <v>0</v>
      </c>
    </row>
    <row r="165" spans="1:10" ht="15.6" x14ac:dyDescent="0.3">
      <c r="A165" s="289"/>
      <c r="B165" s="19" t="s">
        <v>76</v>
      </c>
      <c r="C165" s="11" t="s">
        <v>57</v>
      </c>
      <c r="D165" s="142">
        <f>Bangula!D165+Bangula!E165+Bangula!F165</f>
        <v>0</v>
      </c>
      <c r="E165" s="142">
        <f>Chikwawa!D165+Chikwawa!E165+Chikwawa!F165</f>
        <v>0</v>
      </c>
      <c r="F165" s="142">
        <f>'Miseu Folo'!D165+'Miseu Folo'!E165+'Miseu Folo'!F165</f>
        <v>0</v>
      </c>
      <c r="G165" s="142">
        <f>Nchalo!D165+Nchalo!E165+Nchalo!F165</f>
        <v>0</v>
      </c>
      <c r="H165" s="142">
        <f>Nsanje!D165+Nsanje!E165+Nsanje!F165</f>
        <v>0</v>
      </c>
      <c r="I165" s="134">
        <f>Ngabu!D165+Ngabu!E165+Ngabu!F165</f>
        <v>0</v>
      </c>
      <c r="J165" s="74">
        <f t="shared" si="45"/>
        <v>0</v>
      </c>
    </row>
    <row r="166" spans="1:10" ht="15.6" x14ac:dyDescent="0.3">
      <c r="A166" s="287" t="s">
        <v>75</v>
      </c>
      <c r="B166" s="21" t="s">
        <v>63</v>
      </c>
      <c r="C166" s="11"/>
      <c r="D166" s="133"/>
      <c r="E166" s="133"/>
      <c r="F166" s="133"/>
      <c r="G166" s="133"/>
      <c r="H166" s="133"/>
      <c r="I166" s="569"/>
      <c r="J166" s="74"/>
    </row>
    <row r="167" spans="1:10" ht="15.6" x14ac:dyDescent="0.3">
      <c r="A167" s="288"/>
      <c r="B167" s="19" t="s">
        <v>74</v>
      </c>
      <c r="C167" s="11" t="s">
        <v>57</v>
      </c>
      <c r="D167" s="142">
        <f>Bangula!D167+Bangula!E167+Bangula!F167</f>
        <v>5</v>
      </c>
      <c r="E167" s="142">
        <f>Chikwawa!D167+Chikwawa!E167+Chikwawa!F167</f>
        <v>3</v>
      </c>
      <c r="F167" s="142">
        <f>'Miseu Folo'!D167+'Miseu Folo'!E167+'Miseu Folo'!F167</f>
        <v>1</v>
      </c>
      <c r="G167" s="142">
        <f>Nchalo!D167+Nchalo!E167+Nchalo!F167</f>
        <v>34</v>
      </c>
      <c r="H167" s="142">
        <f>Nsanje!D167+Nsanje!E167+Nsanje!F167</f>
        <v>19</v>
      </c>
      <c r="I167" s="134">
        <f>Ngabu!D167+Ngabu!E167+Ngabu!F167</f>
        <v>10</v>
      </c>
      <c r="J167" s="74">
        <f t="shared" ref="J167:J175" si="46">SUM(D167:I167)</f>
        <v>72</v>
      </c>
    </row>
    <row r="168" spans="1:10" ht="15.6" x14ac:dyDescent="0.3">
      <c r="A168" s="288"/>
      <c r="B168" s="19" t="s">
        <v>73</v>
      </c>
      <c r="C168" s="11" t="s">
        <v>57</v>
      </c>
      <c r="D168" s="142">
        <f>Bangula!D168+Bangula!E168+Bangula!F168</f>
        <v>0</v>
      </c>
      <c r="E168" s="142">
        <f>Chikwawa!D168+Chikwawa!E168+Chikwawa!F168</f>
        <v>0</v>
      </c>
      <c r="F168" s="142">
        <f>'Miseu Folo'!D168+'Miseu Folo'!E168+'Miseu Folo'!F168</f>
        <v>0</v>
      </c>
      <c r="G168" s="142">
        <f>Nchalo!D168+Nchalo!E168+Nchalo!F168</f>
        <v>18</v>
      </c>
      <c r="H168" s="142">
        <f>Nsanje!D168+Nsanje!E168+Nsanje!F168</f>
        <v>13</v>
      </c>
      <c r="I168" s="134">
        <f>Ngabu!D168+Ngabu!E168+Ngabu!F168</f>
        <v>8</v>
      </c>
      <c r="J168" s="74">
        <f t="shared" si="46"/>
        <v>39</v>
      </c>
    </row>
    <row r="169" spans="1:10" ht="15.6" x14ac:dyDescent="0.3">
      <c r="A169" s="288"/>
      <c r="B169" s="19" t="s">
        <v>72</v>
      </c>
      <c r="C169" s="11" t="s">
        <v>57</v>
      </c>
      <c r="D169" s="142">
        <f>Bangula!D169+Bangula!E169+Bangula!F169</f>
        <v>0</v>
      </c>
      <c r="E169" s="142">
        <f>Chikwawa!D169+Chikwawa!E169+Chikwawa!F169</f>
        <v>0</v>
      </c>
      <c r="F169" s="142">
        <f>'Miseu Folo'!D169+'Miseu Folo'!E169+'Miseu Folo'!F169</f>
        <v>0</v>
      </c>
      <c r="G169" s="142">
        <f>Nchalo!D169+Nchalo!E169+Nchalo!F169</f>
        <v>0</v>
      </c>
      <c r="H169" s="142">
        <f>Nsanje!D169+Nsanje!E169+Nsanje!F169</f>
        <v>0</v>
      </c>
      <c r="I169" s="134">
        <f>Ngabu!D169+Ngabu!E169+Ngabu!F169</f>
        <v>0</v>
      </c>
      <c r="J169" s="74">
        <f t="shared" si="46"/>
        <v>0</v>
      </c>
    </row>
    <row r="170" spans="1:10" ht="15.6" x14ac:dyDescent="0.3">
      <c r="A170" s="288"/>
      <c r="B170" s="19" t="s">
        <v>71</v>
      </c>
      <c r="C170" s="11" t="s">
        <v>57</v>
      </c>
      <c r="D170" s="142">
        <f>Bangula!D170+Bangula!E170+Bangula!F170</f>
        <v>0</v>
      </c>
      <c r="E170" s="142">
        <f>Chikwawa!D170+Chikwawa!E170+Chikwawa!F170</f>
        <v>0</v>
      </c>
      <c r="F170" s="142">
        <f>'Miseu Folo'!D170+'Miseu Folo'!E170+'Miseu Folo'!F170</f>
        <v>0</v>
      </c>
      <c r="G170" s="142">
        <f>Nchalo!D170+Nchalo!E170+Nchalo!F170</f>
        <v>0</v>
      </c>
      <c r="H170" s="142">
        <f>Nsanje!D170+Nsanje!E170+Nsanje!F170</f>
        <v>0</v>
      </c>
      <c r="I170" s="134">
        <f>Ngabu!D170+Ngabu!E170+Ngabu!F170</f>
        <v>0</v>
      </c>
      <c r="J170" s="74">
        <f t="shared" si="46"/>
        <v>0</v>
      </c>
    </row>
    <row r="171" spans="1:10" ht="15.6" x14ac:dyDescent="0.3">
      <c r="A171" s="288"/>
      <c r="B171" s="19" t="s">
        <v>52</v>
      </c>
      <c r="C171" s="11" t="s">
        <v>57</v>
      </c>
      <c r="D171" s="142">
        <f>Bangula!D171+Bangula!E171+Bangula!F171</f>
        <v>0</v>
      </c>
      <c r="E171" s="142">
        <f>Chikwawa!D171+Chikwawa!E171+Chikwawa!F171</f>
        <v>0</v>
      </c>
      <c r="F171" s="142">
        <f>'Miseu Folo'!D171+'Miseu Folo'!E171+'Miseu Folo'!F171</f>
        <v>0</v>
      </c>
      <c r="G171" s="142">
        <f>Nchalo!D171+Nchalo!E171+Nchalo!F171</f>
        <v>0</v>
      </c>
      <c r="H171" s="142">
        <f>Nsanje!D171+Nsanje!E171+Nsanje!F171</f>
        <v>0</v>
      </c>
      <c r="I171" s="134">
        <f>Ngabu!D171+Ngabu!E171+Ngabu!F171</f>
        <v>0</v>
      </c>
      <c r="J171" s="74">
        <f t="shared" si="46"/>
        <v>0</v>
      </c>
    </row>
    <row r="172" spans="1:10" ht="15.6" x14ac:dyDescent="0.3">
      <c r="A172" s="288"/>
      <c r="B172" s="19" t="s">
        <v>62</v>
      </c>
      <c r="C172" s="11" t="s">
        <v>57</v>
      </c>
      <c r="D172" s="142">
        <f>Bangula!D172+Bangula!E172+Bangula!F172</f>
        <v>0</v>
      </c>
      <c r="E172" s="142">
        <f>Chikwawa!D172+Chikwawa!E172+Chikwawa!F172</f>
        <v>0</v>
      </c>
      <c r="F172" s="142">
        <f>'Miseu Folo'!D172+'Miseu Folo'!E172+'Miseu Folo'!F172</f>
        <v>0</v>
      </c>
      <c r="G172" s="142">
        <f>Nchalo!D172+Nchalo!E172+Nchalo!F172</f>
        <v>0</v>
      </c>
      <c r="H172" s="142">
        <f>Nsanje!D172+Nsanje!E172+Nsanje!F172</f>
        <v>0</v>
      </c>
      <c r="I172" s="134">
        <f>Ngabu!D172+Ngabu!E172+Ngabu!F172</f>
        <v>0</v>
      </c>
      <c r="J172" s="74">
        <f t="shared" si="46"/>
        <v>0</v>
      </c>
    </row>
    <row r="173" spans="1:10" ht="15.6" x14ac:dyDescent="0.3">
      <c r="A173" s="288"/>
      <c r="B173" s="19" t="s">
        <v>61</v>
      </c>
      <c r="C173" s="11" t="s">
        <v>57</v>
      </c>
      <c r="D173" s="142">
        <f>Bangula!D173+Bangula!E173+Bangula!F173</f>
        <v>0</v>
      </c>
      <c r="E173" s="142">
        <f>Chikwawa!D173+Chikwawa!E173+Chikwawa!F173</f>
        <v>0</v>
      </c>
      <c r="F173" s="142">
        <f>'Miseu Folo'!D173+'Miseu Folo'!E173+'Miseu Folo'!F173</f>
        <v>0</v>
      </c>
      <c r="G173" s="142">
        <f>Nchalo!D173+Nchalo!E173+Nchalo!F173</f>
        <v>0</v>
      </c>
      <c r="H173" s="142">
        <f>Nsanje!D173+Nsanje!E173+Nsanje!F173</f>
        <v>0</v>
      </c>
      <c r="I173" s="134">
        <f>Ngabu!D173+Ngabu!E173+Ngabu!F173</f>
        <v>0</v>
      </c>
      <c r="J173" s="74">
        <f t="shared" si="46"/>
        <v>0</v>
      </c>
    </row>
    <row r="174" spans="1:10" ht="15.6" x14ac:dyDescent="0.3">
      <c r="A174" s="288"/>
      <c r="B174" s="19" t="s">
        <v>60</v>
      </c>
      <c r="C174" s="11" t="s">
        <v>57</v>
      </c>
      <c r="D174" s="142">
        <f>Bangula!D174+Bangula!E174+Bangula!F174</f>
        <v>0</v>
      </c>
      <c r="E174" s="142">
        <f>Chikwawa!D174+Chikwawa!E174+Chikwawa!F174</f>
        <v>0</v>
      </c>
      <c r="F174" s="142">
        <f>'Miseu Folo'!D174+'Miseu Folo'!E174+'Miseu Folo'!F174</f>
        <v>0</v>
      </c>
      <c r="G174" s="142">
        <f>Nchalo!D174+Nchalo!E174+Nchalo!F174</f>
        <v>0</v>
      </c>
      <c r="H174" s="142">
        <f>Nsanje!D174+Nsanje!E174+Nsanje!F174</f>
        <v>0</v>
      </c>
      <c r="I174" s="134">
        <f>Ngabu!D174+Ngabu!E174+Ngabu!F174</f>
        <v>0</v>
      </c>
      <c r="J174" s="74">
        <f t="shared" si="46"/>
        <v>0</v>
      </c>
    </row>
    <row r="175" spans="1:10" ht="15.6" x14ac:dyDescent="0.3">
      <c r="A175" s="289"/>
      <c r="B175" s="19" t="s">
        <v>69</v>
      </c>
      <c r="C175" s="11" t="s">
        <v>57</v>
      </c>
      <c r="D175" s="142">
        <f>Bangula!D175+Bangula!E175+Bangula!F175</f>
        <v>0</v>
      </c>
      <c r="E175" s="142">
        <f>Chikwawa!D175+Chikwawa!E175+Chikwawa!F175</f>
        <v>0</v>
      </c>
      <c r="F175" s="142">
        <f>'Miseu Folo'!D175+'Miseu Folo'!E175+'Miseu Folo'!F175</f>
        <v>0</v>
      </c>
      <c r="G175" s="142">
        <f>Nchalo!D175+Nchalo!E175+Nchalo!F175</f>
        <v>0</v>
      </c>
      <c r="H175" s="142">
        <f>Nsanje!D175+Nsanje!E175+Nsanje!F175</f>
        <v>0</v>
      </c>
      <c r="I175" s="134">
        <f>Ngabu!D175+Ngabu!E175+Ngabu!F175</f>
        <v>0</v>
      </c>
      <c r="J175" s="74">
        <f t="shared" si="46"/>
        <v>0</v>
      </c>
    </row>
    <row r="176" spans="1:10" ht="15.6" x14ac:dyDescent="0.3">
      <c r="A176" s="287" t="s">
        <v>70</v>
      </c>
      <c r="B176" s="21" t="s">
        <v>63</v>
      </c>
      <c r="C176" s="11"/>
      <c r="D176" s="133"/>
      <c r="E176" s="133"/>
      <c r="F176" s="133"/>
      <c r="G176" s="133"/>
      <c r="H176" s="133"/>
      <c r="I176" s="569"/>
      <c r="J176" s="74"/>
    </row>
    <row r="177" spans="1:10" ht="15.6" x14ac:dyDescent="0.3">
      <c r="A177" s="288"/>
      <c r="B177" s="19" t="s">
        <v>60</v>
      </c>
      <c r="C177" s="11" t="s">
        <v>57</v>
      </c>
      <c r="D177" s="142">
        <f>Bangula!D177+Bangula!E177+Bangula!F177</f>
        <v>0</v>
      </c>
      <c r="E177" s="142">
        <f>Chikwawa!D177+Chikwawa!E177+Chikwawa!F177</f>
        <v>0</v>
      </c>
      <c r="F177" s="142">
        <f>'Miseu Folo'!D177+'Miseu Folo'!E177+'Miseu Folo'!F177</f>
        <v>0</v>
      </c>
      <c r="G177" s="142">
        <f>Nchalo!D177+Nchalo!E177+Nchalo!F177</f>
        <v>0</v>
      </c>
      <c r="H177" s="142">
        <f>Nsanje!D177+Nsanje!E177+Nsanje!F177</f>
        <v>0</v>
      </c>
      <c r="I177" s="134">
        <f>Ngabu!D177+Ngabu!E177+Ngabu!F177</f>
        <v>0</v>
      </c>
      <c r="J177" s="74">
        <f t="shared" ref="J177:J182" si="47">SUM(D177:I177)</f>
        <v>0</v>
      </c>
    </row>
    <row r="178" spans="1:10" ht="15.6" x14ac:dyDescent="0.3">
      <c r="A178" s="288"/>
      <c r="B178" s="19" t="s">
        <v>69</v>
      </c>
      <c r="C178" s="11" t="s">
        <v>57</v>
      </c>
      <c r="D178" s="142">
        <f>Bangula!D178+Bangula!E178+Bangula!F178</f>
        <v>0</v>
      </c>
      <c r="E178" s="142">
        <f>Chikwawa!D178+Chikwawa!E178+Chikwawa!F178</f>
        <v>0</v>
      </c>
      <c r="F178" s="142">
        <f>'Miseu Folo'!D178+'Miseu Folo'!E178+'Miseu Folo'!F178</f>
        <v>0</v>
      </c>
      <c r="G178" s="142">
        <f>Nchalo!D178+Nchalo!E178+Nchalo!F178</f>
        <v>0</v>
      </c>
      <c r="H178" s="142">
        <f>Nsanje!D178+Nsanje!E178+Nsanje!F178</f>
        <v>0</v>
      </c>
      <c r="I178" s="134">
        <f>Ngabu!D178+Ngabu!E178+Ngabu!F178</f>
        <v>0</v>
      </c>
      <c r="J178" s="74">
        <f t="shared" si="47"/>
        <v>0</v>
      </c>
    </row>
    <row r="179" spans="1:10" ht="15.6" x14ac:dyDescent="0.3">
      <c r="A179" s="288"/>
      <c r="B179" s="19" t="s">
        <v>68</v>
      </c>
      <c r="C179" s="11" t="s">
        <v>57</v>
      </c>
      <c r="D179" s="142">
        <f>Bangula!D179+Bangula!E179+Bangula!F179</f>
        <v>0</v>
      </c>
      <c r="E179" s="142">
        <f>Chikwawa!D179+Chikwawa!E179+Chikwawa!F179</f>
        <v>0</v>
      </c>
      <c r="F179" s="142">
        <f>'Miseu Folo'!D179+'Miseu Folo'!E179+'Miseu Folo'!F179</f>
        <v>0</v>
      </c>
      <c r="G179" s="142">
        <f>Nchalo!D179+Nchalo!E179+Nchalo!F179</f>
        <v>0</v>
      </c>
      <c r="H179" s="142">
        <f>Nsanje!D179+Nsanje!E179+Nsanje!F179</f>
        <v>0</v>
      </c>
      <c r="I179" s="134">
        <f>Ngabu!D179+Ngabu!E179+Ngabu!F179</f>
        <v>0</v>
      </c>
      <c r="J179" s="74">
        <f t="shared" si="47"/>
        <v>0</v>
      </c>
    </row>
    <row r="180" spans="1:10" ht="15.6" x14ac:dyDescent="0.3">
      <c r="A180" s="288"/>
      <c r="B180" s="19" t="s">
        <v>67</v>
      </c>
      <c r="C180" s="11" t="s">
        <v>57</v>
      </c>
      <c r="D180" s="142">
        <f>Bangula!D180+Bangula!E180+Bangula!F180</f>
        <v>0</v>
      </c>
      <c r="E180" s="142">
        <f>Chikwawa!D180+Chikwawa!E180+Chikwawa!F180</f>
        <v>0</v>
      </c>
      <c r="F180" s="142">
        <f>'Miseu Folo'!D180+'Miseu Folo'!E180+'Miseu Folo'!F180</f>
        <v>0</v>
      </c>
      <c r="G180" s="142">
        <f>Nchalo!D180+Nchalo!E180+Nchalo!F180</f>
        <v>0</v>
      </c>
      <c r="H180" s="142">
        <f>Nsanje!D180+Nsanje!E180+Nsanje!F180</f>
        <v>0</v>
      </c>
      <c r="I180" s="134">
        <f>Ngabu!D180+Ngabu!E180+Ngabu!F180</f>
        <v>0</v>
      </c>
      <c r="J180" s="74">
        <f t="shared" si="47"/>
        <v>0</v>
      </c>
    </row>
    <row r="181" spans="1:10" ht="15.6" x14ac:dyDescent="0.3">
      <c r="A181" s="288"/>
      <c r="B181" s="19" t="s">
        <v>66</v>
      </c>
      <c r="C181" s="11" t="s">
        <v>57</v>
      </c>
      <c r="D181" s="142">
        <f>Bangula!D181+Bangula!E181+Bangula!F181</f>
        <v>0</v>
      </c>
      <c r="E181" s="142">
        <f>Chikwawa!D181+Chikwawa!E181+Chikwawa!F181</f>
        <v>0</v>
      </c>
      <c r="F181" s="142">
        <f>'Miseu Folo'!D181+'Miseu Folo'!E181+'Miseu Folo'!F181</f>
        <v>0</v>
      </c>
      <c r="G181" s="142">
        <f>Nchalo!D181+Nchalo!E181+Nchalo!F181</f>
        <v>0</v>
      </c>
      <c r="H181" s="142">
        <f>Nsanje!D181+Nsanje!E181+Nsanje!F181</f>
        <v>0</v>
      </c>
      <c r="I181" s="134">
        <f>Ngabu!D181+Ngabu!E181+Ngabu!F181</f>
        <v>0</v>
      </c>
      <c r="J181" s="74">
        <f t="shared" si="47"/>
        <v>0</v>
      </c>
    </row>
    <row r="182" spans="1:10" ht="15.6" x14ac:dyDescent="0.3">
      <c r="A182" s="289"/>
      <c r="B182" s="19" t="s">
        <v>65</v>
      </c>
      <c r="C182" s="11" t="s">
        <v>57</v>
      </c>
      <c r="D182" s="142">
        <f>Bangula!D182+Bangula!E182+Bangula!F182</f>
        <v>0</v>
      </c>
      <c r="E182" s="142">
        <f>Chikwawa!D182+Chikwawa!E182+Chikwawa!F182</f>
        <v>0</v>
      </c>
      <c r="F182" s="142">
        <f>'Miseu Folo'!D182+'Miseu Folo'!E182+'Miseu Folo'!F182</f>
        <v>0</v>
      </c>
      <c r="G182" s="142">
        <f>Nchalo!D182+Nchalo!E182+Nchalo!F182</f>
        <v>0</v>
      </c>
      <c r="H182" s="142">
        <f>Nsanje!D182+Nsanje!E182+Nsanje!F182</f>
        <v>0</v>
      </c>
      <c r="I182" s="134">
        <f>Ngabu!D182+Ngabu!E182+Ngabu!F182</f>
        <v>0</v>
      </c>
      <c r="J182" s="74">
        <f t="shared" si="47"/>
        <v>0</v>
      </c>
    </row>
    <row r="183" spans="1:10" ht="15.6" x14ac:dyDescent="0.3">
      <c r="A183" s="287" t="s">
        <v>209</v>
      </c>
      <c r="B183" s="21" t="s">
        <v>63</v>
      </c>
      <c r="C183" s="11"/>
      <c r="D183" s="133"/>
      <c r="E183" s="133"/>
      <c r="F183" s="133"/>
      <c r="G183" s="133"/>
      <c r="H183" s="133"/>
      <c r="I183" s="569"/>
      <c r="J183" s="74"/>
    </row>
    <row r="184" spans="1:10" ht="15.6" x14ac:dyDescent="0.3">
      <c r="A184" s="288"/>
      <c r="B184" s="19" t="s">
        <v>73</v>
      </c>
      <c r="C184" s="11" t="s">
        <v>57</v>
      </c>
      <c r="D184" s="142">
        <f>Bangula!D184+Bangula!E184+Bangula!F184</f>
        <v>0</v>
      </c>
      <c r="E184" s="142">
        <f>Chikwawa!D184+Chikwawa!E184+Chikwawa!F184</f>
        <v>0</v>
      </c>
      <c r="F184" s="142">
        <f>'Miseu Folo'!D184+'Miseu Folo'!E184+'Miseu Folo'!F184</f>
        <v>0</v>
      </c>
      <c r="G184" s="142">
        <f>Nchalo!D184+Nchalo!E184+Nchalo!F184</f>
        <v>0</v>
      </c>
      <c r="H184" s="142">
        <f>Nsanje!D184+Nsanje!E184+Nsanje!F184</f>
        <v>0</v>
      </c>
      <c r="I184" s="134">
        <f>Ngabu!D184+Ngabu!E184+Ngabu!F184</f>
        <v>0</v>
      </c>
      <c r="J184" s="74">
        <f>SUM(D184:I184)</f>
        <v>0</v>
      </c>
    </row>
    <row r="185" spans="1:10" ht="15.6" x14ac:dyDescent="0.3">
      <c r="A185" s="288"/>
      <c r="B185" s="19" t="s">
        <v>72</v>
      </c>
      <c r="C185" s="11" t="s">
        <v>57</v>
      </c>
      <c r="D185" s="142">
        <f>Bangula!D185+Bangula!E185+Bangula!F185</f>
        <v>0</v>
      </c>
      <c r="E185" s="142">
        <f>Chikwawa!D185+Chikwawa!E185+Chikwawa!F185</f>
        <v>0</v>
      </c>
      <c r="F185" s="142">
        <f>'Miseu Folo'!D185+'Miseu Folo'!E185+'Miseu Folo'!F185</f>
        <v>0</v>
      </c>
      <c r="G185" s="142">
        <f>Nchalo!D185+Nchalo!E185+Nchalo!F185</f>
        <v>0</v>
      </c>
      <c r="H185" s="142">
        <f>Nsanje!D185+Nsanje!E185+Nsanje!F185</f>
        <v>0</v>
      </c>
      <c r="I185" s="134">
        <f>Ngabu!D185+Ngabu!E185+Ngabu!F185</f>
        <v>0</v>
      </c>
      <c r="J185" s="74">
        <f>SUM(D185:I185)</f>
        <v>0</v>
      </c>
    </row>
    <row r="186" spans="1:10" ht="15.6" x14ac:dyDescent="0.3">
      <c r="A186" s="288"/>
      <c r="B186" s="19" t="s">
        <v>53</v>
      </c>
      <c r="C186" s="11" t="s">
        <v>57</v>
      </c>
      <c r="D186" s="142">
        <f>Bangula!D186+Bangula!E186+Bangula!F186</f>
        <v>0</v>
      </c>
      <c r="E186" s="142">
        <f>Chikwawa!D186+Chikwawa!E186+Chikwawa!F186</f>
        <v>0</v>
      </c>
      <c r="F186" s="142">
        <f>'Miseu Folo'!D186+'Miseu Folo'!E186+'Miseu Folo'!F186</f>
        <v>0</v>
      </c>
      <c r="G186" s="142">
        <f>Nchalo!D186+Nchalo!E186+Nchalo!F186</f>
        <v>0</v>
      </c>
      <c r="H186" s="142">
        <f>Nsanje!D186+Nsanje!E186+Nsanje!F186</f>
        <v>0</v>
      </c>
      <c r="I186" s="134">
        <f>Ngabu!D186+Ngabu!E186+Ngabu!F186</f>
        <v>0</v>
      </c>
      <c r="J186" s="74">
        <f>SUM(D186:I186)</f>
        <v>0</v>
      </c>
    </row>
    <row r="187" spans="1:10" ht="15.6" x14ac:dyDescent="0.3">
      <c r="A187" s="289"/>
      <c r="B187" s="19" t="s">
        <v>52</v>
      </c>
      <c r="C187" s="11" t="s">
        <v>57</v>
      </c>
      <c r="D187" s="142">
        <f>Bangula!D187+Bangula!E187+Bangula!F187</f>
        <v>0</v>
      </c>
      <c r="E187" s="142">
        <f>Chikwawa!D187+Chikwawa!E187+Chikwawa!F187</f>
        <v>0</v>
      </c>
      <c r="F187" s="142">
        <f>'Miseu Folo'!D187+'Miseu Folo'!E187+'Miseu Folo'!F187</f>
        <v>0</v>
      </c>
      <c r="G187" s="142">
        <f>Nchalo!D187+Nchalo!E187+Nchalo!F187</f>
        <v>0</v>
      </c>
      <c r="H187" s="142">
        <f>Nsanje!D187+Nsanje!E187+Nsanje!F187</f>
        <v>0</v>
      </c>
      <c r="I187" s="134">
        <f>Ngabu!D187+Ngabu!E187+Ngabu!F187</f>
        <v>0</v>
      </c>
      <c r="J187" s="74">
        <f>SUM(D187:I187)</f>
        <v>0</v>
      </c>
    </row>
    <row r="188" spans="1:10" ht="15.6" x14ac:dyDescent="0.3">
      <c r="A188" s="287" t="s">
        <v>64</v>
      </c>
      <c r="B188" s="21" t="s">
        <v>63</v>
      </c>
      <c r="C188" s="11"/>
      <c r="D188" s="133"/>
      <c r="E188" s="133"/>
      <c r="F188" s="133"/>
      <c r="G188" s="133"/>
      <c r="H188" s="133"/>
      <c r="I188" s="569"/>
      <c r="J188" s="74"/>
    </row>
    <row r="189" spans="1:10" ht="15.6" x14ac:dyDescent="0.3">
      <c r="A189" s="288"/>
      <c r="B189" s="20" t="s">
        <v>52</v>
      </c>
      <c r="C189" s="11" t="s">
        <v>57</v>
      </c>
      <c r="D189" s="142">
        <f>Bangula!D189+Bangula!E189+Bangula!F189</f>
        <v>0</v>
      </c>
      <c r="E189" s="142">
        <f>Chikwawa!D189+Chikwawa!E189+Chikwawa!F189</f>
        <v>0</v>
      </c>
      <c r="F189" s="142">
        <f>'Miseu Folo'!D189+'Miseu Folo'!E189+'Miseu Folo'!F189</f>
        <v>0</v>
      </c>
      <c r="G189" s="142">
        <f>Nchalo!D189+Nchalo!E189+Nchalo!F189</f>
        <v>0</v>
      </c>
      <c r="H189" s="142">
        <f>Nsanje!D189+Nsanje!E189+Nsanje!F189</f>
        <v>0</v>
      </c>
      <c r="I189" s="134">
        <f>Ngabu!D189+Ngabu!E189+Ngabu!F189</f>
        <v>0</v>
      </c>
      <c r="J189" s="74">
        <f>SUM(D189:I189)</f>
        <v>0</v>
      </c>
    </row>
    <row r="190" spans="1:10" ht="15.6" x14ac:dyDescent="0.3">
      <c r="A190" s="288"/>
      <c r="B190" s="19" t="s">
        <v>62</v>
      </c>
      <c r="C190" s="11" t="s">
        <v>57</v>
      </c>
      <c r="D190" s="142">
        <f>Bangula!D190+Bangula!E190+Bangula!F190</f>
        <v>0</v>
      </c>
      <c r="E190" s="142">
        <f>Chikwawa!D190+Chikwawa!E190+Chikwawa!F190</f>
        <v>0</v>
      </c>
      <c r="F190" s="142">
        <f>'Miseu Folo'!D190+'Miseu Folo'!E190+'Miseu Folo'!F190</f>
        <v>0</v>
      </c>
      <c r="G190" s="142">
        <f>Nchalo!D190+Nchalo!E190+Nchalo!F190</f>
        <v>0</v>
      </c>
      <c r="H190" s="142">
        <f>Nsanje!D190+Nsanje!E190+Nsanje!F190</f>
        <v>0</v>
      </c>
      <c r="I190" s="134">
        <f>Ngabu!D190+Ngabu!E190+Ngabu!F190</f>
        <v>0</v>
      </c>
      <c r="J190" s="74">
        <f>SUM(D190:I190)</f>
        <v>0</v>
      </c>
    </row>
    <row r="191" spans="1:10" ht="15.6" x14ac:dyDescent="0.3">
      <c r="A191" s="288"/>
      <c r="B191" s="19" t="s">
        <v>61</v>
      </c>
      <c r="C191" s="11" t="s">
        <v>57</v>
      </c>
      <c r="D191" s="142">
        <f>Bangula!D191+Bangula!E191+Bangula!F191</f>
        <v>0</v>
      </c>
      <c r="E191" s="142">
        <f>Chikwawa!D191+Chikwawa!E191+Chikwawa!F191</f>
        <v>0</v>
      </c>
      <c r="F191" s="142">
        <f>'Miseu Folo'!D191+'Miseu Folo'!E191+'Miseu Folo'!F191</f>
        <v>0</v>
      </c>
      <c r="G191" s="142">
        <f>Nchalo!D191+Nchalo!E191+Nchalo!F191</f>
        <v>0</v>
      </c>
      <c r="H191" s="142">
        <f>Nsanje!D191+Nsanje!E191+Nsanje!F191</f>
        <v>0</v>
      </c>
      <c r="I191" s="134">
        <f>Ngabu!D191+Ngabu!E191+Ngabu!F191</f>
        <v>0</v>
      </c>
      <c r="J191" s="74">
        <f>SUM(D191:I191)</f>
        <v>0</v>
      </c>
    </row>
    <row r="192" spans="1:10" ht="15.6" x14ac:dyDescent="0.3">
      <c r="A192" s="289"/>
      <c r="B192" s="19" t="s">
        <v>60</v>
      </c>
      <c r="C192" s="11" t="s">
        <v>57</v>
      </c>
      <c r="D192" s="142">
        <f>Bangula!D192+Bangula!E192+Bangula!F192</f>
        <v>0</v>
      </c>
      <c r="E192" s="142">
        <f>Chikwawa!D192+Chikwawa!E192+Chikwawa!F192</f>
        <v>0</v>
      </c>
      <c r="F192" s="142">
        <f>'Miseu Folo'!D192+'Miseu Folo'!E192+'Miseu Folo'!F192</f>
        <v>0</v>
      </c>
      <c r="G192" s="142">
        <f>Nchalo!D192+Nchalo!E192+Nchalo!F192</f>
        <v>0</v>
      </c>
      <c r="H192" s="142">
        <f>Nsanje!D192+Nsanje!E192+Nsanje!F192</f>
        <v>0</v>
      </c>
      <c r="I192" s="134">
        <f>Ngabu!D192+Ngabu!E192+Ngabu!F192</f>
        <v>0</v>
      </c>
      <c r="J192" s="74">
        <f>SUM(D192:I192)</f>
        <v>0</v>
      </c>
    </row>
    <row r="193" spans="1:10" ht="15.6" x14ac:dyDescent="0.3">
      <c r="A193" s="309" t="s">
        <v>59</v>
      </c>
      <c r="B193" s="310"/>
      <c r="C193" s="11"/>
      <c r="D193" s="141">
        <f>SUM(D153:D192)</f>
        <v>102</v>
      </c>
      <c r="E193" s="141">
        <f t="shared" ref="E193:G193" si="48">SUM(E153:E192)</f>
        <v>294</v>
      </c>
      <c r="F193" s="141">
        <f t="shared" si="48"/>
        <v>35</v>
      </c>
      <c r="G193" s="141">
        <f t="shared" si="48"/>
        <v>267</v>
      </c>
      <c r="H193" s="141">
        <f>SUM(H153:H192)</f>
        <v>521</v>
      </c>
      <c r="I193" s="135">
        <f>SUM(I153:I192)</f>
        <v>148</v>
      </c>
      <c r="J193" s="55">
        <f>SUM(J153:J192)</f>
        <v>1367</v>
      </c>
    </row>
    <row r="194" spans="1:10" ht="15.6" x14ac:dyDescent="0.3">
      <c r="A194" s="282" t="s">
        <v>58</v>
      </c>
      <c r="B194" s="283"/>
      <c r="C194" s="11" t="s">
        <v>57</v>
      </c>
      <c r="D194" s="142">
        <f>Bangula!D194+Bangula!E194+Bangula!F194</f>
        <v>70</v>
      </c>
      <c r="E194" s="142">
        <f>Chikwawa!D194+Chikwawa!E194+Chikwawa!F194</f>
        <v>134</v>
      </c>
      <c r="F194" s="142">
        <f>'Miseu Folo'!D194+'Miseu Folo'!E194+'Miseu Folo'!F194</f>
        <v>0</v>
      </c>
      <c r="G194" s="142">
        <f>Nchalo!D194+Nchalo!E194+Nchalo!F194</f>
        <v>140</v>
      </c>
      <c r="H194" s="142">
        <f>Nsanje!D194+Nsanje!E194+Nsanje!F194</f>
        <v>25</v>
      </c>
      <c r="I194" s="134">
        <f>Ngabu!D194+Ngabu!E194+Ngabu!F194</f>
        <v>212</v>
      </c>
      <c r="J194" s="163">
        <f>SUM(D194:I194)</f>
        <v>581</v>
      </c>
    </row>
    <row r="195" spans="1:10" ht="15.6" x14ac:dyDescent="0.3">
      <c r="A195" s="284"/>
      <c r="B195" s="285"/>
      <c r="C195" s="16" t="s">
        <v>55</v>
      </c>
      <c r="D195" s="142">
        <f>Bangula!D195+Bangula!E195+Bangula!F195</f>
        <v>0</v>
      </c>
      <c r="E195" s="142">
        <f>Chikwawa!D195+Chikwawa!E195+Chikwawa!F195</f>
        <v>0</v>
      </c>
      <c r="F195" s="142">
        <f>'Miseu Folo'!D195+'Miseu Folo'!E195+'Miseu Folo'!F195</f>
        <v>0</v>
      </c>
      <c r="G195" s="142">
        <f>Nchalo!D195+Nchalo!E195+Nchalo!F195</f>
        <v>0</v>
      </c>
      <c r="H195" s="142">
        <f>Nsanje!D195+Nsanje!E195+Nsanje!F195</f>
        <v>0</v>
      </c>
      <c r="I195" s="134">
        <f>Ngabu!D195+Ngabu!E195+Ngabu!F195</f>
        <v>0</v>
      </c>
      <c r="J195" s="163">
        <f>SUM(D195:I195)</f>
        <v>0</v>
      </c>
    </row>
    <row r="196" spans="1:10" ht="15.6" x14ac:dyDescent="0.3">
      <c r="A196" s="226" t="s">
        <v>202</v>
      </c>
      <c r="B196" s="227"/>
      <c r="C196" s="16" t="s">
        <v>55</v>
      </c>
      <c r="D196" s="142">
        <f>Bangula!F196</f>
        <v>24</v>
      </c>
      <c r="E196" s="142">
        <f>Chikwawa!F196</f>
        <v>20</v>
      </c>
      <c r="F196" s="142">
        <f>'Miseu Folo'!F196</f>
        <v>24</v>
      </c>
      <c r="G196" s="142">
        <f>Nchalo!F196</f>
        <v>23</v>
      </c>
      <c r="H196" s="142">
        <f>Nsanje!F196</f>
        <v>22</v>
      </c>
      <c r="I196" s="142">
        <f>Ngabu!F196</f>
        <v>20</v>
      </c>
      <c r="J196" s="163">
        <f>SUM(D196:I196)/10</f>
        <v>13.3</v>
      </c>
    </row>
    <row r="197" spans="1:10" ht="15.6" x14ac:dyDescent="0.3">
      <c r="A197" s="231" t="s">
        <v>56</v>
      </c>
      <c r="B197" s="232"/>
      <c r="C197" s="16" t="s">
        <v>55</v>
      </c>
      <c r="D197" s="164">
        <f>Bangula!D197+Bangula!E197+Bangula!F197</f>
        <v>18</v>
      </c>
      <c r="E197" s="164">
        <f>Chikwawa!D197+Chikwawa!E197+Chikwawa!F197</f>
        <v>0</v>
      </c>
      <c r="F197" s="164">
        <f>'Miseu Folo'!D197+'Miseu Folo'!E197+'Miseu Folo'!F197</f>
        <v>0</v>
      </c>
      <c r="G197" s="164">
        <f>Nchalo!D197+Nchalo!E197+Nchalo!F197</f>
        <v>43</v>
      </c>
      <c r="H197" s="164">
        <f>Nsanje!D197+Nsanje!E197+Nsanje!F197</f>
        <v>247</v>
      </c>
      <c r="I197" s="570">
        <f>Ngabu!D197+Ngabu!E197+Ngabu!F197</f>
        <v>0</v>
      </c>
      <c r="J197" s="163">
        <f>SUM(D197:I197)</f>
        <v>308</v>
      </c>
    </row>
    <row r="198" spans="1:10" x14ac:dyDescent="0.3">
      <c r="A198" s="277" t="s">
        <v>203</v>
      </c>
      <c r="B198" s="278"/>
      <c r="C198" s="278"/>
      <c r="D198" s="278"/>
      <c r="E198" s="278"/>
      <c r="F198" s="278"/>
      <c r="G198" s="278"/>
      <c r="H198" s="278"/>
      <c r="I198" s="278"/>
      <c r="J198" s="279"/>
    </row>
    <row r="199" spans="1:10" ht="15.6" x14ac:dyDescent="0.3">
      <c r="A199" s="282" t="s">
        <v>54</v>
      </c>
      <c r="B199" s="217" t="s">
        <v>53</v>
      </c>
      <c r="C199" s="11" t="s">
        <v>47</v>
      </c>
      <c r="D199" s="142">
        <f>Bangula!D199+Bangula!E199+Bangula!F199</f>
        <v>0</v>
      </c>
      <c r="E199" s="142">
        <f>Chikwawa!D199+Chikwawa!E199+Chikwawa!F199</f>
        <v>0</v>
      </c>
      <c r="F199" s="142">
        <f>'Miseu Folo'!D199+'Miseu Folo'!E199+'Miseu Folo'!F199</f>
        <v>0</v>
      </c>
      <c r="G199" s="142">
        <f>Nchalo!D199+Nchalo!E199+Nchalo!F199</f>
        <v>0</v>
      </c>
      <c r="H199" s="142">
        <f>Nsanje!D199+Nsanje!E199+Nsanje!F199</f>
        <v>0</v>
      </c>
      <c r="I199" s="134">
        <f>Ngabu!D199+Ngabu!E199+Ngabu!F199</f>
        <v>0</v>
      </c>
      <c r="J199" s="9">
        <f t="shared" ref="J199:J204" si="49">SUM(D199:I199)</f>
        <v>0</v>
      </c>
    </row>
    <row r="200" spans="1:10" ht="15.6" x14ac:dyDescent="0.3">
      <c r="A200" s="286"/>
      <c r="B200" s="217" t="s">
        <v>52</v>
      </c>
      <c r="C200" s="11" t="s">
        <v>47</v>
      </c>
      <c r="D200" s="142">
        <f>Bangula!D200+Bangula!E200+Bangula!F200</f>
        <v>0</v>
      </c>
      <c r="E200" s="142">
        <f>Chikwawa!D200+Chikwawa!E200+Chikwawa!F200</f>
        <v>0</v>
      </c>
      <c r="F200" s="142">
        <f>'Miseu Folo'!D200+'Miseu Folo'!E200+'Miseu Folo'!F200</f>
        <v>0</v>
      </c>
      <c r="G200" s="142">
        <f>Nchalo!D200+Nchalo!E200+Nchalo!F200</f>
        <v>0</v>
      </c>
      <c r="H200" s="142">
        <f>Nsanje!D200+Nsanje!E200+Nsanje!F200</f>
        <v>0</v>
      </c>
      <c r="I200" s="134">
        <f>Ngabu!D200+Ngabu!E200+Ngabu!F200</f>
        <v>0</v>
      </c>
      <c r="J200" s="9">
        <f t="shared" si="49"/>
        <v>0</v>
      </c>
    </row>
    <row r="201" spans="1:10" ht="15.6" x14ac:dyDescent="0.3">
      <c r="A201" s="286"/>
      <c r="B201" s="217" t="s">
        <v>51</v>
      </c>
      <c r="C201" s="11" t="s">
        <v>47</v>
      </c>
      <c r="D201" s="142">
        <f>Bangula!D201+Bangula!E201+Bangula!F201</f>
        <v>0</v>
      </c>
      <c r="E201" s="142">
        <f>Chikwawa!D201+Chikwawa!E201+Chikwawa!F201</f>
        <v>0</v>
      </c>
      <c r="F201" s="142">
        <f>'Miseu Folo'!D201+'Miseu Folo'!E201+'Miseu Folo'!F201</f>
        <v>0</v>
      </c>
      <c r="G201" s="142">
        <f>Nchalo!D201+Nchalo!E201+Nchalo!F201</f>
        <v>0</v>
      </c>
      <c r="H201" s="142">
        <f>Nsanje!D201+Nsanje!E201+Nsanje!F201</f>
        <v>0</v>
      </c>
      <c r="I201" s="134">
        <f>Ngabu!D201+Ngabu!E201+Ngabu!F201</f>
        <v>0</v>
      </c>
      <c r="J201" s="9">
        <f t="shared" si="49"/>
        <v>0</v>
      </c>
    </row>
    <row r="202" spans="1:10" ht="15.6" x14ac:dyDescent="0.3">
      <c r="A202" s="286"/>
      <c r="B202" s="217" t="s">
        <v>50</v>
      </c>
      <c r="C202" s="11" t="s">
        <v>47</v>
      </c>
      <c r="D202" s="142">
        <f>Bangula!D202+Bangula!E202+Bangula!F202</f>
        <v>0</v>
      </c>
      <c r="E202" s="142">
        <f>Chikwawa!D202+Chikwawa!E202+Chikwawa!F202</f>
        <v>0</v>
      </c>
      <c r="F202" s="142">
        <f>'Miseu Folo'!D202+'Miseu Folo'!E202+'Miseu Folo'!F202</f>
        <v>0</v>
      </c>
      <c r="G202" s="142">
        <f>Nchalo!D202+Nchalo!E202+Nchalo!F202</f>
        <v>0</v>
      </c>
      <c r="H202" s="142">
        <f>Nsanje!D202+Nsanje!E202+Nsanje!F202</f>
        <v>0</v>
      </c>
      <c r="I202" s="134">
        <f>Ngabu!D202+Ngabu!E202+Ngabu!F202</f>
        <v>0</v>
      </c>
      <c r="J202" s="9">
        <f t="shared" si="49"/>
        <v>0</v>
      </c>
    </row>
    <row r="203" spans="1:10" ht="15.6" x14ac:dyDescent="0.3">
      <c r="A203" s="284"/>
      <c r="B203" s="217" t="s">
        <v>49</v>
      </c>
      <c r="C203" s="11" t="s">
        <v>47</v>
      </c>
      <c r="D203" s="142">
        <f>Bangula!D203+Bangula!E203+Bangula!F203</f>
        <v>0</v>
      </c>
      <c r="E203" s="142">
        <f>Chikwawa!D203+Chikwawa!E203+Chikwawa!F203</f>
        <v>0</v>
      </c>
      <c r="F203" s="142">
        <f>'Miseu Folo'!D203+'Miseu Folo'!E203+'Miseu Folo'!F203</f>
        <v>0</v>
      </c>
      <c r="G203" s="142">
        <f>Nchalo!D203+Nchalo!E203+Nchalo!F203</f>
        <v>0</v>
      </c>
      <c r="H203" s="142">
        <f>Nsanje!D203+Nsanje!E203+Nsanje!F203</f>
        <v>0</v>
      </c>
      <c r="I203" s="134">
        <f>Ngabu!D203+Ngabu!E203+Ngabu!F203</f>
        <v>0</v>
      </c>
      <c r="J203" s="9">
        <f t="shared" si="49"/>
        <v>0</v>
      </c>
    </row>
    <row r="204" spans="1:10" ht="15.6" x14ac:dyDescent="0.3">
      <c r="A204" s="83" t="s">
        <v>48</v>
      </c>
      <c r="B204" s="217"/>
      <c r="C204" s="11" t="s">
        <v>47</v>
      </c>
      <c r="D204" s="15">
        <f t="shared" ref="D204:H204" si="50">SUM(D199:D203)</f>
        <v>0</v>
      </c>
      <c r="E204" s="15">
        <f t="shared" si="50"/>
        <v>0</v>
      </c>
      <c r="F204" s="15">
        <f t="shared" si="50"/>
        <v>0</v>
      </c>
      <c r="G204" s="15">
        <f t="shared" si="50"/>
        <v>0</v>
      </c>
      <c r="H204" s="15">
        <f t="shared" si="50"/>
        <v>0</v>
      </c>
      <c r="I204" s="22">
        <f>SUM(I199:I203)</f>
        <v>0</v>
      </c>
      <c r="J204" s="111">
        <f t="shared" si="49"/>
        <v>0</v>
      </c>
    </row>
    <row r="205" spans="1:10" s="2" customFormat="1" x14ac:dyDescent="0.3">
      <c r="A205" s="277" t="s">
        <v>46</v>
      </c>
      <c r="B205" s="278"/>
      <c r="C205" s="278"/>
      <c r="D205" s="278"/>
      <c r="E205" s="278"/>
      <c r="F205" s="278"/>
      <c r="G205" s="278"/>
      <c r="H205" s="278"/>
      <c r="I205" s="278"/>
      <c r="J205" s="279"/>
    </row>
    <row r="206" spans="1:10" ht="15.6" x14ac:dyDescent="0.3">
      <c r="A206" s="231" t="s">
        <v>43</v>
      </c>
      <c r="B206" s="232"/>
      <c r="C206" s="11" t="s">
        <v>31</v>
      </c>
      <c r="D206" s="15">
        <f>Bangula!D206+Bangula!E206+Bangula!F206</f>
        <v>12107237.35</v>
      </c>
      <c r="E206" s="15">
        <f>Chikwawa!D206+Chikwawa!E206+Chikwawa!F206</f>
        <v>34753545.579999998</v>
      </c>
      <c r="F206" s="15">
        <f>'Miseu Folo'!D206+'Miseu Folo'!E206+'Miseu Folo'!F206</f>
        <v>739820</v>
      </c>
      <c r="G206" s="15">
        <f>Nchalo!D206+Nchalo!E206+Nchalo!F206</f>
        <v>28606177.870000001</v>
      </c>
      <c r="H206" s="15">
        <f>Nsanje!D206+Nsanje!E206+Nsanje!F206</f>
        <v>19261723.07</v>
      </c>
      <c r="I206" s="15">
        <f>Ngabu!E206+Ngabu!F206+Ngabu!G206</f>
        <v>13329912.48</v>
      </c>
      <c r="J206" s="39">
        <f>SUM(D206:I206)</f>
        <v>108798416.35000001</v>
      </c>
    </row>
    <row r="207" spans="1:10" ht="15.6" x14ac:dyDescent="0.3">
      <c r="A207" s="231" t="s">
        <v>42</v>
      </c>
      <c r="B207" s="232"/>
      <c r="C207" s="11" t="s">
        <v>31</v>
      </c>
      <c r="D207" s="15">
        <f>Bangula!D207+Bangula!E207+Bangula!F207</f>
        <v>1274983</v>
      </c>
      <c r="E207" s="15">
        <f>Chikwawa!D207+Chikwawa!E207+Chikwawa!F207</f>
        <v>509357</v>
      </c>
      <c r="F207" s="15">
        <f>'Miseu Folo'!D207+'Miseu Folo'!E207+'Miseu Folo'!F207</f>
        <v>0</v>
      </c>
      <c r="G207" s="15">
        <f>Nchalo!D207+Nchalo!E207+Nchalo!F207</f>
        <v>344050</v>
      </c>
      <c r="H207" s="15">
        <f>Nsanje!D207+Nsanje!E207+Nsanje!F207</f>
        <v>389600</v>
      </c>
      <c r="I207" s="15">
        <f>Ngabu!E207+Ngabu!F207+Ngabu!G207</f>
        <v>558410</v>
      </c>
      <c r="J207" s="39">
        <f>SUM(D207:I207)</f>
        <v>3076400</v>
      </c>
    </row>
    <row r="208" spans="1:10" ht="15.6" x14ac:dyDescent="0.3">
      <c r="A208" s="237" t="s">
        <v>41</v>
      </c>
      <c r="B208" s="238"/>
      <c r="C208" s="11" t="s">
        <v>31</v>
      </c>
      <c r="D208" s="15">
        <f>Bangula!D208+Bangula!E208+Bangula!F208</f>
        <v>106100</v>
      </c>
      <c r="E208" s="15">
        <f>Chikwawa!D208+Chikwawa!E208+Chikwawa!F208</f>
        <v>460750</v>
      </c>
      <c r="F208" s="15">
        <f>'Miseu Folo'!D208+'Miseu Folo'!E208+'Miseu Folo'!F208</f>
        <v>40000</v>
      </c>
      <c r="G208" s="15">
        <f>Nchalo!D208+Nchalo!E208+Nchalo!F208</f>
        <v>1267716.4099999999</v>
      </c>
      <c r="H208" s="15">
        <f>Nsanje!D208+Nsanje!E208+Nsanje!F208</f>
        <v>25000</v>
      </c>
      <c r="I208" s="15">
        <f>Ngabu!E208+Ngabu!F208+Ngabu!G208</f>
        <v>246257.62</v>
      </c>
      <c r="J208" s="39">
        <f>SUM(D208:I208)</f>
        <v>2145824.0299999998</v>
      </c>
    </row>
    <row r="209" spans="1:10" ht="15.6" x14ac:dyDescent="0.3">
      <c r="A209" s="231" t="s">
        <v>40</v>
      </c>
      <c r="B209" s="232"/>
      <c r="C209" s="11" t="s">
        <v>31</v>
      </c>
      <c r="D209" s="15">
        <f>Bangula!D209+Bangula!E209+Bangula!F209</f>
        <v>119222</v>
      </c>
      <c r="E209" s="15">
        <f>Chikwawa!D209+Chikwawa!E209+Chikwawa!F209</f>
        <v>2837767.48</v>
      </c>
      <c r="F209" s="15">
        <f>'Miseu Folo'!D209+'Miseu Folo'!E209+'Miseu Folo'!F209</f>
        <v>16143</v>
      </c>
      <c r="G209" s="15">
        <f>Nchalo!D209+Nchalo!E209+Nchalo!F209</f>
        <v>222600</v>
      </c>
      <c r="H209" s="15">
        <f>Nsanje!D209+Nsanje!E209+Nsanje!F209</f>
        <v>123400</v>
      </c>
      <c r="I209" s="15">
        <f>Ngabu!E209+Ngabu!F209+Ngabu!G209</f>
        <v>184960</v>
      </c>
      <c r="J209" s="39">
        <f>SUM(D209:I209)</f>
        <v>3504092.48</v>
      </c>
    </row>
    <row r="210" spans="1:10" ht="15.6" x14ac:dyDescent="0.3">
      <c r="A210" s="290" t="s">
        <v>45</v>
      </c>
      <c r="B210" s="291"/>
      <c r="C210" s="11" t="s">
        <v>31</v>
      </c>
      <c r="D210" s="10">
        <f t="shared" ref="D210:H210" si="51">SUM(D206:D209)</f>
        <v>13607542.35</v>
      </c>
      <c r="E210" s="10">
        <f t="shared" si="51"/>
        <v>38561420.059999995</v>
      </c>
      <c r="F210" s="10">
        <f t="shared" si="51"/>
        <v>795963</v>
      </c>
      <c r="G210" s="10">
        <f t="shared" si="51"/>
        <v>30440544.280000001</v>
      </c>
      <c r="H210" s="10">
        <f t="shared" si="51"/>
        <v>19799723.07</v>
      </c>
      <c r="I210" s="14">
        <f>SUM(I206:I209)</f>
        <v>14319540.1</v>
      </c>
      <c r="J210" s="39">
        <f>SUM(D210:I210)</f>
        <v>117524732.85999998</v>
      </c>
    </row>
    <row r="211" spans="1:10" s="2" customFormat="1" x14ac:dyDescent="0.3">
      <c r="A211" s="277" t="s">
        <v>44</v>
      </c>
      <c r="B211" s="278"/>
      <c r="C211" s="278"/>
      <c r="D211" s="278"/>
      <c r="E211" s="278"/>
      <c r="F211" s="278"/>
      <c r="G211" s="278"/>
      <c r="H211" s="278"/>
      <c r="I211" s="278"/>
      <c r="J211" s="279"/>
    </row>
    <row r="212" spans="1:10" ht="15.6" x14ac:dyDescent="0.3">
      <c r="A212" s="231" t="s">
        <v>43</v>
      </c>
      <c r="B212" s="232"/>
      <c r="C212" s="11" t="s">
        <v>31</v>
      </c>
      <c r="D212" s="15">
        <f>Bangula!D212+Bangula!E212+Bangula!F212</f>
        <v>0</v>
      </c>
      <c r="E212" s="15">
        <f>Chikwawa!D212+Chikwawa!E212+Chikwawa!F212</f>
        <v>0</v>
      </c>
      <c r="F212" s="15">
        <f>'Miseu Folo'!D212+'Miseu Folo'!E212+'Miseu Folo'!F212</f>
        <v>0</v>
      </c>
      <c r="G212" s="15">
        <f>Nchalo!D212+Nchalo!E212+Nchalo!F212</f>
        <v>0</v>
      </c>
      <c r="H212" s="15">
        <f>Nsanje!D212+Nsanje!E212+Nsanje!F212</f>
        <v>0</v>
      </c>
      <c r="I212" s="22">
        <f>Ngabu!D212+Ngabu!E212+Ngabu!F212</f>
        <v>0</v>
      </c>
      <c r="J212" s="40">
        <f>SUM(D212:I212)</f>
        <v>0</v>
      </c>
    </row>
    <row r="213" spans="1:10" ht="15.6" x14ac:dyDescent="0.3">
      <c r="A213" s="231" t="s">
        <v>42</v>
      </c>
      <c r="B213" s="232"/>
      <c r="C213" s="11" t="s">
        <v>31</v>
      </c>
      <c r="D213" s="15">
        <f>Bangula!D213+Bangula!E213+Bangula!F213</f>
        <v>0</v>
      </c>
      <c r="E213" s="15">
        <f>Chikwawa!D213+Chikwawa!E213+Chikwawa!F213</f>
        <v>0</v>
      </c>
      <c r="F213" s="15">
        <f>'Miseu Folo'!D213+'Miseu Folo'!E213+'Miseu Folo'!F213</f>
        <v>0</v>
      </c>
      <c r="G213" s="15">
        <f>Nchalo!D213+Nchalo!E213+Nchalo!F213</f>
        <v>0</v>
      </c>
      <c r="H213" s="15">
        <f>Nsanje!D213+Nsanje!E213+Nsanje!F213</f>
        <v>0</v>
      </c>
      <c r="I213" s="22">
        <f>Ngabu!D213+Ngabu!E213+Ngabu!F213</f>
        <v>0</v>
      </c>
      <c r="J213" s="40">
        <f>SUM(D213:I213)</f>
        <v>0</v>
      </c>
    </row>
    <row r="214" spans="1:10" ht="15.6" x14ac:dyDescent="0.3">
      <c r="A214" s="237" t="s">
        <v>41</v>
      </c>
      <c r="B214" s="238"/>
      <c r="C214" s="11" t="s">
        <v>31</v>
      </c>
      <c r="D214" s="15">
        <f>Bangula!D214+Bangula!E214+Bangula!F214</f>
        <v>0</v>
      </c>
      <c r="E214" s="15">
        <f>Chikwawa!D214+Chikwawa!E214+Chikwawa!F214</f>
        <v>0</v>
      </c>
      <c r="F214" s="15">
        <f>'Miseu Folo'!D214+'Miseu Folo'!E214+'Miseu Folo'!F214</f>
        <v>0</v>
      </c>
      <c r="G214" s="15">
        <f>Nchalo!D214+Nchalo!E214+Nchalo!F214</f>
        <v>0</v>
      </c>
      <c r="H214" s="15">
        <f>Nsanje!D214+Nsanje!E214+Nsanje!F214</f>
        <v>0</v>
      </c>
      <c r="I214" s="22">
        <f>Ngabu!D214+Ngabu!E214+Ngabu!F214</f>
        <v>0</v>
      </c>
      <c r="J214" s="40">
        <f>SUM(D214:I214)</f>
        <v>0</v>
      </c>
    </row>
    <row r="215" spans="1:10" ht="15.6" x14ac:dyDescent="0.3">
      <c r="A215" s="231" t="s">
        <v>40</v>
      </c>
      <c r="B215" s="232"/>
      <c r="C215" s="11" t="s">
        <v>31</v>
      </c>
      <c r="D215" s="15">
        <f>Bangula!D215+Bangula!E215+Bangula!F215</f>
        <v>10685463.07</v>
      </c>
      <c r="E215" s="15">
        <f>Chikwawa!D215+Chikwawa!E215+Chikwawa!F215</f>
        <v>27494085.119999997</v>
      </c>
      <c r="F215" s="15">
        <f>'Miseu Folo'!D215+'Miseu Folo'!E215+'Miseu Folo'!F215</f>
        <v>4925845</v>
      </c>
      <c r="G215" s="15">
        <f>Nchalo!D215+Nchalo!E215+Nchalo!F215</f>
        <v>11862962.07</v>
      </c>
      <c r="H215" s="15">
        <f>Nsanje!D215+Nsanje!E215+Nsanje!F215</f>
        <v>25531653.829999998</v>
      </c>
      <c r="I215" s="22">
        <f>Ngabu!D215+Ngabu!E215+Ngabu!F215</f>
        <v>11415910.15</v>
      </c>
      <c r="J215" s="40">
        <f>SUM(D215:I215)</f>
        <v>91915919.24000001</v>
      </c>
    </row>
    <row r="216" spans="1:10" ht="15.6" x14ac:dyDescent="0.3">
      <c r="A216" s="290" t="s">
        <v>39</v>
      </c>
      <c r="B216" s="291"/>
      <c r="C216" s="11" t="s">
        <v>31</v>
      </c>
      <c r="D216" s="10">
        <f t="shared" ref="D216:G216" si="52">SUM(D212:D215)</f>
        <v>10685463.07</v>
      </c>
      <c r="E216" s="10">
        <f t="shared" si="52"/>
        <v>27494085.119999997</v>
      </c>
      <c r="F216" s="10">
        <f t="shared" si="52"/>
        <v>4925845</v>
      </c>
      <c r="G216" s="10">
        <f t="shared" si="52"/>
        <v>11862962.07</v>
      </c>
      <c r="H216" s="10">
        <f>SUM(H212:H215)</f>
        <v>25531653.829999998</v>
      </c>
      <c r="I216" s="14">
        <f>SUM(I212:I215)</f>
        <v>11415910.15</v>
      </c>
      <c r="J216" s="40">
        <f>SUM(D216:I216)</f>
        <v>91915919.24000001</v>
      </c>
    </row>
    <row r="217" spans="1:10" s="2" customFormat="1" ht="15.6" x14ac:dyDescent="0.3">
      <c r="A217" s="228" t="s">
        <v>38</v>
      </c>
      <c r="B217" s="229"/>
      <c r="C217" s="11" t="s">
        <v>31</v>
      </c>
      <c r="D217" s="10">
        <f>D210+D216</f>
        <v>24293005.420000002</v>
      </c>
      <c r="E217" s="10">
        <f t="shared" ref="E217:J217" si="53">E210+E216</f>
        <v>66055505.179999992</v>
      </c>
      <c r="F217" s="10">
        <f t="shared" si="53"/>
        <v>5721808</v>
      </c>
      <c r="G217" s="10">
        <f t="shared" si="53"/>
        <v>42303506.350000001</v>
      </c>
      <c r="H217" s="10">
        <f t="shared" si="53"/>
        <v>45331376.899999999</v>
      </c>
      <c r="I217" s="10">
        <f t="shared" si="53"/>
        <v>25735450.25</v>
      </c>
      <c r="J217" s="40">
        <f t="shared" si="53"/>
        <v>209440652.09999999</v>
      </c>
    </row>
    <row r="218" spans="1:10" s="2" customFormat="1" x14ac:dyDescent="0.3">
      <c r="A218" s="277" t="s">
        <v>37</v>
      </c>
      <c r="B218" s="278"/>
      <c r="C218" s="278"/>
      <c r="D218" s="278"/>
      <c r="E218" s="278"/>
      <c r="F218" s="278"/>
      <c r="G218" s="278"/>
      <c r="H218" s="278"/>
      <c r="I218" s="278"/>
      <c r="J218" s="279"/>
    </row>
    <row r="219" spans="1:10" ht="15.6" x14ac:dyDescent="0.3">
      <c r="A219" s="231" t="s">
        <v>35</v>
      </c>
      <c r="B219" s="232"/>
      <c r="C219" s="11" t="s">
        <v>31</v>
      </c>
      <c r="D219" s="15">
        <f>Bangula!D219+Bangula!E219+Bangula!F219</f>
        <v>215114773.74000001</v>
      </c>
      <c r="E219" s="15">
        <f>Chikwawa!D219+Chikwawa!E219+Chikwawa!F219</f>
        <v>38423175.410000004</v>
      </c>
      <c r="F219" s="15">
        <f>'Miseu Folo'!D219+'Miseu Folo'!E219+'Miseu Folo'!F219</f>
        <v>996698.99</v>
      </c>
      <c r="G219" s="15">
        <f>Nchalo!D219+Nchalo!E219+Nchalo!F219</f>
        <v>28985105.490000002</v>
      </c>
      <c r="H219" s="15">
        <f>Nsanje!D219+Nsanje!E219+Nsanje!F219</f>
        <v>18815799.73</v>
      </c>
      <c r="I219" s="22">
        <f>Ngabu!D219+Ngabu!E219+Ngabu!F219</f>
        <v>12554551.08</v>
      </c>
      <c r="J219" s="40">
        <f>SUM(D219:I219)</f>
        <v>314890104.44</v>
      </c>
    </row>
    <row r="220" spans="1:10" ht="15.6" x14ac:dyDescent="0.3">
      <c r="A220" s="231" t="s">
        <v>34</v>
      </c>
      <c r="B220" s="232"/>
      <c r="C220" s="11" t="s">
        <v>31</v>
      </c>
      <c r="D220" s="15">
        <f>Bangula!D220+Bangula!E220+Bangula!F220</f>
        <v>3358163.6799999997</v>
      </c>
      <c r="E220" s="15">
        <f>Chikwawa!D220+Chikwawa!E220+Chikwawa!F220</f>
        <v>483066.16000000003</v>
      </c>
      <c r="F220" s="15">
        <f>'Miseu Folo'!D220+'Miseu Folo'!E220+'Miseu Folo'!F220</f>
        <v>0</v>
      </c>
      <c r="G220" s="15">
        <f>Nchalo!D220+Nchalo!E220+Nchalo!F220</f>
        <v>354735.54</v>
      </c>
      <c r="H220" s="15">
        <f>Nsanje!D220+Nsanje!E220+Nsanje!F220</f>
        <v>392817.31</v>
      </c>
      <c r="I220" s="22">
        <f>Ngabu!D220+Ngabu!E220+Ngabu!F220</f>
        <v>496803.73</v>
      </c>
      <c r="J220" s="40">
        <f>SUM(D220:I220)</f>
        <v>5085586.42</v>
      </c>
    </row>
    <row r="221" spans="1:10" ht="15.6" x14ac:dyDescent="0.3">
      <c r="A221" s="231" t="s">
        <v>33</v>
      </c>
      <c r="B221" s="232"/>
      <c r="C221" s="11" t="s">
        <v>31</v>
      </c>
      <c r="D221" s="15">
        <f>Bangula!D221+Bangula!E221+Bangula!F221</f>
        <v>484041812.76999998</v>
      </c>
      <c r="E221" s="15">
        <f>Chikwawa!D221+Chikwawa!E221+Chikwawa!F221</f>
        <v>1543234.22</v>
      </c>
      <c r="F221" s="15">
        <f>'Miseu Folo'!D221+'Miseu Folo'!E221+'Miseu Folo'!F221</f>
        <v>10067</v>
      </c>
      <c r="G221" s="15">
        <f>Nchalo!D221+Nchalo!E221+Nchalo!F221</f>
        <v>208992.37</v>
      </c>
      <c r="H221" s="15">
        <f>Nsanje!D221+Nsanje!E221+Nsanje!F221</f>
        <v>849622.35</v>
      </c>
      <c r="I221" s="22">
        <f>Ngabu!D221+Ngabu!E221+Ngabu!F221</f>
        <v>2408551.86</v>
      </c>
      <c r="J221" s="40">
        <f>SUM(D221:I221)</f>
        <v>489062280.57000005</v>
      </c>
    </row>
    <row r="222" spans="1:10" ht="15.6" x14ac:dyDescent="0.3">
      <c r="A222" s="231" t="s">
        <v>32</v>
      </c>
      <c r="B222" s="232"/>
      <c r="C222" s="11" t="s">
        <v>31</v>
      </c>
      <c r="D222" s="15">
        <f>Bangula!D222+Bangula!E222+Bangula!F222</f>
        <v>5821814.8900000006</v>
      </c>
      <c r="E222" s="15">
        <f>Chikwawa!D222+Chikwawa!E222+Chikwawa!F222</f>
        <v>1292964.8500000001</v>
      </c>
      <c r="F222" s="15">
        <f>'Miseu Folo'!D222+'Miseu Folo'!E222+'Miseu Folo'!F222</f>
        <v>120514.66</v>
      </c>
      <c r="G222" s="15">
        <f>Nchalo!D222+Nchalo!E222+Nchalo!F222</f>
        <v>2277358.9900000002</v>
      </c>
      <c r="H222" s="15">
        <f>Nsanje!D222+Nsanje!E222+Nsanje!F222</f>
        <v>46057.279999999999</v>
      </c>
      <c r="I222" s="22">
        <f>Ngabu!D222+Ngabu!E222+Ngabu!F222</f>
        <v>226206.33000000002</v>
      </c>
      <c r="J222" s="40">
        <f>SUM(D222:I222)</f>
        <v>9784917</v>
      </c>
    </row>
    <row r="223" spans="1:10" ht="15.6" x14ac:dyDescent="0.3">
      <c r="A223" s="290" t="s">
        <v>36</v>
      </c>
      <c r="B223" s="291"/>
      <c r="C223" s="11" t="s">
        <v>31</v>
      </c>
      <c r="D223" s="12">
        <f t="shared" ref="D223:I223" si="54">SUM(D219:D222)</f>
        <v>708336565.08000004</v>
      </c>
      <c r="E223" s="10">
        <f t="shared" si="54"/>
        <v>41742440.640000001</v>
      </c>
      <c r="F223" s="10">
        <f t="shared" si="54"/>
        <v>1127280.6499999999</v>
      </c>
      <c r="G223" s="10">
        <f t="shared" si="54"/>
        <v>31826192.390000001</v>
      </c>
      <c r="H223" s="10">
        <f t="shared" si="54"/>
        <v>20104296.670000002</v>
      </c>
      <c r="I223" s="10">
        <f t="shared" si="54"/>
        <v>15686113</v>
      </c>
      <c r="J223" s="40">
        <f>SUM(D223:I223)</f>
        <v>818822888.42999995</v>
      </c>
    </row>
    <row r="224" spans="1:10" x14ac:dyDescent="0.3">
      <c r="A224" s="277" t="s">
        <v>211</v>
      </c>
      <c r="B224" s="278"/>
      <c r="C224" s="278"/>
      <c r="D224" s="278"/>
      <c r="E224" s="278"/>
      <c r="F224" s="278"/>
      <c r="G224" s="278"/>
      <c r="H224" s="278"/>
      <c r="I224" s="278"/>
      <c r="J224" s="279"/>
    </row>
    <row r="225" spans="1:10" ht="15.6" x14ac:dyDescent="0.3">
      <c r="A225" s="231" t="s">
        <v>35</v>
      </c>
      <c r="B225" s="232"/>
      <c r="C225" s="11" t="s">
        <v>31</v>
      </c>
      <c r="D225" s="15">
        <f>Bangula!D225+Bangula!E225+Bangula!F225</f>
        <v>0</v>
      </c>
      <c r="E225" s="15">
        <f>Chikwawa!D225+Chikwawa!E225+Chikwawa!F225</f>
        <v>0</v>
      </c>
      <c r="F225" s="15">
        <f>'Miseu Folo'!D225+'Miseu Folo'!E225+'Miseu Folo'!F225</f>
        <v>0</v>
      </c>
      <c r="G225" s="15">
        <f>Nchalo!D225+Nchalo!E225+Nchalo!F225</f>
        <v>0</v>
      </c>
      <c r="H225" s="15">
        <f>Nsanje!D225+Nsanje!E225+Nsanje!F225</f>
        <v>0</v>
      </c>
      <c r="I225" s="22">
        <f>Ngabu!D225+Ngabu!E225+Ngabu!F225</f>
        <v>0</v>
      </c>
      <c r="J225" s="39">
        <f t="shared" ref="J225:J230" si="55">SUM(D225:I225)</f>
        <v>0</v>
      </c>
    </row>
    <row r="226" spans="1:10" ht="15.6" x14ac:dyDescent="0.3">
      <c r="A226" s="231" t="s">
        <v>34</v>
      </c>
      <c r="B226" s="232"/>
      <c r="C226" s="11" t="s">
        <v>31</v>
      </c>
      <c r="D226" s="15">
        <f>Bangula!D226+Bangula!E226+Bangula!F226</f>
        <v>0</v>
      </c>
      <c r="E226" s="15">
        <f>Chikwawa!D226+Chikwawa!E226+Chikwawa!F226</f>
        <v>0</v>
      </c>
      <c r="F226" s="15">
        <f>'Miseu Folo'!D226+'Miseu Folo'!E226+'Miseu Folo'!F226</f>
        <v>0</v>
      </c>
      <c r="G226" s="15">
        <f>Nchalo!D226+Nchalo!E226+Nchalo!F226</f>
        <v>0</v>
      </c>
      <c r="H226" s="15">
        <f>Nsanje!D226+Nsanje!E226+Nsanje!F226</f>
        <v>0</v>
      </c>
      <c r="I226" s="22">
        <f>Ngabu!D226+Ngabu!E226+Ngabu!F226</f>
        <v>0</v>
      </c>
      <c r="J226" s="39">
        <f t="shared" si="55"/>
        <v>0</v>
      </c>
    </row>
    <row r="227" spans="1:10" ht="15.6" x14ac:dyDescent="0.3">
      <c r="A227" s="231" t="s">
        <v>33</v>
      </c>
      <c r="B227" s="232"/>
      <c r="C227" s="11" t="s">
        <v>31</v>
      </c>
      <c r="D227" s="15">
        <f>Bangula!D227+Bangula!E227+Bangula!F227</f>
        <v>10430940</v>
      </c>
      <c r="E227" s="15">
        <f>Chikwawa!D227+Chikwawa!E227+Chikwawa!F227</f>
        <v>26511227.109999999</v>
      </c>
      <c r="F227" s="15">
        <f>'Miseu Folo'!D227+'Miseu Folo'!E227+'Miseu Folo'!F227</f>
        <v>4925845</v>
      </c>
      <c r="G227" s="15">
        <f>Nchalo!D227+Nchalo!E227+Nchalo!F227</f>
        <v>11077658.949999999</v>
      </c>
      <c r="H227" s="15">
        <f>Nsanje!D227+Nsanje!E227+Nsanje!F227</f>
        <v>21530482.52</v>
      </c>
      <c r="I227" s="22">
        <f>Ngabu!D227+Ngabu!E227+Ngabu!F227</f>
        <v>10901402.51</v>
      </c>
      <c r="J227" s="39">
        <f t="shared" si="55"/>
        <v>85377556.090000004</v>
      </c>
    </row>
    <row r="228" spans="1:10" ht="15.6" x14ac:dyDescent="0.3">
      <c r="A228" s="231" t="s">
        <v>32</v>
      </c>
      <c r="B228" s="232"/>
      <c r="C228" s="11" t="s">
        <v>31</v>
      </c>
      <c r="D228" s="15">
        <f>Bangula!D228+Bangula!E228+Bangula!F228</f>
        <v>0</v>
      </c>
      <c r="E228" s="15">
        <f>Chikwawa!D228+Chikwawa!E228+Chikwawa!F228</f>
        <v>0</v>
      </c>
      <c r="F228" s="15">
        <f>'Miseu Folo'!D228+'Miseu Folo'!E228+'Miseu Folo'!F228</f>
        <v>0</v>
      </c>
      <c r="G228" s="15">
        <f>Nchalo!D228+Nchalo!E228+Nchalo!F228</f>
        <v>0</v>
      </c>
      <c r="H228" s="15">
        <f>Nsanje!D228+Nsanje!E228+Nsanje!F228</f>
        <v>0</v>
      </c>
      <c r="I228" s="22">
        <f>Ngabu!D228+Ngabu!E228+Ngabu!F228</f>
        <v>0</v>
      </c>
      <c r="J228" s="39">
        <f t="shared" si="55"/>
        <v>0</v>
      </c>
    </row>
    <row r="229" spans="1:10" ht="15.6" x14ac:dyDescent="0.3">
      <c r="A229" s="290" t="s">
        <v>212</v>
      </c>
      <c r="B229" s="291"/>
      <c r="C229" s="11" t="s">
        <v>31</v>
      </c>
      <c r="D229" s="12">
        <f t="shared" ref="D229:G229" si="56">SUM(D225:D228)</f>
        <v>10430940</v>
      </c>
      <c r="E229" s="10">
        <f t="shared" si="56"/>
        <v>26511227.109999999</v>
      </c>
      <c r="F229" s="10">
        <f t="shared" si="56"/>
        <v>4925845</v>
      </c>
      <c r="G229" s="10">
        <f t="shared" si="56"/>
        <v>11077658.949999999</v>
      </c>
      <c r="H229" s="10">
        <f>SUM(H225:H228)</f>
        <v>21530482.52</v>
      </c>
      <c r="I229" s="10">
        <f>SUM(I225:I228)</f>
        <v>10901402.51</v>
      </c>
      <c r="J229" s="39">
        <f t="shared" si="55"/>
        <v>85377556.090000004</v>
      </c>
    </row>
    <row r="230" spans="1:10" ht="15.6" x14ac:dyDescent="0.3">
      <c r="A230" s="228" t="s">
        <v>213</v>
      </c>
      <c r="B230" s="120"/>
      <c r="C230" s="11" t="s">
        <v>31</v>
      </c>
      <c r="D230" s="12">
        <f>D223+D229</f>
        <v>718767505.08000004</v>
      </c>
      <c r="E230" s="12">
        <f t="shared" ref="E230:I230" si="57">E223+E229</f>
        <v>68253667.75</v>
      </c>
      <c r="F230" s="12">
        <f t="shared" si="57"/>
        <v>6053125.6500000004</v>
      </c>
      <c r="G230" s="12">
        <f t="shared" si="57"/>
        <v>42903851.340000004</v>
      </c>
      <c r="H230" s="12">
        <f t="shared" si="57"/>
        <v>41634779.189999998</v>
      </c>
      <c r="I230" s="12">
        <f t="shared" si="57"/>
        <v>26587515.509999998</v>
      </c>
      <c r="J230" s="39">
        <f t="shared" si="55"/>
        <v>904200444.51999998</v>
      </c>
    </row>
    <row r="231" spans="1:10" x14ac:dyDescent="0.3">
      <c r="A231" s="277" t="s">
        <v>30</v>
      </c>
      <c r="B231" s="278"/>
      <c r="C231" s="278"/>
      <c r="D231" s="278"/>
      <c r="E231" s="278"/>
      <c r="F231" s="278"/>
      <c r="G231" s="278"/>
      <c r="H231" s="278"/>
      <c r="I231" s="278"/>
      <c r="J231" s="279"/>
    </row>
    <row r="232" spans="1:10" ht="15.6" x14ac:dyDescent="0.3">
      <c r="A232" s="231" t="s">
        <v>29</v>
      </c>
      <c r="B232" s="232"/>
      <c r="C232" s="11" t="s">
        <v>18</v>
      </c>
      <c r="D232" s="15">
        <f>Bangula!D232+Bangula!E232+Bangula!F232</f>
        <v>721477.4</v>
      </c>
      <c r="E232" s="15">
        <f>Chikwawa!D232+Chikwawa!E232+Chikwawa!F232</f>
        <v>2497077.67</v>
      </c>
      <c r="F232" s="15">
        <f>'Miseu Folo'!D232+'Miseu Folo'!E232+'Miseu Folo'!F232</f>
        <v>94123.68</v>
      </c>
      <c r="G232" s="15">
        <f>Nchalo!D232+Nchalo!E232+Nchalo!F232</f>
        <v>1842967.7</v>
      </c>
      <c r="H232" s="15">
        <f>Nsanje!D232+Nsanje!E232+Nsanje!F232</f>
        <v>1368282.0499999998</v>
      </c>
      <c r="I232" s="22">
        <f>Ngabu!D232+Ngabu!E232+Ngabu!F232</f>
        <v>995913.13</v>
      </c>
      <c r="J232" s="40">
        <f>SUM(D232:I232)</f>
        <v>7519841.6299999999</v>
      </c>
    </row>
    <row r="233" spans="1:10" ht="15.6" x14ac:dyDescent="0.3">
      <c r="A233" s="231" t="s">
        <v>28</v>
      </c>
      <c r="B233" s="232"/>
      <c r="C233" s="11" t="s">
        <v>18</v>
      </c>
      <c r="D233" s="15">
        <f>Bangula!D233+Bangula!E233+Bangula!F233</f>
        <v>8520.369999999999</v>
      </c>
      <c r="E233" s="15">
        <f>Chikwawa!D233+Chikwawa!E233+Chikwawa!F233</f>
        <v>6260.36</v>
      </c>
      <c r="F233" s="15">
        <f>'Miseu Folo'!D233+'Miseu Folo'!E233+'Miseu Folo'!F233</f>
        <v>0</v>
      </c>
      <c r="G233" s="15">
        <f>Nchalo!D233+Nchalo!E233+Nchalo!F233</f>
        <v>4173.24</v>
      </c>
      <c r="H233" s="15">
        <f>Nsanje!D233+Nsanje!E233+Nsanje!F233</f>
        <v>4521.0200000000004</v>
      </c>
      <c r="I233" s="22">
        <f>Ngabu!D233+Ngabu!E233+Ngabu!F233</f>
        <v>9911.82</v>
      </c>
      <c r="J233" s="40">
        <f>SUM(D233:I233)</f>
        <v>33386.81</v>
      </c>
    </row>
    <row r="234" spans="1:10" ht="15.6" x14ac:dyDescent="0.3">
      <c r="A234" s="231" t="s">
        <v>27</v>
      </c>
      <c r="B234" s="232"/>
      <c r="C234" s="11" t="s">
        <v>18</v>
      </c>
      <c r="D234" s="15">
        <f>Bangula!D234+Bangula!E234+Bangula!F234</f>
        <v>41135.4</v>
      </c>
      <c r="E234" s="15">
        <f>Chikwawa!D234+Chikwawa!E234+Chikwawa!F234</f>
        <v>149109.20000000001</v>
      </c>
      <c r="F234" s="15">
        <f>'Miseu Folo'!D234+'Miseu Folo'!E234+'Miseu Folo'!F234</f>
        <v>3085</v>
      </c>
      <c r="G234" s="15">
        <f>Nchalo!D234+Nchalo!E234+Nchalo!F234</f>
        <v>47305.53</v>
      </c>
      <c r="H234" s="15">
        <f>Nsanje!D234+Nsanje!E234+Nsanje!F234</f>
        <v>73014.42</v>
      </c>
      <c r="I234" s="22">
        <f>Ngabu!D234+Ngabu!E234+Ngabu!F234</f>
        <v>86383.92</v>
      </c>
      <c r="J234" s="40">
        <f>SUM(D234:I234)</f>
        <v>400033.47</v>
      </c>
    </row>
    <row r="235" spans="1:10" ht="15.6" x14ac:dyDescent="0.3">
      <c r="A235" s="231" t="s">
        <v>26</v>
      </c>
      <c r="B235" s="232"/>
      <c r="C235" s="11" t="s">
        <v>18</v>
      </c>
      <c r="D235" s="15">
        <f>Bangula!D235+Bangula!E235+Bangula!F235</f>
        <v>22484.560000000001</v>
      </c>
      <c r="E235" s="15">
        <f>Chikwawa!D235+Chikwawa!E235+Chikwawa!F235</f>
        <v>147697.35999999999</v>
      </c>
      <c r="F235" s="15">
        <f>'Miseu Folo'!D235+'Miseu Folo'!E235+'Miseu Folo'!F235</f>
        <v>26699.56</v>
      </c>
      <c r="G235" s="15">
        <f>Nchalo!D235+Nchalo!E235+Nchalo!F235</f>
        <v>85720.47</v>
      </c>
      <c r="H235" s="15">
        <f>Nsanje!D235+Nsanje!E235+Nsanje!F235</f>
        <v>11242.28</v>
      </c>
      <c r="I235" s="22">
        <f>Ngabu!D235+Ngabu!E235+Ngabu!F235</f>
        <v>37942.07</v>
      </c>
      <c r="J235" s="40">
        <f>SUM(D235:I235)</f>
        <v>331786.3</v>
      </c>
    </row>
    <row r="236" spans="1:10" ht="15.6" x14ac:dyDescent="0.3">
      <c r="A236" s="290" t="s">
        <v>25</v>
      </c>
      <c r="B236" s="291"/>
      <c r="C236" s="11" t="s">
        <v>18</v>
      </c>
      <c r="D236" s="12">
        <f t="shared" ref="D236:H236" si="58">SUM(D232:D235)</f>
        <v>793617.7300000001</v>
      </c>
      <c r="E236" s="12">
        <f t="shared" si="58"/>
        <v>2800144.59</v>
      </c>
      <c r="F236" s="12">
        <f t="shared" si="58"/>
        <v>123908.23999999999</v>
      </c>
      <c r="G236" s="12">
        <f t="shared" si="58"/>
        <v>1980166.94</v>
      </c>
      <c r="H236" s="12">
        <f t="shared" si="58"/>
        <v>1457059.7699999998</v>
      </c>
      <c r="I236" s="571">
        <f>SUM(I232:I235)</f>
        <v>1130150.94</v>
      </c>
      <c r="J236" s="40">
        <f>SUM(J232:J235)</f>
        <v>8285048.209999999</v>
      </c>
    </row>
    <row r="237" spans="1:10" x14ac:dyDescent="0.3">
      <c r="A237" s="277" t="s">
        <v>24</v>
      </c>
      <c r="B237" s="278"/>
      <c r="C237" s="278"/>
      <c r="D237" s="278"/>
      <c r="E237" s="278"/>
      <c r="F237" s="278"/>
      <c r="G237" s="278"/>
      <c r="H237" s="278"/>
      <c r="I237" s="278"/>
      <c r="J237" s="279"/>
    </row>
    <row r="238" spans="1:10" ht="15.6" x14ac:dyDescent="0.3">
      <c r="A238" s="231" t="s">
        <v>23</v>
      </c>
      <c r="B238" s="232"/>
      <c r="C238" s="11" t="s">
        <v>18</v>
      </c>
      <c r="D238" s="15">
        <f>Bangula!D238+Bangula!E238+Bangula!F238</f>
        <v>1395759</v>
      </c>
      <c r="E238" s="15">
        <f>Chikwawa!D238+Chikwawa!E238+Chikwawa!F238</f>
        <v>5200832</v>
      </c>
      <c r="F238" s="15">
        <f>'Miseu Folo'!D238+'Miseu Folo'!E238+'Miseu Folo'!F238</f>
        <v>189316</v>
      </c>
      <c r="G238" s="15">
        <f>Nchalo!D238+Nchalo!E238+Nchalo!F238</f>
        <v>3699699</v>
      </c>
      <c r="H238" s="15">
        <f>Nsanje!D238+Nsanje!E238+Nsanje!F238</f>
        <v>2687930</v>
      </c>
      <c r="I238" s="22">
        <f>Ngabu!D238+Ngabu!E238+Ngabu!F238</f>
        <v>2053900</v>
      </c>
      <c r="J238" s="40">
        <f>SUM(D238:I238)</f>
        <v>15227436</v>
      </c>
    </row>
    <row r="239" spans="1:10" ht="15.6" x14ac:dyDescent="0.3">
      <c r="A239" s="231" t="s">
        <v>22</v>
      </c>
      <c r="B239" s="232"/>
      <c r="C239" s="11" t="s">
        <v>18</v>
      </c>
      <c r="D239" s="15">
        <f>Bangula!D239+Bangula!E239+Bangula!F239</f>
        <v>43757</v>
      </c>
      <c r="E239" s="15">
        <f>Chikwawa!D239+Chikwawa!E239+Chikwawa!F239</f>
        <v>32148</v>
      </c>
      <c r="F239" s="15">
        <f>'Miseu Folo'!D239+'Miseu Folo'!E239+'Miseu Folo'!F239</f>
        <v>0</v>
      </c>
      <c r="G239" s="15">
        <f>Nchalo!D239+Nchalo!E239+Nchalo!F239</f>
        <v>21432</v>
      </c>
      <c r="H239" s="15">
        <f>Nsanje!D239+Nsanje!E239+Nsanje!F239</f>
        <v>23218</v>
      </c>
      <c r="I239" s="22">
        <f>Ngabu!D239+Ngabu!E239+Ngabu!F239</f>
        <v>50901</v>
      </c>
      <c r="J239" s="40">
        <f>SUM(D239:I239)</f>
        <v>171456</v>
      </c>
    </row>
    <row r="240" spans="1:10" ht="15.6" x14ac:dyDescent="0.3">
      <c r="A240" s="231" t="s">
        <v>21</v>
      </c>
      <c r="B240" s="232"/>
      <c r="C240" s="11" t="s">
        <v>18</v>
      </c>
      <c r="D240" s="15">
        <f>Bangula!D240+Bangula!E240+Bangula!F240</f>
        <v>13395</v>
      </c>
      <c r="E240" s="15">
        <f>Chikwawa!D240+Chikwawa!E240+Chikwawa!F240</f>
        <v>46436</v>
      </c>
      <c r="F240" s="15">
        <f>'Miseu Folo'!D240+'Miseu Folo'!E240+'Miseu Folo'!F240</f>
        <v>893</v>
      </c>
      <c r="G240" s="15">
        <f>Nchalo!D240+Nchalo!E240+Nchalo!F240</f>
        <v>15181</v>
      </c>
      <c r="H240" s="15">
        <f>Nsanje!D240+Nsanje!E240+Nsanje!F240</f>
        <v>16074</v>
      </c>
      <c r="I240" s="22">
        <f>Ngabu!D240+Ngabu!E240+Ngabu!F240</f>
        <v>27683</v>
      </c>
      <c r="J240" s="40">
        <f>SUM(D240:I240)</f>
        <v>119662</v>
      </c>
    </row>
    <row r="241" spans="1:10" ht="15.6" x14ac:dyDescent="0.3">
      <c r="A241" s="231" t="s">
        <v>20</v>
      </c>
      <c r="B241" s="232"/>
      <c r="C241" s="11" t="s">
        <v>18</v>
      </c>
      <c r="D241" s="15">
        <f>Bangula!D241+Bangula!E241+Bangula!F241</f>
        <v>5358</v>
      </c>
      <c r="E241" s="15">
        <f>Chikwawa!D241+Chikwawa!E241+Chikwawa!F241</f>
        <v>40185</v>
      </c>
      <c r="F241" s="15">
        <f>'Miseu Folo'!D241+'Miseu Folo'!E241+'Miseu Folo'!F241</f>
        <v>6251</v>
      </c>
      <c r="G241" s="15">
        <f>Nchalo!D241+Nchalo!E241+Nchalo!F241</f>
        <v>20539</v>
      </c>
      <c r="H241" s="15">
        <f>Nsanje!D241+Nsanje!E241+Nsanje!F241</f>
        <v>9823</v>
      </c>
      <c r="I241" s="22">
        <f>Ngabu!D241+Ngabu!E241+Ngabu!F241</f>
        <v>8930</v>
      </c>
      <c r="J241" s="40">
        <f>SUM(D241:I241)</f>
        <v>91086</v>
      </c>
    </row>
    <row r="242" spans="1:10" ht="15.6" x14ac:dyDescent="0.3">
      <c r="A242" s="290" t="s">
        <v>19</v>
      </c>
      <c r="B242" s="291"/>
      <c r="C242" s="11" t="s">
        <v>18</v>
      </c>
      <c r="D242" s="12">
        <f t="shared" ref="D242:J242" si="59">SUM(D238:D241)</f>
        <v>1458269</v>
      </c>
      <c r="E242" s="12">
        <f t="shared" si="59"/>
        <v>5319601</v>
      </c>
      <c r="F242" s="12">
        <f t="shared" si="59"/>
        <v>196460</v>
      </c>
      <c r="G242" s="12">
        <f t="shared" si="59"/>
        <v>3756851</v>
      </c>
      <c r="H242" s="12">
        <f t="shared" si="59"/>
        <v>2737045</v>
      </c>
      <c r="I242" s="571">
        <f>SUM(I238:I241)</f>
        <v>2141414</v>
      </c>
      <c r="J242" s="40">
        <f t="shared" si="59"/>
        <v>15609640</v>
      </c>
    </row>
    <row r="243" spans="1:10" ht="15.6" x14ac:dyDescent="0.3">
      <c r="A243" s="290" t="s">
        <v>214</v>
      </c>
      <c r="B243" s="291"/>
      <c r="C243" s="11" t="s">
        <v>18</v>
      </c>
      <c r="D243" s="10">
        <f>D230+D236+D242</f>
        <v>721019391.81000006</v>
      </c>
      <c r="E243" s="10">
        <f t="shared" ref="E243:I243" si="60">E230+E236+E242</f>
        <v>76373413.340000004</v>
      </c>
      <c r="F243" s="10">
        <f t="shared" si="60"/>
        <v>6373493.8900000006</v>
      </c>
      <c r="G243" s="10">
        <f t="shared" si="60"/>
        <v>48640869.280000001</v>
      </c>
      <c r="H243" s="10">
        <f t="shared" si="60"/>
        <v>45828883.960000001</v>
      </c>
      <c r="I243" s="10">
        <f t="shared" si="60"/>
        <v>29859080.449999999</v>
      </c>
      <c r="J243" s="40">
        <f t="shared" ref="J243" si="61">J216+J223+J236+J242</f>
        <v>934633495.88</v>
      </c>
    </row>
    <row r="244" spans="1:10" x14ac:dyDescent="0.3">
      <c r="A244" s="277" t="s">
        <v>204</v>
      </c>
      <c r="B244" s="278"/>
      <c r="C244" s="278"/>
      <c r="D244" s="278"/>
      <c r="E244" s="278"/>
      <c r="F244" s="278"/>
      <c r="G244" s="278"/>
      <c r="H244" s="278"/>
      <c r="I244" s="278"/>
      <c r="J244" s="279"/>
    </row>
    <row r="245" spans="1:10" ht="15.6" x14ac:dyDescent="0.3">
      <c r="A245" s="311" t="s">
        <v>205</v>
      </c>
      <c r="B245" s="312"/>
      <c r="C245" s="11" t="s">
        <v>18</v>
      </c>
      <c r="D245" s="152">
        <f>Bangula!F245</f>
        <v>20745940.859999999</v>
      </c>
      <c r="E245" s="152">
        <f>Chikwawa!F245</f>
        <v>84092711.640000001</v>
      </c>
      <c r="F245" s="152">
        <f>'Miseu Folo'!F245</f>
        <v>2073105.51</v>
      </c>
      <c r="G245" s="152">
        <f>Nchalo!F245</f>
        <v>49861859.210000001</v>
      </c>
      <c r="H245" s="152">
        <f>Nsanje!F245</f>
        <v>22992811.989999998</v>
      </c>
      <c r="I245" s="152">
        <f>Ngabu!F245</f>
        <v>34456569.32</v>
      </c>
      <c r="J245" s="40">
        <f>SUM(D245:I245)</f>
        <v>214222998.53</v>
      </c>
    </row>
    <row r="246" spans="1:10" ht="15.6" x14ac:dyDescent="0.3">
      <c r="A246" s="311" t="s">
        <v>206</v>
      </c>
      <c r="B246" s="312"/>
      <c r="C246" s="11" t="s">
        <v>18</v>
      </c>
      <c r="D246" s="152">
        <f>Bangula!F246</f>
        <v>0</v>
      </c>
      <c r="E246" s="152">
        <f>Chikwawa!F246</f>
        <v>0</v>
      </c>
      <c r="F246" s="152">
        <f>'Miseu Folo'!F246</f>
        <v>0</v>
      </c>
      <c r="G246" s="152">
        <f>Nchalo!F246</f>
        <v>0</v>
      </c>
      <c r="H246" s="152">
        <f>Nsanje!F246</f>
        <v>0</v>
      </c>
      <c r="I246" s="152">
        <f>Ngabu!F246</f>
        <v>0</v>
      </c>
      <c r="J246" s="40">
        <f>SUM(D246:I246)</f>
        <v>0</v>
      </c>
    </row>
    <row r="247" spans="1:10" ht="15.6" x14ac:dyDescent="0.3">
      <c r="A247" s="313" t="s">
        <v>207</v>
      </c>
      <c r="B247" s="314"/>
      <c r="C247" s="11" t="s">
        <v>18</v>
      </c>
      <c r="D247" s="143">
        <f>D245+D246</f>
        <v>20745940.859999999</v>
      </c>
      <c r="E247" s="143">
        <f t="shared" ref="E247:J247" si="62">E245+E246</f>
        <v>84092711.640000001</v>
      </c>
      <c r="F247" s="143">
        <f t="shared" si="62"/>
        <v>2073105.51</v>
      </c>
      <c r="G247" s="143">
        <f t="shared" si="62"/>
        <v>49861859.210000001</v>
      </c>
      <c r="H247" s="143">
        <f t="shared" si="62"/>
        <v>22992811.989999998</v>
      </c>
      <c r="I247" s="143">
        <f t="shared" si="62"/>
        <v>34456569.32</v>
      </c>
      <c r="J247" s="161">
        <f t="shared" si="62"/>
        <v>214222998.53</v>
      </c>
    </row>
    <row r="248" spans="1:10" x14ac:dyDescent="0.3">
      <c r="A248" s="277" t="s">
        <v>17</v>
      </c>
      <c r="B248" s="278"/>
      <c r="C248" s="278"/>
      <c r="D248" s="278"/>
      <c r="E248" s="278"/>
      <c r="F248" s="278"/>
      <c r="G248" s="278"/>
      <c r="H248" s="278"/>
      <c r="I248" s="278"/>
      <c r="J248" s="279"/>
    </row>
    <row r="249" spans="1:10" ht="15.6" x14ac:dyDescent="0.3">
      <c r="A249" s="250" t="s">
        <v>16</v>
      </c>
      <c r="B249" s="251"/>
      <c r="C249" s="5" t="s">
        <v>6</v>
      </c>
      <c r="D249" s="8">
        <f>D58/D243%</f>
        <v>0.6462210209497139</v>
      </c>
      <c r="E249" s="8">
        <f t="shared" ref="E249:J249" si="63">E58/E243%</f>
        <v>11.486832807831656</v>
      </c>
      <c r="F249" s="8">
        <f t="shared" si="63"/>
        <v>76.24893725284484</v>
      </c>
      <c r="G249" s="8">
        <f t="shared" si="63"/>
        <v>17.564213593347194</v>
      </c>
      <c r="H249" s="8">
        <f t="shared" si="63"/>
        <v>48.927280685191711</v>
      </c>
      <c r="I249" s="8">
        <f t="shared" si="63"/>
        <v>40.42576204988255</v>
      </c>
      <c r="J249" s="112">
        <f t="shared" si="63"/>
        <v>6.5618192028583353</v>
      </c>
    </row>
    <row r="250" spans="1:10" ht="15.6" x14ac:dyDescent="0.3">
      <c r="A250" s="250" t="s">
        <v>208</v>
      </c>
      <c r="B250" s="251"/>
      <c r="C250" s="5" t="s">
        <v>6</v>
      </c>
      <c r="D250" s="29">
        <f>D210/(D223+D245)%</f>
        <v>1.8663926564053142</v>
      </c>
      <c r="E250" s="29">
        <f t="shared" ref="E250:I250" si="64">E210/(E223+E245)%</f>
        <v>30.644394162765977</v>
      </c>
      <c r="F250" s="29">
        <f t="shared" si="64"/>
        <v>24.87084246108601</v>
      </c>
      <c r="G250" s="29">
        <f t="shared" si="64"/>
        <v>37.264377939943429</v>
      </c>
      <c r="H250" s="29">
        <f t="shared" si="64"/>
        <v>45.942114646723034</v>
      </c>
      <c r="I250" s="29">
        <f t="shared" si="64"/>
        <v>28.557586944822223</v>
      </c>
      <c r="J250" s="109">
        <f>J210/(J223+J245)%</f>
        <v>11.3765258972035</v>
      </c>
    </row>
    <row r="251" spans="1:10" ht="16.2" thickBot="1" x14ac:dyDescent="0.35">
      <c r="A251" s="301" t="s">
        <v>15</v>
      </c>
      <c r="B251" s="302"/>
      <c r="C251" s="5" t="s">
        <v>6</v>
      </c>
      <c r="D251" s="7">
        <f>D210/D223%</f>
        <v>1.9210560376003112</v>
      </c>
      <c r="E251" s="7">
        <f t="shared" ref="E251:J251" si="65">E210/E223%</f>
        <v>92.379409226609127</v>
      </c>
      <c r="F251" s="7">
        <f t="shared" si="65"/>
        <v>70.60912471086948</v>
      </c>
      <c r="G251" s="7">
        <f t="shared" si="65"/>
        <v>95.646202055777877</v>
      </c>
      <c r="H251" s="7">
        <f t="shared" si="65"/>
        <v>98.485032304290996</v>
      </c>
      <c r="I251" s="7">
        <f t="shared" si="65"/>
        <v>91.288008061653002</v>
      </c>
      <c r="J251" s="113">
        <f t="shared" si="65"/>
        <v>14.352888093460644</v>
      </c>
    </row>
    <row r="252" spans="1:10" x14ac:dyDescent="0.3">
      <c r="A252" s="303" t="s">
        <v>14</v>
      </c>
      <c r="B252" s="304"/>
      <c r="C252" s="304"/>
      <c r="D252" s="304"/>
      <c r="E252" s="304"/>
      <c r="F252" s="304"/>
      <c r="G252" s="304"/>
      <c r="H252" s="304"/>
      <c r="I252" s="304"/>
      <c r="J252" s="305"/>
    </row>
    <row r="253" spans="1:10" s="2" customFormat="1" ht="15" customHeight="1" x14ac:dyDescent="0.3">
      <c r="A253" s="250" t="s">
        <v>13</v>
      </c>
      <c r="B253" s="251"/>
      <c r="C253" s="5" t="s">
        <v>3</v>
      </c>
      <c r="D253" s="142">
        <f>Bangula!D253+Bangula!E253+Bangula!F253</f>
        <v>15</v>
      </c>
      <c r="E253" s="142">
        <f>Chikwawa!D253+Chikwawa!E253+Chikwawa!F253</f>
        <v>42</v>
      </c>
      <c r="F253" s="142">
        <f>'Miseu Folo'!D253+'Miseu Folo'!E253+'Miseu Folo'!F253</f>
        <v>69</v>
      </c>
      <c r="G253" s="142">
        <f>Nchalo!D253+Nchalo!E253+Nchalo!F253</f>
        <v>31</v>
      </c>
      <c r="H253" s="142">
        <f>Nsanje!D253+Nsanje!E253+Nsanje!F253</f>
        <v>52</v>
      </c>
      <c r="I253" s="134">
        <f>Ngabu!D253+Ngabu!E253+Ngabu!F253</f>
        <v>33</v>
      </c>
      <c r="J253" s="114">
        <f>SUM(D253:I253)</f>
        <v>242</v>
      </c>
    </row>
    <row r="254" spans="1:10" s="2" customFormat="1" ht="15.6" x14ac:dyDescent="0.3">
      <c r="A254" s="250" t="s">
        <v>12</v>
      </c>
      <c r="B254" s="251"/>
      <c r="C254" s="5" t="s">
        <v>3</v>
      </c>
      <c r="D254" s="142">
        <f>Bangula!D254+Bangula!E254+Bangula!F254</f>
        <v>9</v>
      </c>
      <c r="E254" s="142">
        <f>Chikwawa!D254+Chikwawa!E254+Chikwawa!F254</f>
        <v>3</v>
      </c>
      <c r="F254" s="142">
        <f>'Miseu Folo'!D254+'Miseu Folo'!E254+'Miseu Folo'!F254</f>
        <v>9</v>
      </c>
      <c r="G254" s="142">
        <f>Nchalo!D254+Nchalo!E254+Nchalo!F254</f>
        <v>18</v>
      </c>
      <c r="H254" s="142">
        <f>Nsanje!D254+Nsanje!E254+Nsanje!F254</f>
        <v>11</v>
      </c>
      <c r="I254" s="134">
        <f>Ngabu!D254+Ngabu!E254+Ngabu!F254</f>
        <v>24</v>
      </c>
      <c r="J254" s="114">
        <f>SUM(D254:I254)</f>
        <v>74</v>
      </c>
    </row>
    <row r="255" spans="1:10" ht="15.75" customHeight="1" x14ac:dyDescent="0.3">
      <c r="A255" s="250" t="s">
        <v>11</v>
      </c>
      <c r="B255" s="251"/>
      <c r="C255" s="5" t="s">
        <v>3</v>
      </c>
      <c r="D255" s="4">
        <f>D95</f>
        <v>51</v>
      </c>
      <c r="E255" s="4">
        <f t="shared" ref="E255:I255" si="66">E95</f>
        <v>325</v>
      </c>
      <c r="F255" s="4">
        <f t="shared" si="66"/>
        <v>53</v>
      </c>
      <c r="G255" s="4">
        <f t="shared" si="66"/>
        <v>32</v>
      </c>
      <c r="H255" s="4">
        <f t="shared" si="66"/>
        <v>160</v>
      </c>
      <c r="I255" s="4">
        <f t="shared" si="66"/>
        <v>124</v>
      </c>
      <c r="J255" s="114">
        <f>SUM(D255:I255)</f>
        <v>745</v>
      </c>
    </row>
    <row r="256" spans="1:10" ht="15.6" x14ac:dyDescent="0.3">
      <c r="A256" s="250" t="s">
        <v>10</v>
      </c>
      <c r="B256" s="251"/>
      <c r="C256" s="5" t="s">
        <v>3</v>
      </c>
      <c r="D256" s="4">
        <f>D91</f>
        <v>9</v>
      </c>
      <c r="E256" s="4">
        <f t="shared" ref="E256:I256" si="67">E91</f>
        <v>33</v>
      </c>
      <c r="F256" s="4">
        <f t="shared" si="67"/>
        <v>71</v>
      </c>
      <c r="G256" s="4">
        <f t="shared" si="67"/>
        <v>35</v>
      </c>
      <c r="H256" s="4">
        <f t="shared" si="67"/>
        <v>40</v>
      </c>
      <c r="I256" s="4">
        <f t="shared" si="67"/>
        <v>17</v>
      </c>
      <c r="J256" s="114">
        <f>SUM(D256:I256)</f>
        <v>205</v>
      </c>
    </row>
    <row r="257" spans="1:10" ht="15.6" customHeight="1" x14ac:dyDescent="0.3">
      <c r="A257" s="250" t="s">
        <v>9</v>
      </c>
      <c r="B257" s="251"/>
      <c r="C257" s="5" t="s">
        <v>3</v>
      </c>
      <c r="D257" s="142">
        <f>Bangula!D257+Bangula!E257+Bangula!F257</f>
        <v>149</v>
      </c>
      <c r="E257" s="142">
        <f>Chikwawa!D257+Chikwawa!E257+Chikwawa!F257</f>
        <v>90</v>
      </c>
      <c r="F257" s="142">
        <f>'Miseu Folo'!D257+'Miseu Folo'!E257+'Miseu Folo'!F257</f>
        <v>30</v>
      </c>
      <c r="G257" s="142">
        <f>Nchalo!D257+Nchalo!E257+Nchalo!F257</f>
        <v>55</v>
      </c>
      <c r="H257" s="142">
        <f>Nsanje!D257+Nsanje!E257+Nsanje!F257</f>
        <v>180</v>
      </c>
      <c r="I257" s="134">
        <f>Ngabu!D257+Ngabu!E257+Ngabu!F257</f>
        <v>58</v>
      </c>
      <c r="J257" s="114">
        <f>SUM(D257:I257)</f>
        <v>562</v>
      </c>
    </row>
    <row r="258" spans="1:10" ht="15.6" x14ac:dyDescent="0.3">
      <c r="A258" s="290" t="s">
        <v>8</v>
      </c>
      <c r="B258" s="291"/>
      <c r="C258" s="5" t="s">
        <v>3</v>
      </c>
      <c r="D258" s="1">
        <f t="shared" ref="D258:J258" si="68">D257/D256</f>
        <v>16.555555555555557</v>
      </c>
      <c r="E258" s="1">
        <f t="shared" si="68"/>
        <v>2.7272727272727271</v>
      </c>
      <c r="F258" s="1">
        <f t="shared" si="68"/>
        <v>0.42253521126760563</v>
      </c>
      <c r="G258" s="3">
        <f t="shared" si="68"/>
        <v>1.5714285714285714</v>
      </c>
      <c r="H258" s="3">
        <f t="shared" si="68"/>
        <v>4.5</v>
      </c>
      <c r="I258" s="3">
        <f t="shared" si="68"/>
        <v>3.4117647058823528</v>
      </c>
      <c r="J258" s="114">
        <f t="shared" si="68"/>
        <v>2.7414634146341466</v>
      </c>
    </row>
    <row r="259" spans="1:10" ht="15.6" x14ac:dyDescent="0.3">
      <c r="A259" s="290" t="s">
        <v>7</v>
      </c>
      <c r="B259" s="291"/>
      <c r="C259" s="5" t="s">
        <v>6</v>
      </c>
      <c r="D259" s="1">
        <f t="shared" ref="D259:J259" si="69">D92/D255*100</f>
        <v>5.8823529411764701</v>
      </c>
      <c r="E259" s="1">
        <f t="shared" si="69"/>
        <v>25.846153846153847</v>
      </c>
      <c r="F259" s="1">
        <f t="shared" si="69"/>
        <v>41.509433962264154</v>
      </c>
      <c r="G259" s="6">
        <f t="shared" si="69"/>
        <v>178.125</v>
      </c>
      <c r="H259" s="6">
        <f t="shared" si="69"/>
        <v>28.749999999999996</v>
      </c>
      <c r="I259" s="6">
        <f t="shared" si="69"/>
        <v>21.774193548387096</v>
      </c>
      <c r="J259" s="115">
        <f t="shared" si="69"/>
        <v>32.080536912751676</v>
      </c>
    </row>
    <row r="260" spans="1:10" x14ac:dyDescent="0.3">
      <c r="A260" s="277" t="s">
        <v>5</v>
      </c>
      <c r="B260" s="278"/>
      <c r="C260" s="278"/>
      <c r="D260" s="278"/>
      <c r="E260" s="278"/>
      <c r="F260" s="278"/>
      <c r="G260" s="278"/>
      <c r="H260" s="278"/>
      <c r="I260" s="278"/>
      <c r="J260" s="279"/>
    </row>
    <row r="261" spans="1:10" s="2" customFormat="1" ht="15" customHeight="1" x14ac:dyDescent="0.3">
      <c r="A261" s="250" t="s">
        <v>4</v>
      </c>
      <c r="B261" s="251"/>
      <c r="C261" s="5" t="s">
        <v>3</v>
      </c>
      <c r="D261" s="142">
        <f>Bangula!D261+Bangula!E261+Bangula!F261</f>
        <v>78</v>
      </c>
      <c r="E261" s="142">
        <f>Chikwawa!D261+Chikwawa!E261+Chikwawa!F261</f>
        <v>104</v>
      </c>
      <c r="F261" s="142">
        <f>'Miseu Folo'!D261+'Miseu Folo'!E261+'Miseu Folo'!F261</f>
        <v>13</v>
      </c>
      <c r="G261" s="142">
        <f>Nchalo!D261+Nchalo!E261+Nchalo!F261</f>
        <v>35</v>
      </c>
      <c r="H261" s="142">
        <f>Nsanje!D261+Nsanje!E261+Nsanje!F261</f>
        <v>26</v>
      </c>
      <c r="I261" s="134">
        <f>Ngabu!D261+Ngabu!E261+Ngabu!F261</f>
        <v>44</v>
      </c>
      <c r="J261" s="114">
        <f>SUM(D261:I261)</f>
        <v>300</v>
      </c>
    </row>
    <row r="262" spans="1:10" s="2" customFormat="1" ht="15.75" customHeight="1" x14ac:dyDescent="0.3">
      <c r="A262" s="250" t="s">
        <v>2</v>
      </c>
      <c r="B262" s="251"/>
      <c r="C262" s="5" t="s">
        <v>0</v>
      </c>
      <c r="D262" s="142">
        <f>Bangula!D262+Bangula!E262+Bangula!F262</f>
        <v>53</v>
      </c>
      <c r="E262" s="142">
        <f>Chikwawa!D262+Chikwawa!E262+Chikwawa!F262</f>
        <v>180</v>
      </c>
      <c r="F262" s="142">
        <f>'Miseu Folo'!D262+'Miseu Folo'!E262+'Miseu Folo'!F262</f>
        <v>10</v>
      </c>
      <c r="G262" s="142">
        <f>Nchalo!D262+Nchalo!E262+Nchalo!F262</f>
        <v>53</v>
      </c>
      <c r="H262" s="142">
        <f>Nsanje!D262+Nsanje!E262+Nsanje!F262</f>
        <v>52</v>
      </c>
      <c r="I262" s="134">
        <f>Ngabu!D262+Ngabu!E262+Ngabu!F262</f>
        <v>11</v>
      </c>
      <c r="J262" s="114">
        <f>SUM(D262:I262)</f>
        <v>359</v>
      </c>
    </row>
    <row r="263" spans="1:10" ht="16.2" thickBot="1" x14ac:dyDescent="0.35">
      <c r="A263" s="295" t="s">
        <v>1</v>
      </c>
      <c r="B263" s="296"/>
      <c r="C263" s="116" t="s">
        <v>0</v>
      </c>
      <c r="D263" s="149">
        <f>D261/D262</f>
        <v>1.4716981132075471</v>
      </c>
      <c r="E263" s="149">
        <f t="shared" ref="E263:J263" si="70">E261/E262</f>
        <v>0.57777777777777772</v>
      </c>
      <c r="F263" s="149">
        <f t="shared" si="70"/>
        <v>1.3</v>
      </c>
      <c r="G263" s="149">
        <f t="shared" si="70"/>
        <v>0.660377358490566</v>
      </c>
      <c r="H263" s="149">
        <f t="shared" si="70"/>
        <v>0.5</v>
      </c>
      <c r="I263" s="149">
        <f t="shared" si="70"/>
        <v>4</v>
      </c>
      <c r="J263" s="162">
        <f t="shared" si="70"/>
        <v>0.83565459610027859</v>
      </c>
    </row>
  </sheetData>
  <mergeCells count="1">
    <mergeCell ref="B29:B3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/>
  <dimension ref="A1:J263"/>
  <sheetViews>
    <sheetView topLeftCell="B1" workbookViewId="0">
      <selection activeCell="J1" sqref="J1:J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9" width="19.109375" customWidth="1"/>
    <col min="10" max="10" width="20.109375" bestFit="1" customWidth="1"/>
  </cols>
  <sheetData>
    <row r="1" spans="1:10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21"/>
    </row>
    <row r="2" spans="1:10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3"/>
    </row>
    <row r="3" spans="1:10" ht="18" thickBot="1" x14ac:dyDescent="0.35">
      <c r="A3" s="89" t="s">
        <v>217</v>
      </c>
      <c r="B3" s="90"/>
      <c r="C3" s="90"/>
      <c r="D3" s="90"/>
      <c r="E3" s="90"/>
      <c r="F3" s="90"/>
      <c r="G3" s="90"/>
      <c r="H3" s="90"/>
      <c r="I3" s="90"/>
      <c r="J3" s="91"/>
    </row>
    <row r="4" spans="1:10" ht="18" thickBot="1" x14ac:dyDescent="0.35">
      <c r="A4" s="94" t="s">
        <v>226</v>
      </c>
      <c r="B4" s="124"/>
      <c r="C4" s="124"/>
      <c r="D4" s="124"/>
      <c r="E4" s="124"/>
      <c r="F4" s="124"/>
      <c r="G4" s="124"/>
      <c r="H4" s="124"/>
      <c r="I4" s="124"/>
      <c r="J4" s="125"/>
    </row>
    <row r="5" spans="1:10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126"/>
    </row>
    <row r="6" spans="1:10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9"/>
    </row>
    <row r="7" spans="1:10" ht="16.2" thickBot="1" x14ac:dyDescent="0.35">
      <c r="A7" s="589" t="s">
        <v>174</v>
      </c>
      <c r="B7" s="590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60" t="s">
        <v>223</v>
      </c>
      <c r="I7" s="60" t="s">
        <v>224</v>
      </c>
      <c r="J7" s="59" t="s">
        <v>160</v>
      </c>
    </row>
    <row r="8" spans="1:10" ht="15" thickBot="1" x14ac:dyDescent="0.35">
      <c r="A8" s="600" t="s">
        <v>159</v>
      </c>
      <c r="B8" s="601"/>
      <c r="C8" s="601"/>
      <c r="D8" s="601"/>
      <c r="E8" s="601"/>
      <c r="F8" s="601"/>
      <c r="G8" s="601"/>
      <c r="H8" s="601"/>
      <c r="I8" s="601"/>
      <c r="J8" s="602"/>
    </row>
    <row r="9" spans="1:10" ht="15.6" x14ac:dyDescent="0.3">
      <c r="A9" s="603" t="s">
        <v>176</v>
      </c>
      <c r="B9" s="604"/>
      <c r="C9" s="58" t="s">
        <v>152</v>
      </c>
      <c r="D9" s="57">
        <f>Bangula!G9+Bangula!H9+Bangula!I9</f>
        <v>34231</v>
      </c>
      <c r="E9" s="57">
        <f>Chikwawa!G9+Chikwawa!H9+Chikwawa!I9</f>
        <v>85118</v>
      </c>
      <c r="F9" s="57">
        <f>'Miseu Folo'!G9+'Miseu Folo'!H9+'Miseu Folo'!I9</f>
        <v>10940</v>
      </c>
      <c r="G9" s="57">
        <f>Nchalo!G9+Nchalo!H9+Nchalo!I9</f>
        <v>74437</v>
      </c>
      <c r="H9" s="57">
        <f>Nsanje!G9+Nsanje!H9+Nsanje!I9</f>
        <v>61035</v>
      </c>
      <c r="I9" s="57">
        <f>Ngabu!G9+Ngabu!H9+Ngabu!I9</f>
        <v>37279</v>
      </c>
      <c r="J9" s="150">
        <f>SUM(D9:I9)</f>
        <v>303040</v>
      </c>
    </row>
    <row r="10" spans="1:10" x14ac:dyDescent="0.3">
      <c r="A10" s="595" t="s">
        <v>177</v>
      </c>
      <c r="B10" s="596"/>
      <c r="C10" s="596"/>
      <c r="D10" s="596"/>
      <c r="E10" s="596"/>
      <c r="F10" s="596"/>
      <c r="G10" s="596"/>
      <c r="H10" s="596"/>
      <c r="I10" s="596"/>
      <c r="J10" s="597"/>
    </row>
    <row r="11" spans="1:10" ht="15.6" x14ac:dyDescent="0.3">
      <c r="A11" s="598" t="s">
        <v>157</v>
      </c>
      <c r="B11" s="599"/>
      <c r="C11" s="11" t="s">
        <v>152</v>
      </c>
      <c r="D11" s="26">
        <f>Bangula!G11+Bangula!H11+Bangula!I11</f>
        <v>14419</v>
      </c>
      <c r="E11" s="26">
        <f>Chikwawa!G11+Chikwawa!H11+Chikwawa!I11</f>
        <v>46676</v>
      </c>
      <c r="F11" s="26">
        <f>'Miseu Folo'!G11+'Miseu Folo'!H11+'Miseu Folo'!I11</f>
        <v>2624</v>
      </c>
      <c r="G11" s="26">
        <f>Nchalo!G11+Nchalo!H11+Nchalo!I11</f>
        <v>41857</v>
      </c>
      <c r="H11" s="26">
        <f>Nsanje!G11+Nsanje!H11+Nsanje!I11</f>
        <v>25770</v>
      </c>
      <c r="I11" s="26">
        <f>Ngabu!G11+Ngabu!H11+Ngabu!I11</f>
        <v>17690</v>
      </c>
      <c r="J11" s="55">
        <f>SUM(D11:I11)</f>
        <v>149036</v>
      </c>
    </row>
    <row r="12" spans="1:10" ht="15.6" x14ac:dyDescent="0.3">
      <c r="A12" s="598" t="s">
        <v>156</v>
      </c>
      <c r="B12" s="599"/>
      <c r="C12" s="11" t="s">
        <v>152</v>
      </c>
      <c r="D12" s="26">
        <f>Bangula!G12+Bangula!H12+Bangula!I12</f>
        <v>4653</v>
      </c>
      <c r="E12" s="26">
        <f>Chikwawa!G12+Chikwawa!H12+Chikwawa!I12</f>
        <v>2346</v>
      </c>
      <c r="F12" s="26">
        <f>'Miseu Folo'!G12+'Miseu Folo'!H12+'Miseu Folo'!I12</f>
        <v>0</v>
      </c>
      <c r="G12" s="26">
        <f>Nchalo!G12+Nchalo!H12+Nchalo!I12</f>
        <v>2275</v>
      </c>
      <c r="H12" s="26">
        <f>Nsanje!G12+Nsanje!H12+Nsanje!I12</f>
        <v>2075</v>
      </c>
      <c r="I12" s="26">
        <f>Ngabu!G12+Ngabu!H12+Ngabu!I12</f>
        <v>3243</v>
      </c>
      <c r="J12" s="55">
        <f>SUM(D12:I12)</f>
        <v>14592</v>
      </c>
    </row>
    <row r="13" spans="1:10" ht="15.6" x14ac:dyDescent="0.3">
      <c r="A13" s="598" t="s">
        <v>155</v>
      </c>
      <c r="B13" s="599"/>
      <c r="C13" s="11" t="s">
        <v>152</v>
      </c>
      <c r="D13" s="26">
        <f>Bangula!G13+Bangula!H13+Bangula!I13</f>
        <v>175</v>
      </c>
      <c r="E13" s="26">
        <f>Chikwawa!G13+Chikwawa!H13+Chikwawa!I13</f>
        <v>736</v>
      </c>
      <c r="F13" s="26">
        <f>'Miseu Folo'!G13+'Miseu Folo'!H13+'Miseu Folo'!I13</f>
        <v>13</v>
      </c>
      <c r="G13" s="26">
        <f>Nchalo!G13+Nchalo!H13+Nchalo!I13</f>
        <v>367</v>
      </c>
      <c r="H13" s="26">
        <f>Nsanje!G13+Nsanje!H13+Nsanje!I13</f>
        <v>497</v>
      </c>
      <c r="I13" s="26">
        <f>Ngabu!G13+Ngabu!H13+Ngabu!I13</f>
        <v>454</v>
      </c>
      <c r="J13" s="55">
        <f>SUM(D13:I13)</f>
        <v>2242</v>
      </c>
    </row>
    <row r="14" spans="1:10" ht="15.6" x14ac:dyDescent="0.3">
      <c r="A14" s="591" t="s">
        <v>154</v>
      </c>
      <c r="B14" s="592"/>
      <c r="C14" s="11" t="s">
        <v>152</v>
      </c>
      <c r="D14" s="26">
        <f>Bangula!G14+Bangula!H14+Bangula!I14</f>
        <v>27</v>
      </c>
      <c r="E14" s="26">
        <f>Chikwawa!G14+Chikwawa!H14+Chikwawa!I14</f>
        <v>258</v>
      </c>
      <c r="F14" s="26">
        <f>'Miseu Folo'!G14+'Miseu Folo'!H14+'Miseu Folo'!I14</f>
        <v>49</v>
      </c>
      <c r="G14" s="26">
        <f>Nchalo!G14+Nchalo!H14+Nchalo!I14</f>
        <v>694</v>
      </c>
      <c r="H14" s="26">
        <f>Nsanje!G14+Nsanje!H14+Nsanje!I14</f>
        <v>407</v>
      </c>
      <c r="I14" s="26">
        <f>Ngabu!G14+Ngabu!H14+Ngabu!I14</f>
        <v>154</v>
      </c>
      <c r="J14" s="55">
        <f>SUM(D14:I14)</f>
        <v>1589</v>
      </c>
    </row>
    <row r="15" spans="1:10" s="63" customFormat="1" ht="15.6" x14ac:dyDescent="0.3">
      <c r="A15" s="593" t="s">
        <v>158</v>
      </c>
      <c r="B15" s="594"/>
      <c r="C15" s="62" t="s">
        <v>152</v>
      </c>
      <c r="D15" s="34">
        <f t="shared" ref="D15:J15" si="0">SUM(D11:D14)</f>
        <v>19274</v>
      </c>
      <c r="E15" s="34">
        <f t="shared" si="0"/>
        <v>50016</v>
      </c>
      <c r="F15" s="34">
        <f t="shared" si="0"/>
        <v>2686</v>
      </c>
      <c r="G15" s="34">
        <f t="shared" si="0"/>
        <v>45193</v>
      </c>
      <c r="H15" s="34">
        <f t="shared" si="0"/>
        <v>28749</v>
      </c>
      <c r="I15" s="34">
        <f t="shared" si="0"/>
        <v>21541</v>
      </c>
      <c r="J15" s="55">
        <f t="shared" si="0"/>
        <v>167459</v>
      </c>
    </row>
    <row r="16" spans="1:10" s="2" customFormat="1" x14ac:dyDescent="0.3">
      <c r="A16" s="595" t="s">
        <v>178</v>
      </c>
      <c r="B16" s="596"/>
      <c r="C16" s="596"/>
      <c r="D16" s="596"/>
      <c r="E16" s="596"/>
      <c r="F16" s="596"/>
      <c r="G16" s="596"/>
      <c r="H16" s="596"/>
      <c r="I16" s="596"/>
      <c r="J16" s="597"/>
    </row>
    <row r="17" spans="1:10" s="2" customFormat="1" ht="15.6" x14ac:dyDescent="0.3">
      <c r="A17" s="598" t="s">
        <v>180</v>
      </c>
      <c r="B17" s="599"/>
      <c r="C17" s="11" t="s">
        <v>152</v>
      </c>
      <c r="D17" s="26">
        <f>Bangula!G17+Bangula!H17+Bangula!I17</f>
        <v>3250</v>
      </c>
      <c r="E17" s="26">
        <f>Chikwawa!G17+Chikwawa!H17+Chikwawa!I17</f>
        <v>3972</v>
      </c>
      <c r="F17" s="26">
        <f>'Miseu Folo'!G17+'Miseu Folo'!H17+'Miseu Folo'!I17</f>
        <v>0</v>
      </c>
      <c r="G17" s="26">
        <f>Nchalo!G17+Nchalo!H17+Nchalo!I17</f>
        <v>0</v>
      </c>
      <c r="H17" s="26">
        <f>Nsanje!G17+Nsanje!H17+Nsanje!I17</f>
        <v>8461</v>
      </c>
      <c r="I17" s="26">
        <f>Ngabu!G17+Ngabu!H17+Ngabu!I17</f>
        <v>4579</v>
      </c>
      <c r="J17" s="55">
        <f>SUM(D17:I17)</f>
        <v>20262</v>
      </c>
    </row>
    <row r="18" spans="1:10" s="2" customFormat="1" ht="15.6" x14ac:dyDescent="0.3">
      <c r="A18" s="598" t="s">
        <v>181</v>
      </c>
      <c r="B18" s="599"/>
      <c r="C18" s="11" t="s">
        <v>152</v>
      </c>
      <c r="D18" s="26">
        <f>Bangula!G18+Bangula!H18+Bangula!I18</f>
        <v>57</v>
      </c>
      <c r="E18" s="26">
        <f>Chikwawa!G18+Chikwawa!H18+Chikwawa!I18</f>
        <v>0</v>
      </c>
      <c r="F18" s="26">
        <f>'Miseu Folo'!G18+'Miseu Folo'!H18+'Miseu Folo'!I18</f>
        <v>0</v>
      </c>
      <c r="G18" s="26">
        <f>Nchalo!G18+Nchalo!H18+Nchalo!I18</f>
        <v>0</v>
      </c>
      <c r="H18" s="26">
        <f>Nsanje!G18+Nsanje!H18+Nsanje!I18</f>
        <v>0</v>
      </c>
      <c r="I18" s="26">
        <f>Ngabu!G18+Ngabu!H18+Ngabu!I18</f>
        <v>0</v>
      </c>
      <c r="J18" s="55">
        <f>SUM(D18:I18)</f>
        <v>57</v>
      </c>
    </row>
    <row r="19" spans="1:10" s="2" customFormat="1" ht="15.6" x14ac:dyDescent="0.3">
      <c r="A19" s="598" t="s">
        <v>182</v>
      </c>
      <c r="B19" s="599"/>
      <c r="C19" s="11" t="s">
        <v>152</v>
      </c>
      <c r="D19" s="26">
        <f>Bangula!G19+Bangula!H19+Bangula!I19</f>
        <v>4308.5</v>
      </c>
      <c r="E19" s="26">
        <f>Chikwawa!G19+Chikwawa!H19+Chikwawa!I19</f>
        <v>11381</v>
      </c>
      <c r="F19" s="26">
        <f>'Miseu Folo'!G19+'Miseu Folo'!H19+'Miseu Folo'!I19</f>
        <v>6629.2</v>
      </c>
      <c r="G19" s="26">
        <f>Nchalo!G19+Nchalo!H19+Nchalo!I19</f>
        <v>8291.3000000000011</v>
      </c>
      <c r="H19" s="26">
        <f>Nsanje!G19+Nsanje!H19+Nsanje!I19</f>
        <v>7294.3</v>
      </c>
      <c r="I19" s="26">
        <f>Ngabu!G19+Ngabu!H19+Ngabu!I19</f>
        <v>5402</v>
      </c>
      <c r="J19" s="55">
        <f>SUM(D19:I19)</f>
        <v>43306.3</v>
      </c>
    </row>
    <row r="20" spans="1:10" s="2" customFormat="1" ht="15.6" x14ac:dyDescent="0.3">
      <c r="A20" s="591" t="s">
        <v>183</v>
      </c>
      <c r="B20" s="592"/>
      <c r="C20" s="11" t="s">
        <v>152</v>
      </c>
      <c r="D20" s="26">
        <f>Bangula!G20+Bangula!H20+Bangula!I20</f>
        <v>678</v>
      </c>
      <c r="E20" s="26">
        <f>Chikwawa!G20+Chikwawa!H20+Chikwawa!I20</f>
        <v>1708</v>
      </c>
      <c r="F20" s="26">
        <f>'Miseu Folo'!G20+'Miseu Folo'!H20+'Miseu Folo'!I20</f>
        <v>0</v>
      </c>
      <c r="G20" s="26">
        <f>Nchalo!G20+Nchalo!H20+Nchalo!I20</f>
        <v>0</v>
      </c>
      <c r="H20" s="26">
        <f>Nsanje!G20+Nsanje!H20+Nsanje!I20</f>
        <v>893</v>
      </c>
      <c r="I20" s="26">
        <f>Ngabu!G20+Ngabu!H20+Ngabu!I20</f>
        <v>224</v>
      </c>
      <c r="J20" s="55">
        <f>SUM(D20:I20)</f>
        <v>3503</v>
      </c>
    </row>
    <row r="21" spans="1:10" s="73" customFormat="1" ht="15.6" x14ac:dyDescent="0.3">
      <c r="A21" s="593" t="s">
        <v>184</v>
      </c>
      <c r="B21" s="594"/>
      <c r="C21" s="62" t="s">
        <v>152</v>
      </c>
      <c r="D21" s="34">
        <f>SUM(D17:D20)</f>
        <v>8293.5</v>
      </c>
      <c r="E21" s="34">
        <f t="shared" ref="E21:J21" si="1">SUM(E17:E20)</f>
        <v>17061</v>
      </c>
      <c r="F21" s="34">
        <f t="shared" si="1"/>
        <v>6629.2</v>
      </c>
      <c r="G21" s="34">
        <f t="shared" si="1"/>
        <v>8291.3000000000011</v>
      </c>
      <c r="H21" s="34">
        <f t="shared" si="1"/>
        <v>16648.3</v>
      </c>
      <c r="I21" s="34">
        <f t="shared" si="1"/>
        <v>10205</v>
      </c>
      <c r="J21" s="55">
        <f t="shared" si="1"/>
        <v>67128.3</v>
      </c>
    </row>
    <row r="22" spans="1:10" s="2" customFormat="1" ht="15.6" x14ac:dyDescent="0.3">
      <c r="A22" s="75" t="s">
        <v>185</v>
      </c>
      <c r="B22" s="79"/>
      <c r="C22" s="11" t="s">
        <v>152</v>
      </c>
      <c r="D22" s="34">
        <f>D21+D15</f>
        <v>27567.5</v>
      </c>
      <c r="E22" s="34">
        <f t="shared" ref="E22:J22" si="2">E21+E15</f>
        <v>67077</v>
      </c>
      <c r="F22" s="34">
        <f t="shared" si="2"/>
        <v>9315.2000000000007</v>
      </c>
      <c r="G22" s="34">
        <f t="shared" si="2"/>
        <v>53484.3</v>
      </c>
      <c r="H22" s="34">
        <f t="shared" si="2"/>
        <v>45397.3</v>
      </c>
      <c r="I22" s="34">
        <f t="shared" si="2"/>
        <v>31746</v>
      </c>
      <c r="J22" s="55">
        <f t="shared" si="2"/>
        <v>234587.3</v>
      </c>
    </row>
    <row r="23" spans="1:10" x14ac:dyDescent="0.3">
      <c r="A23" s="595" t="s">
        <v>215</v>
      </c>
      <c r="B23" s="596"/>
      <c r="C23" s="596"/>
      <c r="D23" s="596"/>
      <c r="E23" s="596"/>
      <c r="F23" s="596"/>
      <c r="G23" s="596"/>
      <c r="H23" s="596"/>
      <c r="I23" s="596"/>
      <c r="J23" s="597"/>
    </row>
    <row r="24" spans="1:10" ht="15.6" x14ac:dyDescent="0.3">
      <c r="A24" s="610" t="s">
        <v>179</v>
      </c>
      <c r="B24" s="37" t="s">
        <v>153</v>
      </c>
      <c r="C24" s="5" t="s">
        <v>152</v>
      </c>
      <c r="D24" s="54">
        <f>D9-D22</f>
        <v>6663.5</v>
      </c>
      <c r="E24" s="54">
        <f t="shared" ref="E24:J24" si="3">E9-E22</f>
        <v>18041</v>
      </c>
      <c r="F24" s="54">
        <f t="shared" si="3"/>
        <v>1624.7999999999993</v>
      </c>
      <c r="G24" s="54">
        <f t="shared" si="3"/>
        <v>20952.699999999997</v>
      </c>
      <c r="H24" s="54">
        <f t="shared" si="3"/>
        <v>15637.699999999997</v>
      </c>
      <c r="I24" s="54">
        <f t="shared" si="3"/>
        <v>5533</v>
      </c>
      <c r="J24" s="100">
        <f t="shared" si="3"/>
        <v>68452.700000000012</v>
      </c>
    </row>
    <row r="25" spans="1:10" ht="15.6" x14ac:dyDescent="0.3">
      <c r="A25" s="611"/>
      <c r="B25" s="53" t="s">
        <v>151</v>
      </c>
      <c r="C25" s="52" t="s">
        <v>6</v>
      </c>
      <c r="D25" s="51">
        <f t="shared" ref="D25:J25" si="4">D24/D9</f>
        <v>0.19466273261079139</v>
      </c>
      <c r="E25" s="51">
        <f t="shared" si="4"/>
        <v>0.21195281844028291</v>
      </c>
      <c r="F25" s="51">
        <f t="shared" si="4"/>
        <v>0.14851919561243138</v>
      </c>
      <c r="G25" s="51">
        <f t="shared" si="4"/>
        <v>0.28148232733721129</v>
      </c>
      <c r="H25" s="51">
        <f t="shared" si="4"/>
        <v>0.25620873269435562</v>
      </c>
      <c r="I25" s="51">
        <f t="shared" si="4"/>
        <v>0.14842136323399233</v>
      </c>
      <c r="J25" s="151">
        <f t="shared" si="4"/>
        <v>0.225886681626188</v>
      </c>
    </row>
    <row r="26" spans="1:10" x14ac:dyDescent="0.3">
      <c r="A26" s="595" t="s">
        <v>150</v>
      </c>
      <c r="B26" s="596"/>
      <c r="C26" s="596"/>
      <c r="D26" s="596"/>
      <c r="E26" s="596"/>
      <c r="F26" s="596"/>
      <c r="G26" s="596"/>
      <c r="H26" s="596"/>
      <c r="I26" s="596"/>
      <c r="J26" s="597"/>
    </row>
    <row r="27" spans="1:10" x14ac:dyDescent="0.3">
      <c r="A27" s="671" t="s">
        <v>149</v>
      </c>
      <c r="B27" s="672"/>
      <c r="C27" s="672"/>
      <c r="D27" s="672"/>
      <c r="E27" s="672"/>
      <c r="F27" s="672"/>
      <c r="G27" s="672"/>
      <c r="H27" s="672"/>
      <c r="I27" s="672"/>
      <c r="J27" s="673"/>
    </row>
    <row r="28" spans="1:10" ht="15.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6"/>
    </row>
    <row r="29" spans="1:10" ht="15.6" x14ac:dyDescent="0.3">
      <c r="A29" s="587" t="s">
        <v>146</v>
      </c>
      <c r="B29" s="585">
        <v>3525.29</v>
      </c>
      <c r="C29" s="5" t="s">
        <v>140</v>
      </c>
      <c r="D29" s="26">
        <f>Bangula!G29+Bangula!H29+Bangula!I29</f>
        <v>48</v>
      </c>
      <c r="E29" s="26">
        <f>Chikwawa!G29+Chikwawa!H29+Chikwawa!I29</f>
        <v>92</v>
      </c>
      <c r="F29" s="26">
        <f>'Miseu Folo'!G29+'Miseu Folo'!H29+'Miseu Folo'!I29</f>
        <v>23.3</v>
      </c>
      <c r="G29" s="26">
        <f>Nchalo!G29+Nchalo!H29+Nchalo!I29</f>
        <v>53</v>
      </c>
      <c r="H29" s="26">
        <f>Nsanje!G29+Nsanje!H29+Nsanje!I29</f>
        <v>37.5</v>
      </c>
      <c r="I29" s="26">
        <f>Ngabu!G29+Ngabu!H29+Ngabu!I29</f>
        <v>51</v>
      </c>
      <c r="J29" s="45">
        <f>SUM(D29:I29)</f>
        <v>304.8</v>
      </c>
    </row>
    <row r="30" spans="1:10" ht="15.6" x14ac:dyDescent="0.3">
      <c r="A30" s="588"/>
      <c r="B30" s="586"/>
      <c r="C30" s="42" t="s">
        <v>139</v>
      </c>
      <c r="D30" s="15">
        <f t="shared" ref="D30:J30" si="5">D29/(D9/1000)</f>
        <v>1.4022377377231163</v>
      </c>
      <c r="E30" s="15">
        <f t="shared" si="5"/>
        <v>1.0808524636387133</v>
      </c>
      <c r="F30" s="15">
        <f t="shared" si="5"/>
        <v>2.129798903107861</v>
      </c>
      <c r="G30" s="15">
        <f t="shared" si="5"/>
        <v>0.71201149965742849</v>
      </c>
      <c r="H30" s="15">
        <f t="shared" si="5"/>
        <v>0.61440157286802655</v>
      </c>
      <c r="I30" s="15">
        <f t="shared" si="5"/>
        <v>1.3680624480270391</v>
      </c>
      <c r="J30" s="103">
        <f t="shared" si="5"/>
        <v>1.0058078141499471</v>
      </c>
    </row>
    <row r="31" spans="1:10" ht="15.6" x14ac:dyDescent="0.3">
      <c r="A31" s="605" t="s">
        <v>145</v>
      </c>
      <c r="B31" s="243"/>
      <c r="C31" s="5" t="s">
        <v>140</v>
      </c>
      <c r="D31" s="26">
        <f>Bangula!G31+Bangula!H31+Bangula!I31</f>
        <v>0</v>
      </c>
      <c r="E31" s="26">
        <f>Chikwawa!G31+Chikwawa!H31+Chikwawa!I31</f>
        <v>0</v>
      </c>
      <c r="F31" s="26">
        <f>'Miseu Folo'!G31+'Miseu Folo'!H31+'Miseu Folo'!I31</f>
        <v>0</v>
      </c>
      <c r="G31" s="26">
        <f>Nchalo!G31+Nchalo!H31+Nchalo!I31</f>
        <v>0</v>
      </c>
      <c r="H31" s="26">
        <f>Nsanje!G31+Nsanje!H31+Nsanje!I31</f>
        <v>0</v>
      </c>
      <c r="I31" s="26">
        <f>Ngabu!G31+Ngabu!H31+Ngabu!I31</f>
        <v>0</v>
      </c>
      <c r="J31" s="45">
        <f>SUM(D31:I31)</f>
        <v>0</v>
      </c>
    </row>
    <row r="32" spans="1:10" ht="15.6" x14ac:dyDescent="0.3">
      <c r="A32" s="606"/>
      <c r="B32" s="244">
        <v>1060.01</v>
      </c>
      <c r="C32" s="42" t="s">
        <v>139</v>
      </c>
      <c r="D32" s="15">
        <f t="shared" ref="D32:J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03">
        <f t="shared" si="6"/>
        <v>0</v>
      </c>
    </row>
    <row r="33" spans="1:10" ht="15.6" x14ac:dyDescent="0.3">
      <c r="A33" s="605" t="s">
        <v>144</v>
      </c>
      <c r="B33" s="243"/>
      <c r="C33" s="5" t="s">
        <v>140</v>
      </c>
      <c r="D33" s="26">
        <f>Bangula!G33+Bangula!H33+Bangula!I33</f>
        <v>0</v>
      </c>
      <c r="E33" s="26">
        <f>Chikwawa!G33+Chikwawa!H33+Chikwawa!I33</f>
        <v>0</v>
      </c>
      <c r="F33" s="26">
        <f>'Miseu Folo'!G33+'Miseu Folo'!H33+'Miseu Folo'!I33</f>
        <v>0</v>
      </c>
      <c r="G33" s="26">
        <f>Nchalo!G33+Nchalo!H33+Nchalo!I33</f>
        <v>0</v>
      </c>
      <c r="H33" s="26">
        <f>Nsanje!G33+Nsanje!H33+Nsanje!I33</f>
        <v>0</v>
      </c>
      <c r="I33" s="26">
        <f>Ngabu!G33+Ngabu!H33+Ngabu!I33</f>
        <v>0</v>
      </c>
      <c r="J33" s="45">
        <f>SUM(D33:I33)</f>
        <v>0</v>
      </c>
    </row>
    <row r="34" spans="1:10" ht="15.6" x14ac:dyDescent="0.3">
      <c r="A34" s="606"/>
      <c r="B34" s="244">
        <v>1228.29</v>
      </c>
      <c r="C34" s="42" t="s">
        <v>139</v>
      </c>
      <c r="D34" s="15">
        <f t="shared" ref="D34:J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03">
        <f t="shared" si="7"/>
        <v>0</v>
      </c>
    </row>
    <row r="35" spans="1:10" ht="15.6" x14ac:dyDescent="0.3">
      <c r="A35" s="605" t="s">
        <v>143</v>
      </c>
      <c r="B35" s="243"/>
      <c r="C35" s="5" t="s">
        <v>126</v>
      </c>
      <c r="D35" s="26">
        <f>Bangula!G35+Bangula!H35+Bangula!I35</f>
        <v>0</v>
      </c>
      <c r="E35" s="26">
        <f>Chikwawa!G35+Chikwawa!H35+Chikwawa!I35</f>
        <v>0</v>
      </c>
      <c r="F35" s="26">
        <f>'Miseu Folo'!G35+'Miseu Folo'!H35+'Miseu Folo'!I35</f>
        <v>0</v>
      </c>
      <c r="G35" s="26">
        <f>Nchalo!G35+Nchalo!H35+Nchalo!I35</f>
        <v>0</v>
      </c>
      <c r="H35" s="26">
        <f>Nsanje!G35+Nsanje!H35+Nsanje!I35</f>
        <v>0</v>
      </c>
      <c r="I35" s="26">
        <f>Ngabu!G35+Ngabu!H35+Ngabu!I35</f>
        <v>0</v>
      </c>
      <c r="J35" s="103"/>
    </row>
    <row r="36" spans="1:10" ht="15.6" x14ac:dyDescent="0.3">
      <c r="A36" s="606"/>
      <c r="B36" s="244">
        <v>3726.73</v>
      </c>
      <c r="C36" s="5" t="s">
        <v>142</v>
      </c>
      <c r="D36" s="13"/>
      <c r="E36" s="13"/>
      <c r="F36" s="13"/>
      <c r="G36" s="13"/>
      <c r="H36" s="13"/>
      <c r="I36" s="13"/>
      <c r="J36" s="103"/>
    </row>
    <row r="37" spans="1:10" ht="15.6" x14ac:dyDescent="0.3">
      <c r="A37" s="605" t="s">
        <v>186</v>
      </c>
      <c r="B37" s="243"/>
      <c r="C37" s="5" t="s">
        <v>126</v>
      </c>
      <c r="D37" s="26">
        <f>Bangula!G37+Bangula!H37+Bangula!I37</f>
        <v>0</v>
      </c>
      <c r="E37" s="26">
        <f>Chikwawa!G37+Chikwawa!H37+Chikwawa!I37</f>
        <v>0</v>
      </c>
      <c r="F37" s="26">
        <f>'Miseu Folo'!G37+'Miseu Folo'!H37+'Miseu Folo'!I37</f>
        <v>0</v>
      </c>
      <c r="G37" s="26">
        <f>Nchalo!G37+Nchalo!H37+Nchalo!I37</f>
        <v>0</v>
      </c>
      <c r="H37" s="26">
        <f>Nsanje!G37+Nsanje!H37+Nsanje!I37</f>
        <v>0</v>
      </c>
      <c r="I37" s="26">
        <f>Ngabu!G37+Ngabu!H37+Ngabu!I37</f>
        <v>0</v>
      </c>
      <c r="J37" s="45">
        <f>SUM(D37:I37)</f>
        <v>0</v>
      </c>
    </row>
    <row r="38" spans="1:10" ht="15.6" x14ac:dyDescent="0.3">
      <c r="A38" s="606"/>
      <c r="B38" s="244">
        <v>3951.59</v>
      </c>
      <c r="C38" s="5" t="s">
        <v>142</v>
      </c>
      <c r="D38" s="15">
        <f t="shared" ref="D38:J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5">
        <f t="shared" si="8"/>
        <v>0</v>
      </c>
      <c r="I38" s="15">
        <f t="shared" si="8"/>
        <v>0</v>
      </c>
      <c r="J38" s="103">
        <f t="shared" si="8"/>
        <v>0</v>
      </c>
    </row>
    <row r="39" spans="1:10" ht="15.6" x14ac:dyDescent="0.3">
      <c r="A39" s="605" t="s">
        <v>141</v>
      </c>
      <c r="B39" s="243"/>
      <c r="C39" s="5" t="s">
        <v>140</v>
      </c>
      <c r="D39" s="26">
        <f>Bangula!G39+Bangula!H39+Bangula!I39</f>
        <v>0</v>
      </c>
      <c r="E39" s="26">
        <f>Chikwawa!G39+Chikwawa!H39+Chikwawa!I39</f>
        <v>0</v>
      </c>
      <c r="F39" s="26">
        <f>'Miseu Folo'!G39+'Miseu Folo'!H39+'Miseu Folo'!I39</f>
        <v>0</v>
      </c>
      <c r="G39" s="26">
        <f>Nchalo!G39+Nchalo!H39+Nchalo!I39</f>
        <v>0</v>
      </c>
      <c r="H39" s="26">
        <f>Nsanje!G39+Nsanje!H39+Nsanje!I39</f>
        <v>0</v>
      </c>
      <c r="I39" s="26">
        <f>Ngabu!G39+Ngabu!H39+Ngabu!I39</f>
        <v>0</v>
      </c>
      <c r="J39" s="45">
        <f>SUM(D39:I39)</f>
        <v>0</v>
      </c>
    </row>
    <row r="40" spans="1:10" ht="15.6" x14ac:dyDescent="0.3">
      <c r="A40" s="606"/>
      <c r="B40" s="244">
        <v>1950</v>
      </c>
      <c r="C40" s="42" t="s">
        <v>139</v>
      </c>
      <c r="D40" s="15">
        <f t="shared" ref="D40:J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03">
        <f t="shared" si="9"/>
        <v>0</v>
      </c>
    </row>
    <row r="41" spans="1:10" ht="15.6" x14ac:dyDescent="0.3">
      <c r="A41" s="591" t="s">
        <v>138</v>
      </c>
      <c r="B41" s="592"/>
      <c r="C41" s="11" t="s">
        <v>31</v>
      </c>
      <c r="D41" s="41">
        <f>(D29*$B29)+(D31*$B31)+(D33*$B33)+(D35*$B35)+(D37*$B37)+(D39*$B39)</f>
        <v>169213.91999999998</v>
      </c>
      <c r="E41" s="41">
        <f t="shared" ref="E41:I41" si="10">(E29*$B29)+(E31*$B31)+(E33*$B33)+(E35*$B35)+(E37*$B37)+(E39*$B39)</f>
        <v>324326.68</v>
      </c>
      <c r="F41" s="41">
        <f t="shared" si="10"/>
        <v>82139.256999999998</v>
      </c>
      <c r="G41" s="41">
        <f t="shared" si="10"/>
        <v>186840.37</v>
      </c>
      <c r="H41" s="41">
        <f t="shared" si="10"/>
        <v>132198.375</v>
      </c>
      <c r="I41" s="41">
        <f t="shared" si="10"/>
        <v>179789.79</v>
      </c>
      <c r="J41" s="39">
        <f>SUM(D41:I41)</f>
        <v>1074508.392</v>
      </c>
    </row>
    <row r="42" spans="1:10" ht="15.6" x14ac:dyDescent="0.3">
      <c r="A42" s="615" t="s">
        <v>137</v>
      </c>
      <c r="B42" s="616"/>
      <c r="C42" s="42" t="s">
        <v>115</v>
      </c>
      <c r="D42" s="15">
        <f t="shared" ref="D42:J42" si="11">D41/D9</f>
        <v>4.9432946744179249</v>
      </c>
      <c r="E42" s="15">
        <f t="shared" si="11"/>
        <v>3.8103183815409194</v>
      </c>
      <c r="F42" s="15">
        <f t="shared" si="11"/>
        <v>7.5081587751371117</v>
      </c>
      <c r="G42" s="15">
        <f t="shared" si="11"/>
        <v>2.5100470196273359</v>
      </c>
      <c r="H42" s="15">
        <f t="shared" si="11"/>
        <v>2.1659437208159251</v>
      </c>
      <c r="I42" s="15">
        <f t="shared" si="11"/>
        <v>4.8228168674052414</v>
      </c>
      <c r="J42" s="44">
        <f t="shared" si="11"/>
        <v>3.5457642291446674</v>
      </c>
    </row>
    <row r="43" spans="1:10" x14ac:dyDescent="0.3">
      <c r="A43" s="617" t="s">
        <v>136</v>
      </c>
      <c r="B43" s="618"/>
      <c r="C43" s="618"/>
      <c r="D43" s="618"/>
      <c r="E43" s="618"/>
      <c r="F43" s="618"/>
      <c r="G43" s="618"/>
      <c r="H43" s="618"/>
      <c r="I43" s="618"/>
      <c r="J43" s="619"/>
    </row>
    <row r="44" spans="1:10" ht="15.6" x14ac:dyDescent="0.3">
      <c r="A44" s="591" t="s">
        <v>135</v>
      </c>
      <c r="B44" s="592"/>
      <c r="C44" s="11" t="s">
        <v>134</v>
      </c>
      <c r="D44" s="26">
        <f>Bangula!G44+Bangula!H44+Bangula!I44</f>
        <v>51147.71</v>
      </c>
      <c r="E44" s="26">
        <f>Chikwawa!G44+Chikwawa!H44+Chikwawa!I44</f>
        <v>49186</v>
      </c>
      <c r="F44" s="26">
        <f>'Miseu Folo'!G44+'Miseu Folo'!H44+'Miseu Folo'!I44</f>
        <v>3156</v>
      </c>
      <c r="G44" s="26">
        <f>Nchalo!G44+Nchalo!H44+Nchalo!I44</f>
        <v>24051</v>
      </c>
      <c r="H44" s="26">
        <f>Nsanje!G44+Nsanje!H44+Nsanje!I44</f>
        <v>48509</v>
      </c>
      <c r="I44" s="26">
        <f>Ngabu!G44+Ngabu!H44+Ngabu!I44</f>
        <v>27173.300000000003</v>
      </c>
      <c r="J44" s="39">
        <f>SUM(D44:I44)</f>
        <v>203223.01</v>
      </c>
    </row>
    <row r="45" spans="1:10" ht="15.6" x14ac:dyDescent="0.3">
      <c r="A45" s="615" t="s">
        <v>133</v>
      </c>
      <c r="B45" s="616"/>
      <c r="C45" s="42" t="s">
        <v>132</v>
      </c>
      <c r="D45" s="15">
        <f t="shared" ref="D45:J45" si="12">D44/D9</f>
        <v>1.4941926908357921</v>
      </c>
      <c r="E45" s="15">
        <f t="shared" si="12"/>
        <v>0.57785662257101911</v>
      </c>
      <c r="F45" s="15">
        <f t="shared" si="12"/>
        <v>0.28848263254113343</v>
      </c>
      <c r="G45" s="15">
        <f t="shared" si="12"/>
        <v>0.32310544487284548</v>
      </c>
      <c r="H45" s="15">
        <f t="shared" si="12"/>
        <v>0.79477349062013602</v>
      </c>
      <c r="I45" s="15">
        <f t="shared" si="12"/>
        <v>0.72891708468574812</v>
      </c>
      <c r="J45" s="103">
        <f t="shared" si="12"/>
        <v>0.6706144733368532</v>
      </c>
    </row>
    <row r="46" spans="1:10" ht="15.6" x14ac:dyDescent="0.3">
      <c r="A46" s="620" t="s">
        <v>131</v>
      </c>
      <c r="B46" s="621"/>
      <c r="C46" s="5" t="s">
        <v>31</v>
      </c>
      <c r="D46" s="26">
        <f>Bangula!G46+Bangula!H46+Bangula!I46</f>
        <v>7728418.9809999997</v>
      </c>
      <c r="E46" s="26">
        <f>Chikwawa!G46+Chikwawa!H46+Chikwawa!I46</f>
        <v>7432004.5999999996</v>
      </c>
      <c r="F46" s="26">
        <f>'Miseu Folo'!G46+'Miseu Folo'!H46+'Miseu Folo'!I46</f>
        <v>476871.6</v>
      </c>
      <c r="G46" s="26">
        <f>Nchalo!G46+Nchalo!H46+Nchalo!I46</f>
        <v>3634106.1</v>
      </c>
      <c r="H46" s="26">
        <f>Nsanje!G46+Nsanje!H46+Nsanje!I46</f>
        <v>7329709.8999999985</v>
      </c>
      <c r="I46" s="26">
        <f>Ngabu!G46+Ngabu!H46+Ngabu!I46</f>
        <v>4105885.63</v>
      </c>
      <c r="J46" s="39">
        <f>SUM(D46:I46)</f>
        <v>30706996.810999997</v>
      </c>
    </row>
    <row r="47" spans="1:10" s="2" customFormat="1" ht="15.6" x14ac:dyDescent="0.3">
      <c r="A47" s="591" t="s">
        <v>130</v>
      </c>
      <c r="B47" s="592"/>
      <c r="C47" s="11" t="s">
        <v>115</v>
      </c>
      <c r="D47" s="15">
        <f t="shared" ref="D47:J47" si="13">D46/D9</f>
        <v>225.77251558528818</v>
      </c>
      <c r="E47" s="15">
        <f t="shared" si="13"/>
        <v>87.314135670480979</v>
      </c>
      <c r="F47" s="15">
        <f t="shared" si="13"/>
        <v>43.58972577696526</v>
      </c>
      <c r="G47" s="15">
        <f t="shared" si="13"/>
        <v>48.821232720286957</v>
      </c>
      <c r="H47" s="15">
        <f t="shared" si="13"/>
        <v>120.09027443270253</v>
      </c>
      <c r="I47" s="15">
        <f t="shared" si="13"/>
        <v>110.13937149601652</v>
      </c>
      <c r="J47" s="103">
        <f t="shared" si="13"/>
        <v>101.32984692119851</v>
      </c>
    </row>
    <row r="48" spans="1:10" x14ac:dyDescent="0.3">
      <c r="A48" s="617" t="s">
        <v>129</v>
      </c>
      <c r="B48" s="618"/>
      <c r="C48" s="618"/>
      <c r="D48" s="618"/>
      <c r="E48" s="618"/>
      <c r="F48" s="618"/>
      <c r="G48" s="618"/>
      <c r="H48" s="618"/>
      <c r="I48" s="618"/>
      <c r="J48" s="619"/>
    </row>
    <row r="49" spans="1:10" ht="15.6" x14ac:dyDescent="0.3">
      <c r="A49" s="591" t="s">
        <v>128</v>
      </c>
      <c r="B49" s="592"/>
      <c r="C49" s="5" t="s">
        <v>127</v>
      </c>
      <c r="D49" s="26">
        <f>Bangula!G49+Bangula!H49+Bangula!I49</f>
        <v>650</v>
      </c>
      <c r="E49" s="26">
        <f>Chikwawa!G49+Chikwawa!H49+Chikwawa!I49</f>
        <v>1730</v>
      </c>
      <c r="F49" s="26">
        <f>'Miseu Folo'!G49+'Miseu Folo'!H49+'Miseu Folo'!I49</f>
        <v>0</v>
      </c>
      <c r="G49" s="26">
        <f>Nchalo!G49+Nchalo!H49+Nchalo!I49</f>
        <v>0</v>
      </c>
      <c r="H49" s="26">
        <f>Nsanje!G49+Nsanje!H49+Nsanje!I49</f>
        <v>5531</v>
      </c>
      <c r="I49" s="26">
        <f>Ngabu!G49+Ngabu!H49+Ngabu!I49</f>
        <v>3542</v>
      </c>
      <c r="J49" s="39">
        <f>SUM(D49:I49)</f>
        <v>11453</v>
      </c>
    </row>
    <row r="50" spans="1:10" ht="15.6" x14ac:dyDescent="0.3">
      <c r="A50" s="591" t="s">
        <v>187</v>
      </c>
      <c r="B50" s="592"/>
      <c r="C50" s="5" t="s">
        <v>126</v>
      </c>
      <c r="D50" s="26">
        <f>Bangula!G50+Bangula!H50+Bangula!I50</f>
        <v>41.5</v>
      </c>
      <c r="E50" s="26">
        <f>Chikwawa!G50+Chikwawa!H50+Chikwawa!I50</f>
        <v>350</v>
      </c>
      <c r="F50" s="26">
        <f>'Miseu Folo'!G50+'Miseu Folo'!H50+'Miseu Folo'!I50</f>
        <v>0</v>
      </c>
      <c r="G50" s="26">
        <f>Nchalo!G50+Nchalo!H50+Nchalo!I50</f>
        <v>0</v>
      </c>
      <c r="H50" s="26">
        <f>Nsanje!G50+Nsanje!H50+Nsanje!I50</f>
        <v>619</v>
      </c>
      <c r="I50" s="26">
        <f>Ngabu!G50+Ngabu!H50+Ngabu!I50</f>
        <v>576</v>
      </c>
      <c r="J50" s="39">
        <f>SUM(D50:I50)</f>
        <v>1586.5</v>
      </c>
    </row>
    <row r="51" spans="1:10" ht="15.6" x14ac:dyDescent="0.3">
      <c r="A51" s="620" t="s">
        <v>125</v>
      </c>
      <c r="B51" s="621"/>
      <c r="C51" s="5" t="s">
        <v>31</v>
      </c>
      <c r="D51" s="26">
        <f>Bangula!G51+Bangula!H51+Bangula!I51</f>
        <v>61005</v>
      </c>
      <c r="E51" s="26">
        <f>Chikwawa!G51+Chikwawa!H51+Chikwawa!I51</f>
        <v>672000</v>
      </c>
      <c r="F51" s="26">
        <f>'Miseu Folo'!G51+'Miseu Folo'!H51+'Miseu Folo'!I51</f>
        <v>0</v>
      </c>
      <c r="G51" s="26">
        <f>Nchalo!G51+Nchalo!H51+Nchalo!I51</f>
        <v>0</v>
      </c>
      <c r="H51" s="26">
        <f>Nsanje!G51+Nsanje!H51+Nsanje!I51</f>
        <v>1188480</v>
      </c>
      <c r="I51" s="26">
        <f>Ngabu!G51+Ngabu!H51+Ngabu!I51</f>
        <v>1105920</v>
      </c>
      <c r="J51" s="40">
        <f>SUM(D51:I51)</f>
        <v>3027405</v>
      </c>
    </row>
    <row r="52" spans="1:10" ht="15.6" x14ac:dyDescent="0.3">
      <c r="A52" s="591" t="s">
        <v>124</v>
      </c>
      <c r="B52" s="592"/>
      <c r="C52" s="5" t="s">
        <v>31</v>
      </c>
      <c r="D52" s="26">
        <f>Bangula!G52+Bangula!H52+Bangula!I52</f>
        <v>0</v>
      </c>
      <c r="E52" s="26">
        <f>Chikwawa!G52+Chikwawa!H52+Chikwawa!I52</f>
        <v>0</v>
      </c>
      <c r="F52" s="26">
        <f>'Miseu Folo'!G52+'Miseu Folo'!H52+'Miseu Folo'!I52</f>
        <v>0</v>
      </c>
      <c r="G52" s="26">
        <f>Nchalo!G52+Nchalo!H52+Nchalo!I52</f>
        <v>0</v>
      </c>
      <c r="H52" s="26">
        <f>Nsanje!G52+Nsanje!H52+Nsanje!I52</f>
        <v>0</v>
      </c>
      <c r="I52" s="26">
        <f>Ngabu!G52+Ngabu!H52+Ngabu!I52</f>
        <v>0</v>
      </c>
      <c r="J52" s="40">
        <f>SUM(D52:I52)</f>
        <v>0</v>
      </c>
    </row>
    <row r="53" spans="1:10" x14ac:dyDescent="0.3">
      <c r="A53" s="617" t="s">
        <v>123</v>
      </c>
      <c r="B53" s="618"/>
      <c r="C53" s="618"/>
      <c r="D53" s="618"/>
      <c r="E53" s="618"/>
      <c r="F53" s="618"/>
      <c r="G53" s="618"/>
      <c r="H53" s="618"/>
      <c r="I53" s="618"/>
      <c r="J53" s="619"/>
    </row>
    <row r="54" spans="1:10" ht="15.6" x14ac:dyDescent="0.3">
      <c r="A54" s="591" t="s">
        <v>122</v>
      </c>
      <c r="B54" s="592"/>
      <c r="C54" s="11" t="s">
        <v>18</v>
      </c>
      <c r="D54" s="26">
        <f>Bangula!G54+Bangula!H54+Bangula!I54</f>
        <v>2510009.2379999999</v>
      </c>
      <c r="E54" s="26">
        <f>Chikwawa!G54+Chikwawa!H54+Chikwawa!I54</f>
        <v>0</v>
      </c>
      <c r="F54" s="26">
        <f>'Miseu Folo'!G54+'Miseu Folo'!H54+'Miseu Folo'!I54</f>
        <v>4314458.4120000005</v>
      </c>
      <c r="G54" s="26">
        <f>Nchalo!G54+Nchalo!H54+Nchalo!I54</f>
        <v>4568856.2039999999</v>
      </c>
      <c r="H54" s="26">
        <f>Nsanje!G54+Nsanje!H54+Nsanje!I54</f>
        <v>12507771.82</v>
      </c>
      <c r="I54" s="26">
        <f>Ngabu!G54+Ngabu!H54+Ngabu!I54</f>
        <v>4997427.2039999999</v>
      </c>
      <c r="J54" s="39">
        <f>SUM(D54:I54)</f>
        <v>28898522.878000002</v>
      </c>
    </row>
    <row r="55" spans="1:10" ht="15.6" x14ac:dyDescent="0.3">
      <c r="A55" s="78" t="s">
        <v>121</v>
      </c>
      <c r="B55" s="79"/>
      <c r="C55" s="11" t="s">
        <v>18</v>
      </c>
      <c r="D55" s="26">
        <f>Bangula!G55+Bangula!H55+Bangula!I55</f>
        <v>496425.39</v>
      </c>
      <c r="E55" s="26">
        <f>Chikwawa!G55+Chikwawa!H55+Chikwawa!I55</f>
        <v>0</v>
      </c>
      <c r="F55" s="26">
        <f>'Miseu Folo'!G55+'Miseu Folo'!H55+'Miseu Folo'!I55</f>
        <v>0</v>
      </c>
      <c r="G55" s="26">
        <f>Nchalo!G55+Nchalo!H55+Nchalo!I55</f>
        <v>522116.39999999997</v>
      </c>
      <c r="H55" s="26">
        <f>Nsanje!G55+Nsanje!H55+Nsanje!I55</f>
        <v>2180918.91</v>
      </c>
      <c r="I55" s="26">
        <f>Ngabu!G55+Ngabu!H55+Ngabu!I55</f>
        <v>723463.2</v>
      </c>
      <c r="J55" s="39">
        <f>SUM(D55:I55)</f>
        <v>3922923.9000000004</v>
      </c>
    </row>
    <row r="56" spans="1:10" ht="15.6" x14ac:dyDescent="0.3">
      <c r="A56" s="591" t="s">
        <v>120</v>
      </c>
      <c r="B56" s="592"/>
      <c r="C56" s="5" t="s">
        <v>18</v>
      </c>
      <c r="D56" s="26">
        <f>Bangula!G56+Bangula!H56+Bangula!I56</f>
        <v>0</v>
      </c>
      <c r="E56" s="26">
        <f>Chikwawa!G56+Chikwawa!H56+Chikwawa!I56</f>
        <v>0</v>
      </c>
      <c r="F56" s="26">
        <f>'Miseu Folo'!G56+'Miseu Folo'!H56+'Miseu Folo'!I56</f>
        <v>0</v>
      </c>
      <c r="G56" s="26">
        <f>Nchalo!G56+Nchalo!H56+Nchalo!I56</f>
        <v>0</v>
      </c>
      <c r="H56" s="26">
        <f>Nsanje!G56+Nsanje!H56+Nsanje!I56</f>
        <v>0</v>
      </c>
      <c r="I56" s="26">
        <f>Ngabu!G56+Ngabu!H56+Ngabu!I56</f>
        <v>0</v>
      </c>
      <c r="J56" s="39">
        <f>SUM(D56:I56)</f>
        <v>0</v>
      </c>
    </row>
    <row r="57" spans="1:10" x14ac:dyDescent="0.3">
      <c r="A57" s="617" t="s">
        <v>119</v>
      </c>
      <c r="B57" s="618"/>
      <c r="C57" s="618"/>
      <c r="D57" s="618"/>
      <c r="E57" s="618"/>
      <c r="F57" s="618"/>
      <c r="G57" s="618"/>
      <c r="H57" s="618"/>
      <c r="I57" s="618"/>
      <c r="J57" s="619"/>
    </row>
    <row r="58" spans="1:10" ht="15.6" x14ac:dyDescent="0.3">
      <c r="A58" s="620" t="s">
        <v>118</v>
      </c>
      <c r="B58" s="621"/>
      <c r="C58" s="5" t="s">
        <v>18</v>
      </c>
      <c r="D58" s="13">
        <f>D41+D46+D51+D52+D54+D55+D56</f>
        <v>10965072.528999999</v>
      </c>
      <c r="E58" s="13">
        <f t="shared" ref="E58:I58" si="14">E41+E46+E51+E52+E54+E55+E56</f>
        <v>8428331.2799999993</v>
      </c>
      <c r="F58" s="13">
        <f t="shared" si="14"/>
        <v>4873469.2690000003</v>
      </c>
      <c r="G58" s="13">
        <f t="shared" si="14"/>
        <v>8911919.074000001</v>
      </c>
      <c r="H58" s="13">
        <f t="shared" si="14"/>
        <v>23339079.004999999</v>
      </c>
      <c r="I58" s="13">
        <f t="shared" si="14"/>
        <v>11112485.823999999</v>
      </c>
      <c r="J58" s="39">
        <f>SUM(D58:I58)</f>
        <v>67630356.981000006</v>
      </c>
    </row>
    <row r="59" spans="1:10" ht="15.6" x14ac:dyDescent="0.3">
      <c r="A59" s="620" t="s">
        <v>117</v>
      </c>
      <c r="B59" s="621"/>
      <c r="C59" s="5" t="s">
        <v>115</v>
      </c>
      <c r="D59" s="15">
        <f t="shared" ref="D59:J59" si="15">D58/D9</f>
        <v>320.32580202155935</v>
      </c>
      <c r="E59" s="15">
        <f t="shared" si="15"/>
        <v>99.019376395122052</v>
      </c>
      <c r="F59" s="15">
        <f t="shared" si="15"/>
        <v>445.47251087751374</v>
      </c>
      <c r="G59" s="15">
        <f t="shared" si="15"/>
        <v>119.72431820196947</v>
      </c>
      <c r="H59" s="15">
        <f t="shared" si="15"/>
        <v>382.38844933235026</v>
      </c>
      <c r="I59" s="15">
        <f t="shared" si="15"/>
        <v>298.08969725582767</v>
      </c>
      <c r="J59" s="40">
        <f t="shared" si="15"/>
        <v>223.17303650013201</v>
      </c>
    </row>
    <row r="60" spans="1:10" ht="15.6" x14ac:dyDescent="0.3">
      <c r="A60" s="620" t="s">
        <v>116</v>
      </c>
      <c r="B60" s="621"/>
      <c r="C60" s="5" t="s">
        <v>115</v>
      </c>
      <c r="D60" s="15">
        <f>D58/D22</f>
        <v>397.75360584021035</v>
      </c>
      <c r="E60" s="15">
        <f t="shared" ref="E60:I60" si="16">E58/E22</f>
        <v>125.65158370231225</v>
      </c>
      <c r="F60" s="15">
        <f t="shared" si="16"/>
        <v>523.17387377619377</v>
      </c>
      <c r="G60" s="15">
        <f t="shared" si="16"/>
        <v>166.6268245821671</v>
      </c>
      <c r="H60" s="15">
        <f t="shared" si="16"/>
        <v>514.10720472362891</v>
      </c>
      <c r="I60" s="15">
        <f t="shared" si="16"/>
        <v>350.04365349965349</v>
      </c>
      <c r="J60" s="170">
        <f>J58/J22</f>
        <v>288.29504828692774</v>
      </c>
    </row>
    <row r="61" spans="1:10" ht="15.6" x14ac:dyDescent="0.3">
      <c r="A61" s="591" t="s">
        <v>114</v>
      </c>
      <c r="B61" s="592"/>
      <c r="C61" s="5" t="s">
        <v>3</v>
      </c>
      <c r="D61" s="26">
        <f>Bangula!I61</f>
        <v>2</v>
      </c>
      <c r="E61" s="26">
        <f>Chikwawa!I61</f>
        <v>8</v>
      </c>
      <c r="F61" s="26">
        <f>'Miseu Folo'!I61</f>
        <v>8</v>
      </c>
      <c r="G61" s="26">
        <f>Nchalo!I61</f>
        <v>6</v>
      </c>
      <c r="H61" s="26">
        <f>Nsanje!I61</f>
        <v>7</v>
      </c>
      <c r="I61" s="26">
        <f>Ngabu!I61</f>
        <v>7</v>
      </c>
      <c r="J61" s="163">
        <f>SUM(D61:I61)</f>
        <v>38</v>
      </c>
    </row>
    <row r="62" spans="1:10" ht="15.6" customHeight="1" x14ac:dyDescent="0.3">
      <c r="A62" s="620" t="s">
        <v>113</v>
      </c>
      <c r="B62" s="621"/>
      <c r="C62" s="5" t="s">
        <v>112</v>
      </c>
      <c r="D62" s="15">
        <f t="shared" ref="D62:J62" si="17">(D61*1000*31)/D9</f>
        <v>1.8112237445590254</v>
      </c>
      <c r="E62" s="15">
        <f t="shared" si="17"/>
        <v>2.9136022932869663</v>
      </c>
      <c r="F62" s="15">
        <f t="shared" si="17"/>
        <v>22.6691042047532</v>
      </c>
      <c r="G62" s="15">
        <f t="shared" si="17"/>
        <v>2.4987573384204094</v>
      </c>
      <c r="H62" s="15">
        <f t="shared" si="17"/>
        <v>3.5553371016629804</v>
      </c>
      <c r="I62" s="15">
        <f t="shared" si="17"/>
        <v>5.8209715925856385</v>
      </c>
      <c r="J62" s="40">
        <f t="shared" si="17"/>
        <v>3.8872756071805701</v>
      </c>
    </row>
    <row r="63" spans="1:10" ht="15.6" x14ac:dyDescent="0.3">
      <c r="A63" s="634" t="s">
        <v>111</v>
      </c>
      <c r="B63" s="635"/>
      <c r="C63" s="38" t="s">
        <v>3</v>
      </c>
      <c r="D63" s="26">
        <f>Bangula!G63+Bangula!H63+Bangula!I63</f>
        <v>12</v>
      </c>
      <c r="E63" s="26">
        <f>Chikwawa!G63+Chikwawa!H63+Chikwawa!I63</f>
        <v>18</v>
      </c>
      <c r="F63" s="26">
        <f>'Miseu Folo'!G63+'Miseu Folo'!H63+'Miseu Folo'!I63</f>
        <v>0</v>
      </c>
      <c r="G63" s="26">
        <f>Nchalo!G63+Nchalo!H63+Nchalo!I63</f>
        <v>18</v>
      </c>
      <c r="H63" s="26">
        <f>Nsanje!G63+Nsanje!H63+Nsanje!I63</f>
        <v>18</v>
      </c>
      <c r="I63" s="26">
        <f>Ngabu!G63+Ngabu!H63+Ngabu!I63</f>
        <v>18</v>
      </c>
      <c r="J63" s="163">
        <f>SUM(D63:I63)</f>
        <v>84</v>
      </c>
    </row>
    <row r="64" spans="1:10" x14ac:dyDescent="0.3">
      <c r="A64" s="674"/>
      <c r="B64" s="675"/>
      <c r="C64" s="675"/>
      <c r="D64" s="675"/>
      <c r="E64" s="675"/>
      <c r="F64" s="675"/>
      <c r="G64" s="675"/>
      <c r="H64" s="675"/>
      <c r="I64" s="675"/>
      <c r="J64" s="676"/>
    </row>
    <row r="65" spans="1:10" ht="14.4" customHeight="1" x14ac:dyDescent="0.3">
      <c r="A65" s="617" t="s">
        <v>110</v>
      </c>
      <c r="B65" s="618"/>
      <c r="C65" s="618"/>
      <c r="D65" s="618"/>
      <c r="E65" s="618"/>
      <c r="F65" s="618"/>
      <c r="G65" s="618"/>
      <c r="H65" s="618"/>
      <c r="I65" s="618"/>
      <c r="J65" s="619"/>
    </row>
    <row r="66" spans="1:10" ht="15.6" x14ac:dyDescent="0.3">
      <c r="A66" s="622" t="s">
        <v>109</v>
      </c>
      <c r="B66" s="37" t="s">
        <v>85</v>
      </c>
      <c r="C66" s="5" t="s">
        <v>3</v>
      </c>
      <c r="D66" s="26">
        <f>Bangula!G66</f>
        <v>50</v>
      </c>
      <c r="E66" s="26">
        <f>Chikwawa!G66</f>
        <v>325</v>
      </c>
      <c r="F66" s="26">
        <f>'Miseu Folo'!G66</f>
        <v>53</v>
      </c>
      <c r="G66" s="26">
        <f>Nchalo!G66</f>
        <v>32</v>
      </c>
      <c r="H66" s="26">
        <f>Nsanje!G66</f>
        <v>160</v>
      </c>
      <c r="I66" s="26">
        <f>Ngabu!G66</f>
        <v>124</v>
      </c>
      <c r="J66" s="35">
        <f>SUM(D66:I66)</f>
        <v>744</v>
      </c>
    </row>
    <row r="67" spans="1:10" ht="15.6" x14ac:dyDescent="0.3">
      <c r="A67" s="623"/>
      <c r="B67" s="24" t="s">
        <v>104</v>
      </c>
      <c r="C67" s="5" t="s">
        <v>3</v>
      </c>
      <c r="D67" s="26">
        <f>Bangula!G67+Bangula!H67+Bangula!I67</f>
        <v>13</v>
      </c>
      <c r="E67" s="26">
        <f>Chikwawa!G67+Chikwawa!H67+Chikwawa!I67</f>
        <v>51</v>
      </c>
      <c r="F67" s="26">
        <f>'Miseu Folo'!G67+'Miseu Folo'!H67+'Miseu Folo'!I67</f>
        <v>252</v>
      </c>
      <c r="G67" s="26">
        <f>Nchalo!G67+Nchalo!H67+Nchalo!I67</f>
        <v>43</v>
      </c>
      <c r="H67" s="26">
        <f>Nsanje!G67+Nsanje!H67+Nsanje!I67</f>
        <v>61</v>
      </c>
      <c r="I67" s="26">
        <f>Ngabu!G67+Ngabu!H67+Ngabu!I67</f>
        <v>1</v>
      </c>
      <c r="J67" s="35">
        <f>SUM(D67:I67)</f>
        <v>421</v>
      </c>
    </row>
    <row r="68" spans="1:10" ht="27" x14ac:dyDescent="0.3">
      <c r="A68" s="623"/>
      <c r="B68" s="24" t="s">
        <v>103</v>
      </c>
      <c r="C68" s="5" t="s">
        <v>3</v>
      </c>
      <c r="D68" s="26">
        <f>Bangula!G68+Bangula!H68+Bangula!I68</f>
        <v>39</v>
      </c>
      <c r="E68" s="26">
        <f>Chikwawa!G68+Chikwawa!H68+Chikwawa!I68</f>
        <v>89</v>
      </c>
      <c r="F68" s="26">
        <f>'Miseu Folo'!G68+'Miseu Folo'!H68+'Miseu Folo'!I68</f>
        <v>76</v>
      </c>
      <c r="G68" s="26">
        <f>Nchalo!G68+Nchalo!H68+Nchalo!I68</f>
        <v>28</v>
      </c>
      <c r="H68" s="26">
        <f>Nsanje!G68+Nsanje!H68+Nsanje!I68</f>
        <v>62</v>
      </c>
      <c r="I68" s="26">
        <f>Ngabu!G68+Ngabu!H68+Ngabu!I68</f>
        <v>20</v>
      </c>
      <c r="J68" s="35">
        <f>SUM(D68:I68)</f>
        <v>314</v>
      </c>
    </row>
    <row r="69" spans="1:10" s="2" customFormat="1" ht="27" x14ac:dyDescent="0.3">
      <c r="A69" s="623"/>
      <c r="B69" s="24" t="s">
        <v>102</v>
      </c>
      <c r="C69" s="11" t="s">
        <v>3</v>
      </c>
      <c r="D69" s="26">
        <f>Bangula!G69+Bangula!H69+Bangula!I69</f>
        <v>0</v>
      </c>
      <c r="E69" s="26">
        <f>Chikwawa!G69+Chikwawa!H69+Chikwawa!I69</f>
        <v>2</v>
      </c>
      <c r="F69" s="26">
        <f>'Miseu Folo'!G69+'Miseu Folo'!H69+'Miseu Folo'!I69</f>
        <v>0</v>
      </c>
      <c r="G69" s="26">
        <f>Nchalo!G69+Nchalo!H69+Nchalo!I69</f>
        <v>7</v>
      </c>
      <c r="H69" s="26">
        <f>Nsanje!G69+Nsanje!H69+Nsanje!I69</f>
        <v>0</v>
      </c>
      <c r="I69" s="26">
        <f>Ngabu!G69+Ngabu!H69+Ngabu!I69</f>
        <v>19</v>
      </c>
      <c r="J69" s="74">
        <f>SUM(D69:I69)</f>
        <v>28</v>
      </c>
    </row>
    <row r="70" spans="1:10" s="2" customFormat="1" ht="15.6" x14ac:dyDescent="0.3">
      <c r="A70" s="623"/>
      <c r="B70" s="24" t="s">
        <v>188</v>
      </c>
      <c r="C70" s="11" t="s">
        <v>3</v>
      </c>
      <c r="D70" s="4">
        <f>D68+D69</f>
        <v>39</v>
      </c>
      <c r="E70" s="4">
        <f t="shared" ref="E70:J70" si="18">E68+E69</f>
        <v>91</v>
      </c>
      <c r="F70" s="4">
        <f t="shared" si="18"/>
        <v>76</v>
      </c>
      <c r="G70" s="4">
        <f t="shared" si="18"/>
        <v>35</v>
      </c>
      <c r="H70" s="4">
        <f t="shared" si="18"/>
        <v>62</v>
      </c>
      <c r="I70" s="4">
        <f t="shared" si="18"/>
        <v>39</v>
      </c>
      <c r="J70" s="167">
        <f t="shared" si="18"/>
        <v>342</v>
      </c>
    </row>
    <row r="71" spans="1:10" ht="15.6" x14ac:dyDescent="0.3">
      <c r="A71" s="624"/>
      <c r="B71" s="37" t="s">
        <v>81</v>
      </c>
      <c r="C71" s="5" t="s">
        <v>3</v>
      </c>
      <c r="D71" s="26">
        <f>D66+D67-D70</f>
        <v>24</v>
      </c>
      <c r="E71" s="26">
        <f t="shared" ref="E71:I71" si="19">E66+E67-E70</f>
        <v>285</v>
      </c>
      <c r="F71" s="26">
        <f t="shared" si="19"/>
        <v>229</v>
      </c>
      <c r="G71" s="26">
        <f t="shared" si="19"/>
        <v>40</v>
      </c>
      <c r="H71" s="26">
        <f t="shared" si="19"/>
        <v>159</v>
      </c>
      <c r="I71" s="26">
        <f t="shared" si="19"/>
        <v>86</v>
      </c>
      <c r="J71" s="55">
        <f>J66+J67-J70</f>
        <v>823</v>
      </c>
    </row>
    <row r="72" spans="1:10" ht="15.6" x14ac:dyDescent="0.3">
      <c r="A72" s="622" t="s">
        <v>108</v>
      </c>
      <c r="B72" s="37" t="s">
        <v>85</v>
      </c>
      <c r="C72" s="5" t="s">
        <v>3</v>
      </c>
      <c r="D72" s="26">
        <f>Bangula!G72</f>
        <v>0</v>
      </c>
      <c r="E72" s="26">
        <f>Chikwawa!G72</f>
        <v>0</v>
      </c>
      <c r="F72" s="26">
        <f>'Miseu Folo'!G72</f>
        <v>0</v>
      </c>
      <c r="G72" s="26">
        <f>Nchalo!G72</f>
        <v>0</v>
      </c>
      <c r="H72" s="26">
        <f>Nsanje!G72</f>
        <v>0</v>
      </c>
      <c r="I72" s="26">
        <f>Ngabu!G72</f>
        <v>0</v>
      </c>
      <c r="J72" s="35">
        <f>SUM(D72:I72)</f>
        <v>0</v>
      </c>
    </row>
    <row r="73" spans="1:10" ht="15.6" x14ac:dyDescent="0.3">
      <c r="A73" s="623"/>
      <c r="B73" s="24" t="s">
        <v>104</v>
      </c>
      <c r="C73" s="5" t="s">
        <v>3</v>
      </c>
      <c r="D73" s="26">
        <f>Bangula!G73+Bangula!H73+Bangula!I73</f>
        <v>0</v>
      </c>
      <c r="E73" s="26">
        <f>Chikwawa!G73+Chikwawa!H73+Chikwawa!I73</f>
        <v>0</v>
      </c>
      <c r="F73" s="26">
        <f>'Miseu Folo'!G73+'Miseu Folo'!H73+'Miseu Folo'!I73</f>
        <v>0</v>
      </c>
      <c r="G73" s="26">
        <f>Nchalo!G73+Nchalo!H73+Nchalo!I73</f>
        <v>1</v>
      </c>
      <c r="H73" s="26">
        <f>Nsanje!G73+Nsanje!H73+Nsanje!I73</f>
        <v>0</v>
      </c>
      <c r="I73" s="26">
        <f>Ngabu!G73+Ngabu!H73+Ngabu!I73</f>
        <v>0</v>
      </c>
      <c r="J73" s="35">
        <f>SUM(D73:I73)</f>
        <v>1</v>
      </c>
    </row>
    <row r="74" spans="1:10" ht="27" x14ac:dyDescent="0.3">
      <c r="A74" s="623"/>
      <c r="B74" s="24" t="s">
        <v>103</v>
      </c>
      <c r="C74" s="5" t="s">
        <v>3</v>
      </c>
      <c r="D74" s="26">
        <f>Bangula!G74+Bangula!H74+Bangula!I74</f>
        <v>0</v>
      </c>
      <c r="E74" s="26">
        <f>Chikwawa!G74+Chikwawa!H74+Chikwawa!I74</f>
        <v>0</v>
      </c>
      <c r="F74" s="26">
        <f>'Miseu Folo'!G74+'Miseu Folo'!H74+'Miseu Folo'!I74</f>
        <v>0</v>
      </c>
      <c r="G74" s="26">
        <f>Nchalo!G74+Nchalo!H74+Nchalo!I74</f>
        <v>1</v>
      </c>
      <c r="H74" s="26">
        <f>Nsanje!G74+Nsanje!H74+Nsanje!I74</f>
        <v>0</v>
      </c>
      <c r="I74" s="26">
        <f>Ngabu!G74+Ngabu!H74+Ngabu!I74</f>
        <v>0</v>
      </c>
      <c r="J74" s="35">
        <f>SUM(D74:I74)</f>
        <v>1</v>
      </c>
    </row>
    <row r="75" spans="1:10" s="2" customFormat="1" ht="27" x14ac:dyDescent="0.3">
      <c r="A75" s="623"/>
      <c r="B75" s="24" t="s">
        <v>102</v>
      </c>
      <c r="C75" s="11" t="s">
        <v>3</v>
      </c>
      <c r="D75" s="26">
        <f>Bangula!G75+Bangula!H75+Bangula!I75</f>
        <v>0</v>
      </c>
      <c r="E75" s="26">
        <f>Chikwawa!G75+Chikwawa!H75+Chikwawa!I75</f>
        <v>0</v>
      </c>
      <c r="F75" s="26">
        <f>'Miseu Folo'!G75+'Miseu Folo'!H75+'Miseu Folo'!I75</f>
        <v>0</v>
      </c>
      <c r="G75" s="26">
        <f>Nchalo!G75+Nchalo!H75+Nchalo!I75</f>
        <v>0</v>
      </c>
      <c r="H75" s="26">
        <f>Nsanje!G75+Nsanje!H75+Nsanje!I75</f>
        <v>0</v>
      </c>
      <c r="I75" s="26">
        <f>Ngabu!G75+Ngabu!H75+Ngabu!I75</f>
        <v>0</v>
      </c>
      <c r="J75" s="35">
        <f>SUM(D75:I75)</f>
        <v>0</v>
      </c>
    </row>
    <row r="76" spans="1:10" s="2" customFormat="1" ht="15.6" x14ac:dyDescent="0.3">
      <c r="A76" s="623"/>
      <c r="B76" s="24" t="s">
        <v>188</v>
      </c>
      <c r="C76" s="11" t="s">
        <v>3</v>
      </c>
      <c r="D76" s="4">
        <f>D74+D75</f>
        <v>0</v>
      </c>
      <c r="E76" s="4">
        <f t="shared" ref="E76:J76" si="20">E74+E75</f>
        <v>0</v>
      </c>
      <c r="F76" s="4">
        <f t="shared" si="20"/>
        <v>0</v>
      </c>
      <c r="G76" s="4">
        <f t="shared" si="20"/>
        <v>1</v>
      </c>
      <c r="H76" s="4">
        <f t="shared" si="20"/>
        <v>0</v>
      </c>
      <c r="I76" s="4">
        <f t="shared" si="20"/>
        <v>0</v>
      </c>
      <c r="J76" s="167">
        <f t="shared" si="20"/>
        <v>1</v>
      </c>
    </row>
    <row r="77" spans="1:10" ht="15.6" x14ac:dyDescent="0.3">
      <c r="A77" s="624"/>
      <c r="B77" s="37" t="s">
        <v>81</v>
      </c>
      <c r="C77" s="5" t="s">
        <v>3</v>
      </c>
      <c r="D77" s="26">
        <f>D73+D74-D76</f>
        <v>0</v>
      </c>
      <c r="E77" s="26">
        <f t="shared" ref="E77:J77" si="21">E73+E74-E76</f>
        <v>0</v>
      </c>
      <c r="F77" s="26">
        <f t="shared" si="21"/>
        <v>0</v>
      </c>
      <c r="G77" s="26">
        <f t="shared" si="21"/>
        <v>1</v>
      </c>
      <c r="H77" s="26">
        <f t="shared" si="21"/>
        <v>0</v>
      </c>
      <c r="I77" s="26">
        <f t="shared" si="21"/>
        <v>0</v>
      </c>
      <c r="J77" s="55">
        <f t="shared" si="21"/>
        <v>1</v>
      </c>
    </row>
    <row r="78" spans="1:10" ht="15.6" customHeight="1" x14ac:dyDescent="0.3">
      <c r="A78" s="622" t="s">
        <v>107</v>
      </c>
      <c r="B78" s="37" t="s">
        <v>85</v>
      </c>
      <c r="C78" s="5" t="s">
        <v>3</v>
      </c>
      <c r="D78" s="26">
        <f>Bangula!G78</f>
        <v>1</v>
      </c>
      <c r="E78" s="26">
        <f>Chikwawa!G78</f>
        <v>0</v>
      </c>
      <c r="F78" s="26">
        <f>'Miseu Folo'!G78</f>
        <v>0</v>
      </c>
      <c r="G78" s="26">
        <f>Nchalo!G78</f>
        <v>0</v>
      </c>
      <c r="H78" s="26">
        <f>Nsanje!G78</f>
        <v>0</v>
      </c>
      <c r="I78" s="26">
        <f>Ngabu!G78</f>
        <v>0</v>
      </c>
      <c r="J78" s="35">
        <f>SUM(D78:I78)</f>
        <v>1</v>
      </c>
    </row>
    <row r="79" spans="1:10" ht="15.6" x14ac:dyDescent="0.3">
      <c r="A79" s="623"/>
      <c r="B79" s="24" t="s">
        <v>104</v>
      </c>
      <c r="C79" s="5" t="s">
        <v>3</v>
      </c>
      <c r="D79" s="26">
        <f>Bangula!G79+Bangula!H79+Bangula!I79</f>
        <v>0</v>
      </c>
      <c r="E79" s="26">
        <f>Chikwawa!G79+Chikwawa!H79+Chikwawa!I79</f>
        <v>0</v>
      </c>
      <c r="F79" s="26">
        <f>'Miseu Folo'!G79+'Miseu Folo'!H79+'Miseu Folo'!I79</f>
        <v>0</v>
      </c>
      <c r="G79" s="26">
        <f>Nchalo!G79+Nchalo!H79+Nchalo!I79</f>
        <v>3</v>
      </c>
      <c r="H79" s="26">
        <f>Nsanje!G79+Nsanje!H79+Nsanje!I79</f>
        <v>0</v>
      </c>
      <c r="I79" s="26">
        <f>Ngabu!G79+Ngabu!H79+Ngabu!I79</f>
        <v>0</v>
      </c>
      <c r="J79" s="35">
        <f>SUM(D79:I79)</f>
        <v>3</v>
      </c>
    </row>
    <row r="80" spans="1:10" ht="27" x14ac:dyDescent="0.3">
      <c r="A80" s="623"/>
      <c r="B80" s="24" t="s">
        <v>103</v>
      </c>
      <c r="C80" s="5" t="s">
        <v>3</v>
      </c>
      <c r="D80" s="26">
        <f>Bangula!G80+Bangula!H80+Bangula!I80</f>
        <v>0</v>
      </c>
      <c r="E80" s="26">
        <f>Chikwawa!G80+Chikwawa!H80+Chikwawa!I80</f>
        <v>0</v>
      </c>
      <c r="F80" s="26">
        <f>'Miseu Folo'!G80+'Miseu Folo'!H80+'Miseu Folo'!I80</f>
        <v>0</v>
      </c>
      <c r="G80" s="26">
        <f>Nchalo!G80+Nchalo!H80+Nchalo!I80</f>
        <v>0</v>
      </c>
      <c r="H80" s="26">
        <f>Nsanje!G80+Nsanje!H80+Nsanje!I80</f>
        <v>0</v>
      </c>
      <c r="I80" s="26">
        <f>Ngabu!G80+Ngabu!H80+Ngabu!I80</f>
        <v>0</v>
      </c>
      <c r="J80" s="35">
        <f>SUM(D80:I80)</f>
        <v>0</v>
      </c>
    </row>
    <row r="81" spans="1:10" s="2" customFormat="1" ht="27" x14ac:dyDescent="0.3">
      <c r="A81" s="623"/>
      <c r="B81" s="24" t="s">
        <v>102</v>
      </c>
      <c r="C81" s="11" t="s">
        <v>3</v>
      </c>
      <c r="D81" s="26">
        <f>Bangula!G81+Bangula!H81+Bangula!I81</f>
        <v>0</v>
      </c>
      <c r="E81" s="26">
        <f>Chikwawa!G81+Chikwawa!H81+Chikwawa!I81</f>
        <v>0</v>
      </c>
      <c r="F81" s="26">
        <f>'Miseu Folo'!G81+'Miseu Folo'!H81+'Miseu Folo'!I81</f>
        <v>0</v>
      </c>
      <c r="G81" s="26">
        <f>Nchalo!G81+Nchalo!H81+Nchalo!I81</f>
        <v>1</v>
      </c>
      <c r="H81" s="26">
        <f>Nsanje!G81+Nsanje!H81+Nsanje!I81</f>
        <v>0</v>
      </c>
      <c r="I81" s="26">
        <f>Ngabu!G81+Ngabu!H81+Ngabu!I81</f>
        <v>0</v>
      </c>
      <c r="J81" s="74">
        <f>SUM(D81:I81)</f>
        <v>1</v>
      </c>
    </row>
    <row r="82" spans="1:10" s="2" customFormat="1" ht="15.6" x14ac:dyDescent="0.3">
      <c r="A82" s="623"/>
      <c r="B82" s="24" t="s">
        <v>188</v>
      </c>
      <c r="C82" s="11" t="s">
        <v>3</v>
      </c>
      <c r="D82" s="4">
        <f>D81+D80</f>
        <v>0</v>
      </c>
      <c r="E82" s="4">
        <f t="shared" ref="E82:J82" si="22">E81+E80</f>
        <v>0</v>
      </c>
      <c r="F82" s="4">
        <f t="shared" si="22"/>
        <v>0</v>
      </c>
      <c r="G82" s="4">
        <f t="shared" si="22"/>
        <v>1</v>
      </c>
      <c r="H82" s="4">
        <f t="shared" si="22"/>
        <v>0</v>
      </c>
      <c r="I82" s="4">
        <f t="shared" si="22"/>
        <v>0</v>
      </c>
      <c r="J82" s="167">
        <f t="shared" si="22"/>
        <v>1</v>
      </c>
    </row>
    <row r="83" spans="1:10" ht="15.6" x14ac:dyDescent="0.3">
      <c r="A83" s="624"/>
      <c r="B83" s="37" t="s">
        <v>81</v>
      </c>
      <c r="C83" s="5" t="s">
        <v>3</v>
      </c>
      <c r="D83" s="26">
        <f>D78+D79-D82</f>
        <v>1</v>
      </c>
      <c r="E83" s="26">
        <f t="shared" ref="E83:J83" si="23">E78+E79-E82</f>
        <v>0</v>
      </c>
      <c r="F83" s="26">
        <f t="shared" si="23"/>
        <v>0</v>
      </c>
      <c r="G83" s="26">
        <f t="shared" si="23"/>
        <v>2</v>
      </c>
      <c r="H83" s="26">
        <f t="shared" si="23"/>
        <v>0</v>
      </c>
      <c r="I83" s="26">
        <f t="shared" si="23"/>
        <v>0</v>
      </c>
      <c r="J83" s="55">
        <f t="shared" si="23"/>
        <v>3</v>
      </c>
    </row>
    <row r="84" spans="1:10" ht="15.6" x14ac:dyDescent="0.3">
      <c r="A84" s="625" t="s">
        <v>106</v>
      </c>
      <c r="B84" s="37" t="s">
        <v>85</v>
      </c>
      <c r="C84" s="5" t="s">
        <v>3</v>
      </c>
      <c r="D84" s="26">
        <f>Bangula!G84</f>
        <v>0</v>
      </c>
      <c r="E84" s="26">
        <f>Chikwawa!G84</f>
        <v>0</v>
      </c>
      <c r="F84" s="26">
        <f>'Miseu Folo'!G84</f>
        <v>0</v>
      </c>
      <c r="G84" s="26">
        <f>Nchalo!G84</f>
        <v>0</v>
      </c>
      <c r="H84" s="26">
        <f>Nsanje!G84</f>
        <v>0</v>
      </c>
      <c r="I84" s="26">
        <f>Ngabu!G84</f>
        <v>0</v>
      </c>
      <c r="J84" s="35">
        <f>SUM(D84:I84)</f>
        <v>0</v>
      </c>
    </row>
    <row r="85" spans="1:10" ht="15.6" x14ac:dyDescent="0.3">
      <c r="A85" s="626"/>
      <c r="B85" s="37" t="s">
        <v>104</v>
      </c>
      <c r="C85" s="5" t="s">
        <v>3</v>
      </c>
      <c r="D85" s="26">
        <f>Bangula!G85+Bangula!H85+Bangula!I85</f>
        <v>1</v>
      </c>
      <c r="E85" s="26">
        <f>Chikwawa!G85+Chikwawa!H85+Chikwawa!I85</f>
        <v>0</v>
      </c>
      <c r="F85" s="26">
        <f>'Miseu Folo'!G85+'Miseu Folo'!H85+'Miseu Folo'!I85</f>
        <v>0</v>
      </c>
      <c r="G85" s="26">
        <f>Nchalo!G85+Nchalo!H85+Nchalo!I85</f>
        <v>0</v>
      </c>
      <c r="H85" s="26">
        <f>Nsanje!G85+Nsanje!H85+Nsanje!I85</f>
        <v>0</v>
      </c>
      <c r="I85" s="26">
        <f>Ngabu!G85+Ngabu!H85+Ngabu!I85</f>
        <v>0</v>
      </c>
      <c r="J85" s="35">
        <f>SUM(D85:I85)</f>
        <v>1</v>
      </c>
    </row>
    <row r="86" spans="1:10" ht="27" x14ac:dyDescent="0.3">
      <c r="A86" s="626"/>
      <c r="B86" s="37" t="s">
        <v>103</v>
      </c>
      <c r="C86" s="5" t="s">
        <v>3</v>
      </c>
      <c r="D86" s="26">
        <f>Bangula!G86+Bangula!H86+Bangula!I86</f>
        <v>1</v>
      </c>
      <c r="E86" s="26">
        <f>Chikwawa!G86+Chikwawa!H86+Chikwawa!I86</f>
        <v>0</v>
      </c>
      <c r="F86" s="26">
        <f>'Miseu Folo'!G86+'Miseu Folo'!H86+'Miseu Folo'!I86</f>
        <v>0</v>
      </c>
      <c r="G86" s="26">
        <f>Nchalo!G86+Nchalo!H86+Nchalo!I86</f>
        <v>0</v>
      </c>
      <c r="H86" s="26">
        <f>Nsanje!G86+Nsanje!H86+Nsanje!I86</f>
        <v>0</v>
      </c>
      <c r="I86" s="26">
        <f>Ngabu!G86+Ngabu!H86+Ngabu!I86</f>
        <v>0</v>
      </c>
      <c r="J86" s="35">
        <f>SUM(D86:I86)</f>
        <v>1</v>
      </c>
    </row>
    <row r="87" spans="1:10" s="2" customFormat="1" ht="27" x14ac:dyDescent="0.3">
      <c r="A87" s="626"/>
      <c r="B87" s="24" t="s">
        <v>102</v>
      </c>
      <c r="C87" s="11" t="s">
        <v>3</v>
      </c>
      <c r="D87" s="26">
        <f>Bangula!G87+Bangula!H87+Bangula!I87</f>
        <v>0</v>
      </c>
      <c r="E87" s="26">
        <f>Chikwawa!G87+Chikwawa!H87+Chikwawa!I87</f>
        <v>0</v>
      </c>
      <c r="F87" s="26">
        <f>'Miseu Folo'!G87+'Miseu Folo'!H87+'Miseu Folo'!I87</f>
        <v>0</v>
      </c>
      <c r="G87" s="26">
        <f>Nchalo!G87+Nchalo!H87+Nchalo!I87</f>
        <v>0</v>
      </c>
      <c r="H87" s="26">
        <f>Nsanje!G87+Nsanje!H87+Nsanje!I87</f>
        <v>0</v>
      </c>
      <c r="I87" s="26">
        <f>Ngabu!G87+Ngabu!H87+Ngabu!I87</f>
        <v>0</v>
      </c>
      <c r="J87" s="74">
        <f>SUM(D87:I87)</f>
        <v>0</v>
      </c>
    </row>
    <row r="88" spans="1:10" s="2" customFormat="1" ht="15.6" x14ac:dyDescent="0.3">
      <c r="A88" s="626"/>
      <c r="B88" s="24" t="s">
        <v>188</v>
      </c>
      <c r="C88" s="11" t="s">
        <v>3</v>
      </c>
      <c r="D88" s="4">
        <f>D87+D86</f>
        <v>1</v>
      </c>
      <c r="E88" s="4">
        <f t="shared" ref="E88:I88" si="24">E87+E86</f>
        <v>0</v>
      </c>
      <c r="F88" s="4">
        <f t="shared" si="24"/>
        <v>0</v>
      </c>
      <c r="G88" s="4">
        <f t="shared" si="24"/>
        <v>0</v>
      </c>
      <c r="H88" s="4">
        <f t="shared" si="24"/>
        <v>0</v>
      </c>
      <c r="I88" s="4">
        <f t="shared" si="24"/>
        <v>0</v>
      </c>
      <c r="J88" s="74"/>
    </row>
    <row r="89" spans="1:10" ht="15.6" x14ac:dyDescent="0.3">
      <c r="A89" s="627"/>
      <c r="B89" s="36" t="s">
        <v>81</v>
      </c>
      <c r="C89" s="5" t="s">
        <v>3</v>
      </c>
      <c r="D89" s="26">
        <f>D84+D85-D88</f>
        <v>0</v>
      </c>
      <c r="E89" s="26">
        <f t="shared" ref="E89:I89" si="25">E84+E85-E88</f>
        <v>0</v>
      </c>
      <c r="F89" s="26">
        <f t="shared" si="25"/>
        <v>0</v>
      </c>
      <c r="G89" s="26">
        <f t="shared" si="25"/>
        <v>0</v>
      </c>
      <c r="H89" s="26">
        <f t="shared" si="25"/>
        <v>0</v>
      </c>
      <c r="I89" s="26">
        <f t="shared" si="25"/>
        <v>0</v>
      </c>
      <c r="J89" s="55">
        <f t="shared" ref="J89" si="26">J84+J85-J86-J87</f>
        <v>0</v>
      </c>
    </row>
    <row r="90" spans="1:10" ht="15.6" x14ac:dyDescent="0.3">
      <c r="A90" s="628" t="s">
        <v>105</v>
      </c>
      <c r="B90" s="24" t="s">
        <v>85</v>
      </c>
      <c r="C90" s="11" t="s">
        <v>3</v>
      </c>
      <c r="D90" s="136">
        <f>D66+D72+D78+D84</f>
        <v>51</v>
      </c>
      <c r="E90" s="136">
        <f t="shared" ref="E90:I90" si="27">E66+E72+E78+E84</f>
        <v>325</v>
      </c>
      <c r="F90" s="136">
        <f t="shared" si="27"/>
        <v>53</v>
      </c>
      <c r="G90" s="136">
        <f t="shared" si="27"/>
        <v>32</v>
      </c>
      <c r="H90" s="136">
        <f t="shared" si="27"/>
        <v>160</v>
      </c>
      <c r="I90" s="136">
        <f t="shared" si="27"/>
        <v>124</v>
      </c>
      <c r="J90" s="35">
        <f>SUM(D90:I90)</f>
        <v>745</v>
      </c>
    </row>
    <row r="91" spans="1:10" ht="15.6" x14ac:dyDescent="0.3">
      <c r="A91" s="629"/>
      <c r="B91" s="24" t="s">
        <v>104</v>
      </c>
      <c r="C91" s="11" t="s">
        <v>3</v>
      </c>
      <c r="D91" s="136">
        <f t="shared" ref="D91:I93" si="28">D67+D73+D79+D85</f>
        <v>14</v>
      </c>
      <c r="E91" s="136">
        <f t="shared" si="28"/>
        <v>51</v>
      </c>
      <c r="F91" s="136">
        <f t="shared" si="28"/>
        <v>252</v>
      </c>
      <c r="G91" s="136">
        <f t="shared" si="28"/>
        <v>47</v>
      </c>
      <c r="H91" s="136">
        <f t="shared" si="28"/>
        <v>61</v>
      </c>
      <c r="I91" s="136">
        <f t="shared" si="28"/>
        <v>1</v>
      </c>
      <c r="J91" s="35">
        <f>SUM(D91:I91)</f>
        <v>426</v>
      </c>
    </row>
    <row r="92" spans="1:10" ht="27" x14ac:dyDescent="0.3">
      <c r="A92" s="629"/>
      <c r="B92" s="24" t="s">
        <v>103</v>
      </c>
      <c r="C92" s="11" t="s">
        <v>3</v>
      </c>
      <c r="D92" s="136">
        <f t="shared" si="28"/>
        <v>40</v>
      </c>
      <c r="E92" s="136">
        <f t="shared" si="28"/>
        <v>89</v>
      </c>
      <c r="F92" s="136">
        <f t="shared" si="28"/>
        <v>76</v>
      </c>
      <c r="G92" s="136">
        <f t="shared" si="28"/>
        <v>29</v>
      </c>
      <c r="H92" s="136">
        <f t="shared" si="28"/>
        <v>62</v>
      </c>
      <c r="I92" s="136">
        <f t="shared" si="28"/>
        <v>20</v>
      </c>
      <c r="J92" s="35">
        <f>SUM(D92:I92)</f>
        <v>316</v>
      </c>
    </row>
    <row r="93" spans="1:10" s="2" customFormat="1" ht="27" x14ac:dyDescent="0.3">
      <c r="A93" s="629"/>
      <c r="B93" s="24" t="s">
        <v>102</v>
      </c>
      <c r="C93" s="11"/>
      <c r="D93" s="136">
        <f t="shared" si="28"/>
        <v>0</v>
      </c>
      <c r="E93" s="136">
        <f t="shared" si="28"/>
        <v>2</v>
      </c>
      <c r="F93" s="136">
        <f t="shared" si="28"/>
        <v>0</v>
      </c>
      <c r="G93" s="136">
        <f t="shared" si="28"/>
        <v>8</v>
      </c>
      <c r="H93" s="136">
        <f t="shared" si="28"/>
        <v>0</v>
      </c>
      <c r="I93" s="136">
        <f t="shared" si="28"/>
        <v>19</v>
      </c>
      <c r="J93" s="35">
        <f>SUM(D93:I93)</f>
        <v>29</v>
      </c>
    </row>
    <row r="94" spans="1:10" s="2" customFormat="1" ht="15.6" x14ac:dyDescent="0.3">
      <c r="A94" s="629"/>
      <c r="B94" s="24" t="s">
        <v>188</v>
      </c>
      <c r="C94" s="11" t="s">
        <v>3</v>
      </c>
      <c r="D94" s="137">
        <f>D93+D92</f>
        <v>40</v>
      </c>
      <c r="E94" s="137">
        <f t="shared" ref="E94:I94" si="29">E93+E92</f>
        <v>91</v>
      </c>
      <c r="F94" s="137">
        <f t="shared" si="29"/>
        <v>76</v>
      </c>
      <c r="G94" s="137">
        <f t="shared" si="29"/>
        <v>37</v>
      </c>
      <c r="H94" s="137">
        <f t="shared" si="29"/>
        <v>62</v>
      </c>
      <c r="I94" s="137">
        <f t="shared" si="29"/>
        <v>39</v>
      </c>
      <c r="J94" s="144">
        <f t="shared" ref="J94" si="30">J93+J92</f>
        <v>345</v>
      </c>
    </row>
    <row r="95" spans="1:10" ht="16.2" thickBot="1" x14ac:dyDescent="0.35">
      <c r="A95" s="630"/>
      <c r="B95" s="24" t="s">
        <v>81</v>
      </c>
      <c r="C95" s="11" t="s">
        <v>3</v>
      </c>
      <c r="D95" s="138">
        <f>D90+D91-D94</f>
        <v>25</v>
      </c>
      <c r="E95" s="138">
        <f t="shared" ref="E95:I95" si="31">E90+E91-E94</f>
        <v>285</v>
      </c>
      <c r="F95" s="138">
        <f t="shared" si="31"/>
        <v>229</v>
      </c>
      <c r="G95" s="138">
        <f t="shared" si="31"/>
        <v>42</v>
      </c>
      <c r="H95" s="138">
        <f t="shared" si="31"/>
        <v>159</v>
      </c>
      <c r="I95" s="138">
        <f t="shared" si="31"/>
        <v>86</v>
      </c>
      <c r="J95" s="145">
        <f t="shared" ref="J95" si="32">J90+J91-J94</f>
        <v>826</v>
      </c>
    </row>
    <row r="96" spans="1:10" ht="16.2" customHeight="1" thickBot="1" x14ac:dyDescent="0.35">
      <c r="A96" s="677"/>
      <c r="B96" s="678"/>
      <c r="C96" s="678"/>
      <c r="D96" s="678"/>
      <c r="E96" s="678"/>
      <c r="F96" s="678"/>
      <c r="G96" s="678"/>
      <c r="H96" s="678"/>
      <c r="I96" s="678"/>
      <c r="J96" s="679"/>
    </row>
    <row r="97" spans="1:10" s="2" customFormat="1" ht="15.75" customHeight="1" thickBot="1" x14ac:dyDescent="0.35">
      <c r="A97" s="631" t="s">
        <v>189</v>
      </c>
      <c r="B97" s="632"/>
      <c r="C97" s="632"/>
      <c r="D97" s="632"/>
      <c r="E97" s="632"/>
      <c r="F97" s="632"/>
      <c r="G97" s="632"/>
      <c r="H97" s="632"/>
      <c r="I97" s="632"/>
      <c r="J97" s="633"/>
    </row>
    <row r="98" spans="1:10" ht="15.6" x14ac:dyDescent="0.3">
      <c r="A98" s="88" t="s">
        <v>190</v>
      </c>
      <c r="B98" s="69"/>
      <c r="C98" s="11" t="s">
        <v>3</v>
      </c>
      <c r="D98" s="26">
        <f>Bangula!G98+Bangula!H98+Bangula!I98</f>
        <v>0</v>
      </c>
      <c r="E98" s="26">
        <f>Chikwawa!G98+Chikwawa!H98+Chikwawa!I98</f>
        <v>0</v>
      </c>
      <c r="F98" s="26">
        <f>'Miseu Folo'!G98+'Miseu Folo'!H98+'Miseu Folo'!I98</f>
        <v>0</v>
      </c>
      <c r="G98" s="26">
        <f>Nchalo!G98+Nchalo!H98+Nchalo!I98</f>
        <v>0</v>
      </c>
      <c r="H98" s="26">
        <f>Nsanje!G98+Nsanje!H98+Nsanje!I98</f>
        <v>0</v>
      </c>
      <c r="I98" s="26">
        <f>Ngabu!G98+Ngabu!H98+Ngabu!I98</f>
        <v>0</v>
      </c>
      <c r="J98" s="168">
        <f>SUM(D98:I98)</f>
        <v>0</v>
      </c>
    </row>
    <row r="99" spans="1:10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107"/>
    </row>
    <row r="100" spans="1:10" s="2" customFormat="1" x14ac:dyDescent="0.3">
      <c r="A100" s="642" t="s">
        <v>101</v>
      </c>
      <c r="B100" s="643"/>
      <c r="C100" s="643"/>
      <c r="D100" s="643"/>
      <c r="E100" s="643"/>
      <c r="F100" s="643"/>
      <c r="G100" s="643"/>
      <c r="H100" s="643"/>
      <c r="I100" s="643"/>
      <c r="J100" s="644"/>
    </row>
    <row r="101" spans="1:10" ht="15.6" x14ac:dyDescent="0.3">
      <c r="A101" s="591" t="s">
        <v>100</v>
      </c>
      <c r="B101" s="592"/>
      <c r="C101" s="11" t="s">
        <v>3</v>
      </c>
      <c r="D101" s="26">
        <f>Bangula!I101</f>
        <v>219</v>
      </c>
      <c r="E101" s="26">
        <f>Chikwawa!I101</f>
        <v>799</v>
      </c>
      <c r="F101" s="26">
        <f>'Miseu Folo'!I101</f>
        <v>0</v>
      </c>
      <c r="G101" s="26">
        <f>Nchalo!I101</f>
        <v>624</v>
      </c>
      <c r="H101" s="26">
        <f>Nsanje!I101</f>
        <v>487</v>
      </c>
      <c r="I101" s="26">
        <f>Ngabu!I101</f>
        <v>511</v>
      </c>
      <c r="J101" s="35">
        <f>SUM(D101:I101)</f>
        <v>2640</v>
      </c>
    </row>
    <row r="102" spans="1:10" ht="15.6" x14ac:dyDescent="0.3">
      <c r="A102" s="591" t="s">
        <v>99</v>
      </c>
      <c r="B102" s="592"/>
      <c r="C102" s="11" t="s">
        <v>3</v>
      </c>
      <c r="D102" s="26">
        <f>Bangula!I102</f>
        <v>13</v>
      </c>
      <c r="E102" s="26">
        <f>Chikwawa!I102</f>
        <v>11</v>
      </c>
      <c r="F102" s="26">
        <f>'Miseu Folo'!I102</f>
        <v>0</v>
      </c>
      <c r="G102" s="26">
        <f>Nchalo!I102</f>
        <v>17</v>
      </c>
      <c r="H102" s="26">
        <f>Nsanje!I102</f>
        <v>20</v>
      </c>
      <c r="I102" s="26">
        <f>Ngabu!I102</f>
        <v>10</v>
      </c>
      <c r="J102" s="35">
        <f>SUM(D102:I102)</f>
        <v>71</v>
      </c>
    </row>
    <row r="103" spans="1:10" ht="15.6" customHeight="1" x14ac:dyDescent="0.3">
      <c r="A103" s="598" t="s">
        <v>98</v>
      </c>
      <c r="B103" s="599"/>
      <c r="C103" s="11" t="s">
        <v>3</v>
      </c>
      <c r="D103" s="26">
        <f>Bangula!I103</f>
        <v>8</v>
      </c>
      <c r="E103" s="26">
        <f>Chikwawa!I103</f>
        <v>13</v>
      </c>
      <c r="F103" s="26">
        <f>'Miseu Folo'!I103</f>
        <v>0</v>
      </c>
      <c r="G103" s="26">
        <f>Nchalo!I103</f>
        <v>27</v>
      </c>
      <c r="H103" s="26">
        <f>Nsanje!I103</f>
        <v>3</v>
      </c>
      <c r="I103" s="26">
        <f>Ngabu!I103</f>
        <v>12</v>
      </c>
      <c r="J103" s="35">
        <f>SUM(D103:I103)</f>
        <v>63</v>
      </c>
    </row>
    <row r="104" spans="1:10" ht="15.6" x14ac:dyDescent="0.3">
      <c r="A104" s="598" t="s">
        <v>97</v>
      </c>
      <c r="B104" s="599"/>
      <c r="C104" s="11" t="s">
        <v>3</v>
      </c>
      <c r="D104" s="26">
        <f>Bangula!I104</f>
        <v>4</v>
      </c>
      <c r="E104" s="26">
        <f>Chikwawa!I104</f>
        <v>16</v>
      </c>
      <c r="F104" s="26">
        <f>'Miseu Folo'!I104</f>
        <v>0</v>
      </c>
      <c r="G104" s="26">
        <f>Nchalo!I104</f>
        <v>11</v>
      </c>
      <c r="H104" s="26">
        <f>Nsanje!I104</f>
        <v>25</v>
      </c>
      <c r="I104" s="26">
        <f>Ngabu!I104</f>
        <v>20</v>
      </c>
      <c r="J104" s="35">
        <f>SUM(D104:I104)</f>
        <v>76</v>
      </c>
    </row>
    <row r="105" spans="1:10" ht="15.6" x14ac:dyDescent="0.3">
      <c r="A105" s="645" t="s">
        <v>96</v>
      </c>
      <c r="B105" s="646"/>
      <c r="C105" s="11" t="s">
        <v>3</v>
      </c>
      <c r="D105" s="33">
        <f>SUM(D101:D104)</f>
        <v>244</v>
      </c>
      <c r="E105" s="33">
        <f t="shared" ref="E105:I105" si="33">SUM(E101:E104)</f>
        <v>839</v>
      </c>
      <c r="F105" s="33">
        <f t="shared" si="33"/>
        <v>0</v>
      </c>
      <c r="G105" s="33">
        <f t="shared" si="33"/>
        <v>679</v>
      </c>
      <c r="H105" s="33">
        <f t="shared" si="33"/>
        <v>535</v>
      </c>
      <c r="I105" s="33">
        <f t="shared" si="33"/>
        <v>553</v>
      </c>
      <c r="J105" s="35">
        <f>SUM(D105:I105)</f>
        <v>2850</v>
      </c>
    </row>
    <row r="106" spans="1:10" s="2" customFormat="1" ht="15.6" customHeight="1" x14ac:dyDescent="0.3">
      <c r="A106" s="639" t="s">
        <v>210</v>
      </c>
      <c r="B106" s="640"/>
      <c r="C106" s="640"/>
      <c r="D106" s="640"/>
      <c r="E106" s="640"/>
      <c r="F106" s="640"/>
      <c r="G106" s="640"/>
      <c r="H106" s="640"/>
      <c r="I106" s="640"/>
      <c r="J106" s="641"/>
    </row>
    <row r="107" spans="1:10" ht="15.6" x14ac:dyDescent="0.3">
      <c r="A107" s="591" t="s">
        <v>193</v>
      </c>
      <c r="B107" s="592"/>
      <c r="C107" s="11" t="s">
        <v>3</v>
      </c>
      <c r="D107" s="26">
        <f>Bangula!I107</f>
        <v>514</v>
      </c>
      <c r="E107" s="26">
        <f>Chikwawa!I107</f>
        <v>1838</v>
      </c>
      <c r="F107" s="26">
        <f>'Miseu Folo'!I107</f>
        <v>158</v>
      </c>
      <c r="G107" s="26">
        <f>Nchalo!I107</f>
        <v>1378</v>
      </c>
      <c r="H107" s="26">
        <f>Nsanje!I107</f>
        <v>1060</v>
      </c>
      <c r="I107" s="26">
        <f>Ngabu!I107</f>
        <v>741</v>
      </c>
      <c r="J107" s="35">
        <f>SUM(D107:I107)</f>
        <v>5689</v>
      </c>
    </row>
    <row r="108" spans="1:10" ht="15.6" x14ac:dyDescent="0.3">
      <c r="A108" s="591" t="s">
        <v>194</v>
      </c>
      <c r="B108" s="592"/>
      <c r="C108" s="11" t="s">
        <v>3</v>
      </c>
      <c r="D108" s="26">
        <f>Bangula!I108</f>
        <v>5</v>
      </c>
      <c r="E108" s="26">
        <f>Chikwawa!I108</f>
        <v>22</v>
      </c>
      <c r="F108" s="26">
        <f>'Miseu Folo'!I108</f>
        <v>0</v>
      </c>
      <c r="G108" s="26">
        <f>Nchalo!I108</f>
        <v>6</v>
      </c>
      <c r="H108" s="26">
        <f>Nsanje!I108</f>
        <v>7</v>
      </c>
      <c r="I108" s="26">
        <f>Ngabu!I108</f>
        <v>9</v>
      </c>
      <c r="J108" s="35">
        <f>SUM(D108:I108)</f>
        <v>49</v>
      </c>
    </row>
    <row r="109" spans="1:10" ht="15.6" x14ac:dyDescent="0.3">
      <c r="A109" s="591" t="s">
        <v>195</v>
      </c>
      <c r="B109" s="592"/>
      <c r="C109" s="11" t="s">
        <v>3</v>
      </c>
      <c r="D109" s="26">
        <f>Bangula!I109</f>
        <v>2</v>
      </c>
      <c r="E109" s="26">
        <f>Chikwawa!I109</f>
        <v>13</v>
      </c>
      <c r="F109" s="26">
        <f>'Miseu Folo'!I109</f>
        <v>2</v>
      </c>
      <c r="G109" s="26">
        <f>Nchalo!I109</f>
        <v>9</v>
      </c>
      <c r="H109" s="26">
        <f>Nsanje!I109</f>
        <v>1</v>
      </c>
      <c r="I109" s="26">
        <f>Ngabu!I109</f>
        <v>3</v>
      </c>
      <c r="J109" s="35">
        <f>SUM(D109:I109)</f>
        <v>30</v>
      </c>
    </row>
    <row r="110" spans="1:10" ht="15.6" x14ac:dyDescent="0.3">
      <c r="A110" s="591" t="s">
        <v>196</v>
      </c>
      <c r="B110" s="592"/>
      <c r="C110" s="11" t="s">
        <v>3</v>
      </c>
      <c r="D110" s="26">
        <f>Bangula!I110</f>
        <v>18</v>
      </c>
      <c r="E110" s="26">
        <f>Chikwawa!I110</f>
        <v>12</v>
      </c>
      <c r="F110" s="26">
        <f>'Miseu Folo'!I110</f>
        <v>0</v>
      </c>
      <c r="G110" s="26">
        <f>Nchalo!I110</f>
        <v>8</v>
      </c>
      <c r="H110" s="26">
        <f>Nsanje!I110</f>
        <v>9</v>
      </c>
      <c r="I110" s="26">
        <f>Ngabu!I110</f>
        <v>19</v>
      </c>
      <c r="J110" s="35">
        <f>SUM(D110:I110)</f>
        <v>66</v>
      </c>
    </row>
    <row r="111" spans="1:10" ht="15.6" x14ac:dyDescent="0.3">
      <c r="A111" s="593" t="s">
        <v>95</v>
      </c>
      <c r="B111" s="594"/>
      <c r="C111" s="11" t="s">
        <v>3</v>
      </c>
      <c r="D111" s="33">
        <f>SUM(D107:D110)</f>
        <v>539</v>
      </c>
      <c r="E111" s="33">
        <f t="shared" ref="E111:I111" si="34">SUM(E107:E110)</f>
        <v>1885</v>
      </c>
      <c r="F111" s="33">
        <f t="shared" si="34"/>
        <v>160</v>
      </c>
      <c r="G111" s="33">
        <f t="shared" si="34"/>
        <v>1401</v>
      </c>
      <c r="H111" s="33">
        <f t="shared" si="34"/>
        <v>1077</v>
      </c>
      <c r="I111" s="33">
        <f t="shared" si="34"/>
        <v>772</v>
      </c>
      <c r="J111" s="35">
        <f>SUM(D111:I111)</f>
        <v>5834</v>
      </c>
    </row>
    <row r="112" spans="1:10" s="2" customFormat="1" ht="15.6" customHeight="1" x14ac:dyDescent="0.3">
      <c r="A112" s="642" t="s">
        <v>210</v>
      </c>
      <c r="B112" s="643"/>
      <c r="C112" s="643"/>
      <c r="D112" s="643"/>
      <c r="E112" s="643"/>
      <c r="F112" s="643"/>
      <c r="G112" s="643"/>
      <c r="H112" s="643"/>
      <c r="I112" s="643"/>
      <c r="J112" s="644"/>
    </row>
    <row r="113" spans="1:10" ht="15.6" x14ac:dyDescent="0.3">
      <c r="A113" s="591" t="s">
        <v>197</v>
      </c>
      <c r="B113" s="592"/>
      <c r="C113" s="11" t="s">
        <v>3</v>
      </c>
      <c r="D113" s="26">
        <f>Bangula!I113</f>
        <v>181</v>
      </c>
      <c r="E113" s="26">
        <f>Chikwawa!I113</f>
        <v>621</v>
      </c>
      <c r="F113" s="26">
        <f>'Miseu Folo'!I113</f>
        <v>384</v>
      </c>
      <c r="G113" s="26">
        <f>Nchalo!I113</f>
        <v>307</v>
      </c>
      <c r="H113" s="26">
        <f>Nsanje!I113</f>
        <v>508</v>
      </c>
      <c r="I113" s="26">
        <f>Ngabu!I113</f>
        <v>335</v>
      </c>
      <c r="J113" s="35">
        <f t="shared" ref="J113:J117" si="35">SUM(D113:I113)</f>
        <v>2336</v>
      </c>
    </row>
    <row r="114" spans="1:10" ht="15.6" x14ac:dyDescent="0.3">
      <c r="A114" s="591" t="s">
        <v>198</v>
      </c>
      <c r="B114" s="592"/>
      <c r="C114" s="11" t="s">
        <v>3</v>
      </c>
      <c r="D114" s="26">
        <f>Bangula!I114</f>
        <v>32</v>
      </c>
      <c r="E114" s="26">
        <f>Chikwawa!I114</f>
        <v>42</v>
      </c>
      <c r="F114" s="26">
        <f>'Miseu Folo'!I114</f>
        <v>10</v>
      </c>
      <c r="G114" s="26">
        <f>Nchalo!I114</f>
        <v>27</v>
      </c>
      <c r="H114" s="26">
        <f>Nsanje!I114</f>
        <v>52</v>
      </c>
      <c r="I114" s="26">
        <f>Ngabu!I114</f>
        <v>25</v>
      </c>
      <c r="J114" s="35">
        <f t="shared" si="35"/>
        <v>188</v>
      </c>
    </row>
    <row r="115" spans="1:10" ht="15.6" x14ac:dyDescent="0.3">
      <c r="A115" s="591" t="s">
        <v>199</v>
      </c>
      <c r="B115" s="592"/>
      <c r="C115" s="11" t="s">
        <v>3</v>
      </c>
      <c r="D115" s="26">
        <f>Bangula!I115</f>
        <v>25</v>
      </c>
      <c r="E115" s="26">
        <f>Chikwawa!I115</f>
        <v>56</v>
      </c>
      <c r="F115" s="26">
        <f>'Miseu Folo'!I115</f>
        <v>6</v>
      </c>
      <c r="G115" s="26">
        <f>Nchalo!I115</f>
        <v>62</v>
      </c>
      <c r="H115" s="26">
        <f>Nsanje!I115</f>
        <v>49</v>
      </c>
      <c r="I115" s="26">
        <f>Ngabu!I115</f>
        <v>34</v>
      </c>
      <c r="J115" s="35">
        <f t="shared" si="35"/>
        <v>232</v>
      </c>
    </row>
    <row r="116" spans="1:10" ht="15.6" x14ac:dyDescent="0.3">
      <c r="A116" s="591" t="s">
        <v>200</v>
      </c>
      <c r="B116" s="592"/>
      <c r="C116" s="11" t="s">
        <v>3</v>
      </c>
      <c r="D116" s="26">
        <f>Bangula!I116</f>
        <v>1</v>
      </c>
      <c r="E116" s="26">
        <f>Chikwawa!I116</f>
        <v>3</v>
      </c>
      <c r="F116" s="26">
        <f>'Miseu Folo'!I116</f>
        <v>14</v>
      </c>
      <c r="G116" s="26">
        <f>Nchalo!I116</f>
        <v>1</v>
      </c>
      <c r="H116" s="26">
        <f>Nsanje!I116</f>
        <v>1</v>
      </c>
      <c r="I116" s="26">
        <f>Ngabu!I116</f>
        <v>1</v>
      </c>
      <c r="J116" s="35">
        <f t="shared" si="35"/>
        <v>21</v>
      </c>
    </row>
    <row r="117" spans="1:10" ht="15.6" x14ac:dyDescent="0.3">
      <c r="A117" s="593" t="s">
        <v>94</v>
      </c>
      <c r="B117" s="594"/>
      <c r="C117" s="11" t="s">
        <v>3</v>
      </c>
      <c r="D117" s="33">
        <f>SUM(D113:D116)</f>
        <v>239</v>
      </c>
      <c r="E117" s="33">
        <f t="shared" ref="E117:I117" si="36">SUM(E113:E116)</f>
        <v>722</v>
      </c>
      <c r="F117" s="33">
        <f t="shared" si="36"/>
        <v>414</v>
      </c>
      <c r="G117" s="33">
        <f t="shared" si="36"/>
        <v>397</v>
      </c>
      <c r="H117" s="33">
        <f t="shared" si="36"/>
        <v>610</v>
      </c>
      <c r="I117" s="33">
        <f t="shared" si="36"/>
        <v>395</v>
      </c>
      <c r="J117" s="35">
        <f t="shared" si="35"/>
        <v>2777</v>
      </c>
    </row>
    <row r="118" spans="1:10" s="2" customFormat="1" ht="15.6" x14ac:dyDescent="0.3">
      <c r="A118" s="80" t="s">
        <v>191</v>
      </c>
      <c r="B118" s="81"/>
      <c r="C118" s="11" t="s">
        <v>3</v>
      </c>
      <c r="D118" s="33">
        <f>D117+D111</f>
        <v>778</v>
      </c>
      <c r="E118" s="33">
        <f t="shared" ref="E118:F118" si="37">E117+E111</f>
        <v>2607</v>
      </c>
      <c r="F118" s="33">
        <f t="shared" si="37"/>
        <v>574</v>
      </c>
      <c r="G118" s="33">
        <f t="shared" ref="G118" si="38">G117+G111</f>
        <v>1798</v>
      </c>
      <c r="H118" s="33">
        <f t="shared" ref="H118" si="39">H117+H111</f>
        <v>1687</v>
      </c>
      <c r="I118" s="33">
        <f t="shared" ref="I118" si="40">I117+I111</f>
        <v>1167</v>
      </c>
      <c r="J118" s="33">
        <f t="shared" ref="J118" si="41">J117+J111</f>
        <v>8611</v>
      </c>
    </row>
    <row r="119" spans="1:10" ht="15.6" x14ac:dyDescent="0.3">
      <c r="A119" s="593" t="s">
        <v>192</v>
      </c>
      <c r="B119" s="594"/>
      <c r="C119" s="11" t="s">
        <v>3</v>
      </c>
      <c r="D119" s="33">
        <f>D118+D105</f>
        <v>1022</v>
      </c>
      <c r="E119" s="33">
        <f t="shared" ref="E119:G119" si="42">E118+E105</f>
        <v>3446</v>
      </c>
      <c r="F119" s="33">
        <f t="shared" si="42"/>
        <v>574</v>
      </c>
      <c r="G119" s="33">
        <f t="shared" si="42"/>
        <v>2477</v>
      </c>
      <c r="H119" s="33">
        <f t="shared" ref="H119" si="43">H118+H105</f>
        <v>2222</v>
      </c>
      <c r="I119" s="33">
        <f t="shared" ref="I119" si="44">I118+I105</f>
        <v>1720</v>
      </c>
      <c r="J119" s="33">
        <f t="shared" ref="J119" si="45">J118+J105</f>
        <v>11461</v>
      </c>
    </row>
    <row r="120" spans="1:10" x14ac:dyDescent="0.3">
      <c r="A120" s="595" t="s">
        <v>201</v>
      </c>
      <c r="B120" s="596"/>
      <c r="C120" s="596"/>
      <c r="D120" s="596"/>
      <c r="E120" s="596"/>
      <c r="F120" s="596"/>
      <c r="G120" s="596"/>
      <c r="H120" s="596"/>
      <c r="I120" s="596"/>
      <c r="J120" s="597"/>
    </row>
    <row r="121" spans="1:10" ht="15.6" x14ac:dyDescent="0.3">
      <c r="A121" s="591" t="s">
        <v>93</v>
      </c>
      <c r="B121" s="592"/>
      <c r="C121" s="5" t="s">
        <v>3</v>
      </c>
      <c r="D121" s="26">
        <f>Bangula!I121</f>
        <v>11519.417657440013</v>
      </c>
      <c r="E121" s="26">
        <f>Chikwawa!I121</f>
        <v>22351.176932091032</v>
      </c>
      <c r="F121" s="26">
        <f>'Miseu Folo'!I121</f>
        <v>7192</v>
      </c>
      <c r="G121" s="26">
        <f>Nchalo!I121</f>
        <v>21199.731240799789</v>
      </c>
      <c r="H121" s="26">
        <f>Nsanje!I121</f>
        <v>25972.353950304681</v>
      </c>
      <c r="I121" s="26">
        <f>Ngabu!I121</f>
        <v>18508.984467466591</v>
      </c>
      <c r="J121" s="35">
        <f>SUM(D121:I121)</f>
        <v>106743.66424810211</v>
      </c>
    </row>
    <row r="122" spans="1:10" ht="15.6" x14ac:dyDescent="0.3">
      <c r="A122" s="591" t="s">
        <v>92</v>
      </c>
      <c r="B122" s="592"/>
      <c r="C122" s="5" t="s">
        <v>3</v>
      </c>
      <c r="D122" s="26">
        <f>Bangula!I122</f>
        <v>7184</v>
      </c>
      <c r="E122" s="26">
        <f>Chikwawa!I122</f>
        <v>16982</v>
      </c>
      <c r="F122" s="26">
        <f>'Miseu Folo'!I122</f>
        <v>5303</v>
      </c>
      <c r="G122" s="26">
        <f>Nchalo!I122</f>
        <v>16503</v>
      </c>
      <c r="H122" s="26">
        <f>Nsanje!I122</f>
        <v>17998</v>
      </c>
      <c r="I122" s="26">
        <f>Ngabu!I122</f>
        <v>11567</v>
      </c>
      <c r="J122" s="35">
        <f>SUM(D122:I122)</f>
        <v>75537</v>
      </c>
    </row>
    <row r="123" spans="1:10" ht="15.6" x14ac:dyDescent="0.3">
      <c r="A123" s="647" t="s">
        <v>91</v>
      </c>
      <c r="B123" s="648"/>
      <c r="C123" s="30" t="s">
        <v>6</v>
      </c>
      <c r="D123" s="29">
        <f t="shared" ref="D123:J123" si="46">D122/D121</f>
        <v>0.62364263660152042</v>
      </c>
      <c r="E123" s="29">
        <f t="shared" si="46"/>
        <v>0.75978101965708322</v>
      </c>
      <c r="F123" s="29">
        <f t="shared" si="46"/>
        <v>0.7373470522803115</v>
      </c>
      <c r="G123" s="29">
        <f t="shared" si="46"/>
        <v>0.77845326492815492</v>
      </c>
      <c r="H123" s="29">
        <f t="shared" si="46"/>
        <v>0.69296760834375071</v>
      </c>
      <c r="I123" s="29">
        <f t="shared" si="46"/>
        <v>0.62493974320046675</v>
      </c>
      <c r="J123" s="109">
        <f t="shared" si="46"/>
        <v>0.7076485572429938</v>
      </c>
    </row>
    <row r="124" spans="1:10" x14ac:dyDescent="0.3">
      <c r="A124" s="649" t="s">
        <v>90</v>
      </c>
      <c r="B124" s="650"/>
      <c r="C124" s="650"/>
      <c r="D124" s="650"/>
      <c r="E124" s="650"/>
      <c r="F124" s="650"/>
      <c r="G124" s="650"/>
      <c r="H124" s="650"/>
      <c r="I124" s="650"/>
      <c r="J124" s="651"/>
    </row>
    <row r="125" spans="1:10" ht="15.6" x14ac:dyDescent="0.3">
      <c r="A125" s="605" t="s">
        <v>227</v>
      </c>
      <c r="B125" s="24" t="s">
        <v>85</v>
      </c>
      <c r="C125" s="11" t="s">
        <v>3</v>
      </c>
      <c r="D125" s="26">
        <f>Bangula!G125</f>
        <v>0</v>
      </c>
      <c r="E125" s="26">
        <f>Chikwawa!G125</f>
        <v>0</v>
      </c>
      <c r="F125" s="26">
        <f>'Miseu Folo'!G125</f>
        <v>0</v>
      </c>
      <c r="G125" s="26">
        <f>Nchalo!G125</f>
        <v>0</v>
      </c>
      <c r="H125" s="26">
        <f>Nsanje!G125</f>
        <v>0</v>
      </c>
      <c r="I125" s="26">
        <f>Ngabu!G125</f>
        <v>1</v>
      </c>
      <c r="J125" s="35">
        <f>SUM(D125:I125)</f>
        <v>1</v>
      </c>
    </row>
    <row r="126" spans="1:10" ht="15.6" x14ac:dyDescent="0.3">
      <c r="A126" s="655"/>
      <c r="B126" s="24" t="s">
        <v>84</v>
      </c>
      <c r="C126" s="11" t="s">
        <v>3</v>
      </c>
      <c r="D126" s="26">
        <f>Bangula!G126+Bangula!H126+Bangula!I126</f>
        <v>0</v>
      </c>
      <c r="E126" s="26">
        <f>Chikwawa!G126+Chikwawa!H126+Chikwawa!I126</f>
        <v>0</v>
      </c>
      <c r="F126" s="26">
        <f>'Miseu Folo'!G126+'Miseu Folo'!H126+'Miseu Folo'!I126</f>
        <v>0</v>
      </c>
      <c r="G126" s="26">
        <f>Nchalo!G126+Nchalo!H126+Nchalo!I126</f>
        <v>0</v>
      </c>
      <c r="H126" s="26">
        <f>Nsanje!G126+Nsanje!H126+Nsanje!I126</f>
        <v>0</v>
      </c>
      <c r="I126" s="26">
        <f>Ngabu!G126+Ngabu!H126+Ngabu!I126</f>
        <v>0</v>
      </c>
      <c r="J126" s="35">
        <f>SUM(D126:I126)</f>
        <v>0</v>
      </c>
    </row>
    <row r="127" spans="1:10" ht="15.6" x14ac:dyDescent="0.3">
      <c r="A127" s="655"/>
      <c r="B127" s="82" t="s">
        <v>88</v>
      </c>
      <c r="C127" s="11" t="s">
        <v>3</v>
      </c>
      <c r="D127" s="26">
        <f>Bangula!G127+Bangula!H127+Bangula!I127</f>
        <v>0</v>
      </c>
      <c r="E127" s="26">
        <f>Chikwawa!G127+Chikwawa!H127+Chikwawa!I127</f>
        <v>0</v>
      </c>
      <c r="F127" s="26">
        <f>'Miseu Folo'!G127+'Miseu Folo'!H127+'Miseu Folo'!I127</f>
        <v>0</v>
      </c>
      <c r="G127" s="26">
        <f>Nchalo!G127+Nchalo!H127+Nchalo!I127</f>
        <v>0</v>
      </c>
      <c r="H127" s="26">
        <f>Nsanje!G127+Nsanje!H127+Nsanje!I127</f>
        <v>0</v>
      </c>
      <c r="I127" s="26">
        <f>Ngabu!G127+Ngabu!H127+Ngabu!I127</f>
        <v>0</v>
      </c>
      <c r="J127" s="35">
        <f>SUM(D127:I127)</f>
        <v>0</v>
      </c>
    </row>
    <row r="128" spans="1:10" ht="15.6" x14ac:dyDescent="0.3">
      <c r="A128" s="655"/>
      <c r="B128" s="24" t="s">
        <v>82</v>
      </c>
      <c r="C128" s="11" t="s">
        <v>3</v>
      </c>
      <c r="D128" s="26">
        <f>Bangula!G128+Bangula!H128+Bangula!I128</f>
        <v>0</v>
      </c>
      <c r="E128" s="26">
        <f>Chikwawa!G128+Chikwawa!H128+Chikwawa!I128</f>
        <v>0</v>
      </c>
      <c r="F128" s="26">
        <f>'Miseu Folo'!G128+'Miseu Folo'!H128+'Miseu Folo'!I128</f>
        <v>0</v>
      </c>
      <c r="G128" s="26">
        <f>Nchalo!G128+Nchalo!H128+Nchalo!I128</f>
        <v>0</v>
      </c>
      <c r="H128" s="26">
        <f>Nsanje!G128+Nsanje!H128+Nsanje!I128</f>
        <v>0</v>
      </c>
      <c r="I128" s="26">
        <f>Ngabu!G128+Ngabu!H128+Ngabu!I128</f>
        <v>0</v>
      </c>
      <c r="J128" s="35">
        <f>SUM(D128:I128)</f>
        <v>0</v>
      </c>
    </row>
    <row r="129" spans="1:10" ht="15.6" x14ac:dyDescent="0.3">
      <c r="A129" s="606"/>
      <c r="B129" s="24" t="s">
        <v>81</v>
      </c>
      <c r="C129" s="11" t="s">
        <v>3</v>
      </c>
      <c r="D129" s="140">
        <f t="shared" ref="D129:J129" si="47">D125+D126-D127-D128</f>
        <v>0</v>
      </c>
      <c r="E129" s="140">
        <f t="shared" si="47"/>
        <v>0</v>
      </c>
      <c r="F129" s="140">
        <f t="shared" si="47"/>
        <v>0</v>
      </c>
      <c r="G129" s="140">
        <f t="shared" si="47"/>
        <v>0</v>
      </c>
      <c r="H129" s="140">
        <f t="shared" si="47"/>
        <v>0</v>
      </c>
      <c r="I129" s="140">
        <f t="shared" si="47"/>
        <v>1</v>
      </c>
      <c r="J129" s="32">
        <f t="shared" si="47"/>
        <v>1</v>
      </c>
    </row>
    <row r="130" spans="1:10" ht="15.6" x14ac:dyDescent="0.3">
      <c r="A130" s="605" t="s">
        <v>228</v>
      </c>
      <c r="B130" s="28" t="s">
        <v>85</v>
      </c>
      <c r="C130" s="27" t="s">
        <v>3</v>
      </c>
      <c r="D130" s="26">
        <f>Bangula!G130</f>
        <v>0</v>
      </c>
      <c r="E130" s="26">
        <f>Chikwawa!G130</f>
        <v>0</v>
      </c>
      <c r="F130" s="26">
        <f>'Miseu Folo'!G130</f>
        <v>0</v>
      </c>
      <c r="G130" s="26">
        <f>Nchalo!G130</f>
        <v>1</v>
      </c>
      <c r="H130" s="26">
        <f>Nsanje!G130</f>
        <v>0</v>
      </c>
      <c r="I130" s="26">
        <f>Ngabu!G130</f>
        <v>0</v>
      </c>
      <c r="J130" s="35">
        <f>SUM(D130:I130)</f>
        <v>1</v>
      </c>
    </row>
    <row r="131" spans="1:10" ht="15.6" x14ac:dyDescent="0.3">
      <c r="A131" s="655"/>
      <c r="B131" s="24" t="s">
        <v>84</v>
      </c>
      <c r="C131" s="11" t="s">
        <v>3</v>
      </c>
      <c r="D131" s="26">
        <f>Bangula!G131+Bangula!H131+Bangula!I131</f>
        <v>0</v>
      </c>
      <c r="E131" s="26">
        <f>Chikwawa!G131+Chikwawa!H131+Chikwawa!I131</f>
        <v>0</v>
      </c>
      <c r="F131" s="26">
        <f>'Miseu Folo'!G131+'Miseu Folo'!H131+'Miseu Folo'!I131</f>
        <v>0</v>
      </c>
      <c r="G131" s="26">
        <f>Nchalo!G131+Nchalo!H131+Nchalo!I131</f>
        <v>0</v>
      </c>
      <c r="H131" s="26">
        <f>Nsanje!G131+Nsanje!H131+Nsanje!I131</f>
        <v>0</v>
      </c>
      <c r="I131" s="26">
        <f>Ngabu!G131+Ngabu!H131+Ngabu!I131</f>
        <v>0</v>
      </c>
      <c r="J131" s="35">
        <f>SUM(D131:I131)</f>
        <v>0</v>
      </c>
    </row>
    <row r="132" spans="1:10" ht="15.6" x14ac:dyDescent="0.3">
      <c r="A132" s="655"/>
      <c r="B132" s="82" t="s">
        <v>88</v>
      </c>
      <c r="C132" s="11" t="s">
        <v>3</v>
      </c>
      <c r="D132" s="26">
        <f>Bangula!G132+Bangula!H132+Bangula!I132</f>
        <v>0</v>
      </c>
      <c r="E132" s="26">
        <f>Chikwawa!G132+Chikwawa!H132+Chikwawa!I132</f>
        <v>0</v>
      </c>
      <c r="F132" s="26">
        <f>'Miseu Folo'!G132+'Miseu Folo'!H132+'Miseu Folo'!I132</f>
        <v>0</v>
      </c>
      <c r="G132" s="26">
        <f>Nchalo!G132+Nchalo!H132+Nchalo!I132</f>
        <v>0</v>
      </c>
      <c r="H132" s="26">
        <f>Nsanje!G132+Nsanje!H132+Nsanje!I132</f>
        <v>0</v>
      </c>
      <c r="I132" s="26">
        <f>Ngabu!G132+Ngabu!H132+Ngabu!I132</f>
        <v>0</v>
      </c>
      <c r="J132" s="35">
        <f>SUM(D132:I132)</f>
        <v>0</v>
      </c>
    </row>
    <row r="133" spans="1:10" ht="15.6" x14ac:dyDescent="0.3">
      <c r="A133" s="655"/>
      <c r="B133" s="24" t="s">
        <v>82</v>
      </c>
      <c r="C133" s="11" t="s">
        <v>3</v>
      </c>
      <c r="D133" s="26">
        <f>Bangula!G133+Bangula!H133+Bangula!I133</f>
        <v>0</v>
      </c>
      <c r="E133" s="26">
        <f>Chikwawa!G133+Chikwawa!H133+Chikwawa!I133</f>
        <v>0</v>
      </c>
      <c r="F133" s="26">
        <f>'Miseu Folo'!G133+'Miseu Folo'!H133+'Miseu Folo'!I133</f>
        <v>0</v>
      </c>
      <c r="G133" s="26">
        <f>Nchalo!G133+Nchalo!H133+Nchalo!I133</f>
        <v>0</v>
      </c>
      <c r="H133" s="26">
        <f>Nsanje!G133+Nsanje!H133+Nsanje!I133</f>
        <v>0</v>
      </c>
      <c r="I133" s="26">
        <f>Ngabu!G133+Ngabu!H133+Ngabu!I133</f>
        <v>0</v>
      </c>
      <c r="J133" s="35">
        <f>SUM(D133:I133)</f>
        <v>0</v>
      </c>
    </row>
    <row r="134" spans="1:10" ht="15.6" x14ac:dyDescent="0.3">
      <c r="A134" s="606"/>
      <c r="B134" s="24" t="s">
        <v>81</v>
      </c>
      <c r="C134" s="11" t="s">
        <v>3</v>
      </c>
      <c r="D134" s="140">
        <f t="shared" ref="D134:J134" si="48">D130+D131-D132-D133</f>
        <v>0</v>
      </c>
      <c r="E134" s="140">
        <f t="shared" si="48"/>
        <v>0</v>
      </c>
      <c r="F134" s="140">
        <f t="shared" si="48"/>
        <v>0</v>
      </c>
      <c r="G134" s="140">
        <f t="shared" si="48"/>
        <v>1</v>
      </c>
      <c r="H134" s="140">
        <f t="shared" si="48"/>
        <v>0</v>
      </c>
      <c r="I134" s="140">
        <f t="shared" si="48"/>
        <v>0</v>
      </c>
      <c r="J134" s="32">
        <f t="shared" si="48"/>
        <v>1</v>
      </c>
    </row>
    <row r="135" spans="1:10" ht="15.6" x14ac:dyDescent="0.3">
      <c r="A135" s="605" t="s">
        <v>89</v>
      </c>
      <c r="B135" s="24" t="s">
        <v>85</v>
      </c>
      <c r="C135" s="11" t="s">
        <v>3</v>
      </c>
      <c r="D135" s="26">
        <f>Bangula!G135</f>
        <v>1</v>
      </c>
      <c r="E135" s="26">
        <f>Chikwawa!G135</f>
        <v>0</v>
      </c>
      <c r="F135" s="26">
        <f>'Miseu Folo'!G135</f>
        <v>0</v>
      </c>
      <c r="G135" s="26">
        <f>Nchalo!G135</f>
        <v>0</v>
      </c>
      <c r="H135" s="26">
        <f>Nsanje!G135</f>
        <v>0</v>
      </c>
      <c r="I135" s="26">
        <f>Ngabu!G135</f>
        <v>1</v>
      </c>
      <c r="J135" s="35">
        <f>SUM(D135:I135)</f>
        <v>2</v>
      </c>
    </row>
    <row r="136" spans="1:10" ht="15.6" x14ac:dyDescent="0.3">
      <c r="A136" s="655"/>
      <c r="B136" s="24" t="s">
        <v>84</v>
      </c>
      <c r="C136" s="11" t="s">
        <v>3</v>
      </c>
      <c r="D136" s="26">
        <f>Bangula!G136+Bangula!H136+Bangula!I136</f>
        <v>1</v>
      </c>
      <c r="E136" s="26">
        <f>Chikwawa!G136+Chikwawa!H136+Chikwawa!I136</f>
        <v>0</v>
      </c>
      <c r="F136" s="26">
        <f>'Miseu Folo'!G136+'Miseu Folo'!H136+'Miseu Folo'!I136</f>
        <v>0</v>
      </c>
      <c r="G136" s="26">
        <f>Nchalo!G136+Nchalo!H136+Nchalo!I136</f>
        <v>0</v>
      </c>
      <c r="H136" s="26">
        <f>Nsanje!G136+Nsanje!H136+Nsanje!I136</f>
        <v>0</v>
      </c>
      <c r="I136" s="26">
        <f>Ngabu!G136+Ngabu!H136+Ngabu!I136</f>
        <v>0</v>
      </c>
      <c r="J136" s="35">
        <f>SUM(D136:I136)</f>
        <v>1</v>
      </c>
    </row>
    <row r="137" spans="1:10" ht="15.6" x14ac:dyDescent="0.3">
      <c r="A137" s="655"/>
      <c r="B137" s="82" t="s">
        <v>88</v>
      </c>
      <c r="C137" s="11" t="s">
        <v>3</v>
      </c>
      <c r="D137" s="26">
        <f>Bangula!G137+Bangula!H137+Bangula!I137</f>
        <v>0</v>
      </c>
      <c r="E137" s="26">
        <f>Chikwawa!G137+Chikwawa!H137+Chikwawa!I137</f>
        <v>0</v>
      </c>
      <c r="F137" s="26">
        <f>'Miseu Folo'!G137+'Miseu Folo'!H137+'Miseu Folo'!I137</f>
        <v>0</v>
      </c>
      <c r="G137" s="26">
        <f>Nchalo!G137+Nchalo!H137+Nchalo!I137</f>
        <v>0</v>
      </c>
      <c r="H137" s="26">
        <f>Nsanje!G137+Nsanje!H137+Nsanje!I137</f>
        <v>0</v>
      </c>
      <c r="I137" s="26">
        <f>Ngabu!G137+Ngabu!H137+Ngabu!I137</f>
        <v>0</v>
      </c>
      <c r="J137" s="35">
        <f>SUM(D137:I137)</f>
        <v>0</v>
      </c>
    </row>
    <row r="138" spans="1:10" ht="15.6" x14ac:dyDescent="0.3">
      <c r="A138" s="655"/>
      <c r="B138" s="24" t="s">
        <v>82</v>
      </c>
      <c r="C138" s="11" t="s">
        <v>3</v>
      </c>
      <c r="D138" s="26">
        <f>Bangula!G138+Bangula!H138+Bangula!I138</f>
        <v>0</v>
      </c>
      <c r="E138" s="26">
        <f>Chikwawa!G138+Chikwawa!H138+Chikwawa!I138</f>
        <v>0</v>
      </c>
      <c r="F138" s="26">
        <f>'Miseu Folo'!G138+'Miseu Folo'!H138+'Miseu Folo'!I138</f>
        <v>0</v>
      </c>
      <c r="G138" s="26">
        <f>Nchalo!G138+Nchalo!H138+Nchalo!I138</f>
        <v>0</v>
      </c>
      <c r="H138" s="26">
        <f>Nsanje!G138+Nsanje!H138+Nsanje!I138</f>
        <v>0</v>
      </c>
      <c r="I138" s="26">
        <f>Ngabu!G138+Ngabu!H138+Ngabu!I138</f>
        <v>0</v>
      </c>
      <c r="J138" s="35">
        <f>SUM(D138:I138)</f>
        <v>0</v>
      </c>
    </row>
    <row r="139" spans="1:10" ht="15.6" x14ac:dyDescent="0.3">
      <c r="A139" s="606"/>
      <c r="B139" s="24" t="s">
        <v>81</v>
      </c>
      <c r="C139" s="11" t="s">
        <v>3</v>
      </c>
      <c r="D139" s="140">
        <f t="shared" ref="D139:J139" si="49">D135+D136-D137-D138</f>
        <v>2</v>
      </c>
      <c r="E139" s="140">
        <f t="shared" si="49"/>
        <v>0</v>
      </c>
      <c r="F139" s="140">
        <f t="shared" si="49"/>
        <v>0</v>
      </c>
      <c r="G139" s="140">
        <f t="shared" si="49"/>
        <v>0</v>
      </c>
      <c r="H139" s="140">
        <f t="shared" si="49"/>
        <v>0</v>
      </c>
      <c r="I139" s="140">
        <f t="shared" si="49"/>
        <v>1</v>
      </c>
      <c r="J139" s="32">
        <f t="shared" si="49"/>
        <v>3</v>
      </c>
    </row>
    <row r="140" spans="1:10" ht="15.6" x14ac:dyDescent="0.3">
      <c r="A140" s="605" t="s">
        <v>87</v>
      </c>
      <c r="B140" s="24" t="s">
        <v>85</v>
      </c>
      <c r="C140" s="11" t="s">
        <v>3</v>
      </c>
      <c r="D140" s="26">
        <f>Bangula!G140</f>
        <v>44</v>
      </c>
      <c r="E140" s="26">
        <f>Chikwawa!G140</f>
        <v>330</v>
      </c>
      <c r="F140" s="26">
        <f>'Miseu Folo'!G140</f>
        <v>2</v>
      </c>
      <c r="G140" s="26">
        <f>Nchalo!G140</f>
        <v>393</v>
      </c>
      <c r="H140" s="26">
        <f>Nsanje!G140</f>
        <v>113</v>
      </c>
      <c r="I140" s="26">
        <f>Ngabu!G140</f>
        <v>62</v>
      </c>
      <c r="J140" s="35">
        <f>SUM(D140:I140)</f>
        <v>944</v>
      </c>
    </row>
    <row r="141" spans="1:10" ht="15.6" x14ac:dyDescent="0.3">
      <c r="A141" s="655"/>
      <c r="B141" s="24" t="s">
        <v>84</v>
      </c>
      <c r="C141" s="11" t="s">
        <v>3</v>
      </c>
      <c r="D141" s="26">
        <f>Bangula!G141+Bangula!H141+Bangula!I141</f>
        <v>18</v>
      </c>
      <c r="E141" s="26">
        <f>Chikwawa!G141+Chikwawa!H141+Chikwawa!I141</f>
        <v>0</v>
      </c>
      <c r="F141" s="26">
        <f>'Miseu Folo'!G141+'Miseu Folo'!H141+'Miseu Folo'!I141</f>
        <v>4</v>
      </c>
      <c r="G141" s="26">
        <f>Nchalo!G141+Nchalo!H141+Nchalo!I141</f>
        <v>0</v>
      </c>
      <c r="H141" s="26">
        <f>Nsanje!G141+Nsanje!H141+Nsanje!I141</f>
        <v>67</v>
      </c>
      <c r="I141" s="26">
        <f>Ngabu!G141+Ngabu!H141+Ngabu!I141</f>
        <v>0</v>
      </c>
      <c r="J141" s="35">
        <f>SUM(D141:I141)</f>
        <v>89</v>
      </c>
    </row>
    <row r="142" spans="1:10" ht="15.6" x14ac:dyDescent="0.3">
      <c r="A142" s="655"/>
      <c r="B142" s="24" t="s">
        <v>83</v>
      </c>
      <c r="C142" s="11" t="s">
        <v>3</v>
      </c>
      <c r="D142" s="26">
        <f>Bangula!G142+Bangula!H142+Bangula!I142</f>
        <v>0</v>
      </c>
      <c r="E142" s="26">
        <f>Chikwawa!G142+Chikwawa!H142+Chikwawa!I142</f>
        <v>0</v>
      </c>
      <c r="F142" s="26">
        <f>'Miseu Folo'!G142+'Miseu Folo'!H142+'Miseu Folo'!I142</f>
        <v>0</v>
      </c>
      <c r="G142" s="26">
        <f>Nchalo!G142+Nchalo!H142+Nchalo!I142</f>
        <v>0</v>
      </c>
      <c r="H142" s="26">
        <f>Nsanje!G142+Nsanje!H142+Nsanje!I142</f>
        <v>64</v>
      </c>
      <c r="I142" s="26">
        <f>Ngabu!G142+Ngabu!H142+Ngabu!I142</f>
        <v>6</v>
      </c>
      <c r="J142" s="35">
        <f>SUM(D142:I142)</f>
        <v>70</v>
      </c>
    </row>
    <row r="143" spans="1:10" ht="15.6" x14ac:dyDescent="0.3">
      <c r="A143" s="655"/>
      <c r="B143" s="24" t="s">
        <v>82</v>
      </c>
      <c r="C143" s="11" t="s">
        <v>3</v>
      </c>
      <c r="D143" s="26">
        <f>Bangula!G143+Bangula!H143+Bangula!I143</f>
        <v>5</v>
      </c>
      <c r="E143" s="26">
        <f>Chikwawa!G143+Chikwawa!H143+Chikwawa!I143</f>
        <v>0</v>
      </c>
      <c r="F143" s="26">
        <f>'Miseu Folo'!G143+'Miseu Folo'!H143+'Miseu Folo'!I143</f>
        <v>1</v>
      </c>
      <c r="G143" s="26">
        <f>Nchalo!G143+Nchalo!H143+Nchalo!I143</f>
        <v>14</v>
      </c>
      <c r="H143" s="26">
        <f>Nsanje!G143+Nsanje!H143+Nsanje!I143</f>
        <v>38</v>
      </c>
      <c r="I143" s="26">
        <f>Ngabu!G143+Ngabu!H143+Ngabu!I143</f>
        <v>18</v>
      </c>
      <c r="J143" s="35">
        <f>SUM(D143:I143)</f>
        <v>76</v>
      </c>
    </row>
    <row r="144" spans="1:10" ht="15.6" x14ac:dyDescent="0.3">
      <c r="A144" s="606"/>
      <c r="B144" s="24" t="s">
        <v>81</v>
      </c>
      <c r="C144" s="11" t="s">
        <v>3</v>
      </c>
      <c r="D144" s="140">
        <f t="shared" ref="D144:J144" si="50">D140+D141-D142-D143</f>
        <v>57</v>
      </c>
      <c r="E144" s="140">
        <f t="shared" si="50"/>
        <v>330</v>
      </c>
      <c r="F144" s="140">
        <f t="shared" si="50"/>
        <v>5</v>
      </c>
      <c r="G144" s="140">
        <f t="shared" si="50"/>
        <v>379</v>
      </c>
      <c r="H144" s="140">
        <f t="shared" si="50"/>
        <v>78</v>
      </c>
      <c r="I144" s="140">
        <f t="shared" si="50"/>
        <v>38</v>
      </c>
      <c r="J144" s="32">
        <f t="shared" si="50"/>
        <v>887</v>
      </c>
    </row>
    <row r="145" spans="1:10" s="2" customFormat="1" ht="15.6" x14ac:dyDescent="0.3">
      <c r="A145" s="605" t="s">
        <v>86</v>
      </c>
      <c r="B145" s="24" t="s">
        <v>85</v>
      </c>
      <c r="C145" s="11" t="s">
        <v>3</v>
      </c>
      <c r="D145" s="141">
        <f>D125+D130+D135+D140</f>
        <v>45</v>
      </c>
      <c r="E145" s="141">
        <f t="shared" ref="E145:J149" si="51">E125+E130+E135+E140</f>
        <v>330</v>
      </c>
      <c r="F145" s="141">
        <f t="shared" si="51"/>
        <v>2</v>
      </c>
      <c r="G145" s="141">
        <f t="shared" si="51"/>
        <v>394</v>
      </c>
      <c r="H145" s="141">
        <f t="shared" si="51"/>
        <v>113</v>
      </c>
      <c r="I145" s="141">
        <f t="shared" si="51"/>
        <v>64</v>
      </c>
      <c r="J145" s="55">
        <f t="shared" si="51"/>
        <v>948</v>
      </c>
    </row>
    <row r="146" spans="1:10" ht="15.6" x14ac:dyDescent="0.3">
      <c r="A146" s="655"/>
      <c r="B146" s="24" t="s">
        <v>84</v>
      </c>
      <c r="C146" s="11" t="s">
        <v>3</v>
      </c>
      <c r="D146" s="141">
        <f t="shared" ref="D146:I148" si="52">D126+D131+D136+D141</f>
        <v>19</v>
      </c>
      <c r="E146" s="141">
        <f t="shared" si="52"/>
        <v>0</v>
      </c>
      <c r="F146" s="141">
        <f t="shared" si="52"/>
        <v>4</v>
      </c>
      <c r="G146" s="141">
        <f t="shared" si="52"/>
        <v>0</v>
      </c>
      <c r="H146" s="141">
        <f t="shared" si="52"/>
        <v>67</v>
      </c>
      <c r="I146" s="141">
        <f t="shared" si="52"/>
        <v>0</v>
      </c>
      <c r="J146" s="55">
        <f t="shared" si="51"/>
        <v>90</v>
      </c>
    </row>
    <row r="147" spans="1:10" ht="15.6" x14ac:dyDescent="0.3">
      <c r="A147" s="655"/>
      <c r="B147" s="24" t="s">
        <v>83</v>
      </c>
      <c r="C147" s="11" t="s">
        <v>3</v>
      </c>
      <c r="D147" s="141">
        <f t="shared" si="52"/>
        <v>0</v>
      </c>
      <c r="E147" s="141">
        <f t="shared" si="52"/>
        <v>0</v>
      </c>
      <c r="F147" s="141">
        <f t="shared" si="52"/>
        <v>0</v>
      </c>
      <c r="G147" s="141">
        <f t="shared" si="52"/>
        <v>0</v>
      </c>
      <c r="H147" s="141">
        <f t="shared" si="52"/>
        <v>64</v>
      </c>
      <c r="I147" s="141">
        <f t="shared" si="52"/>
        <v>6</v>
      </c>
      <c r="J147" s="55">
        <f t="shared" si="51"/>
        <v>70</v>
      </c>
    </row>
    <row r="148" spans="1:10" ht="15.6" x14ac:dyDescent="0.3">
      <c r="A148" s="655"/>
      <c r="B148" s="24" t="s">
        <v>82</v>
      </c>
      <c r="C148" s="11" t="s">
        <v>3</v>
      </c>
      <c r="D148" s="141">
        <f t="shared" si="52"/>
        <v>5</v>
      </c>
      <c r="E148" s="141">
        <f t="shared" si="52"/>
        <v>0</v>
      </c>
      <c r="F148" s="141">
        <f t="shared" si="52"/>
        <v>1</v>
      </c>
      <c r="G148" s="141">
        <f t="shared" si="52"/>
        <v>14</v>
      </c>
      <c r="H148" s="141">
        <f t="shared" si="52"/>
        <v>38</v>
      </c>
      <c r="I148" s="141">
        <f t="shared" si="52"/>
        <v>18</v>
      </c>
      <c r="J148" s="55">
        <f t="shared" si="51"/>
        <v>76</v>
      </c>
    </row>
    <row r="149" spans="1:10" ht="15.6" x14ac:dyDescent="0.3">
      <c r="A149" s="606"/>
      <c r="B149" s="24" t="s">
        <v>81</v>
      </c>
      <c r="C149" s="11" t="s">
        <v>3</v>
      </c>
      <c r="D149" s="140">
        <f>D145+D146-D147-D148</f>
        <v>59</v>
      </c>
      <c r="E149" s="140">
        <f t="shared" ref="E149:I149" si="53">E145+E146-E147-E148</f>
        <v>330</v>
      </c>
      <c r="F149" s="140">
        <f t="shared" si="53"/>
        <v>5</v>
      </c>
      <c r="G149" s="140">
        <f t="shared" si="53"/>
        <v>380</v>
      </c>
      <c r="H149" s="140">
        <f t="shared" si="53"/>
        <v>78</v>
      </c>
      <c r="I149" s="140">
        <f t="shared" si="53"/>
        <v>40</v>
      </c>
      <c r="J149" s="55">
        <f t="shared" si="51"/>
        <v>892</v>
      </c>
    </row>
    <row r="150" spans="1:10" x14ac:dyDescent="0.3">
      <c r="A150" s="595" t="s">
        <v>80</v>
      </c>
      <c r="B150" s="596"/>
      <c r="C150" s="596"/>
      <c r="D150" s="596"/>
      <c r="E150" s="596"/>
      <c r="F150" s="596"/>
      <c r="G150" s="596"/>
      <c r="H150" s="596"/>
      <c r="I150" s="596"/>
      <c r="J150" s="597"/>
    </row>
    <row r="151" spans="1:10" ht="15.6" customHeight="1" x14ac:dyDescent="0.3">
      <c r="A151" s="682" t="s">
        <v>79</v>
      </c>
      <c r="B151" s="683"/>
      <c r="C151" s="683"/>
      <c r="D151" s="683"/>
      <c r="E151" s="683"/>
      <c r="F151" s="683"/>
      <c r="G151" s="683"/>
      <c r="H151" s="683"/>
      <c r="I151" s="683"/>
      <c r="J151" s="684"/>
    </row>
    <row r="152" spans="1:10" ht="15.6" x14ac:dyDescent="0.3">
      <c r="A152" s="652" t="s">
        <v>78</v>
      </c>
      <c r="B152" s="92" t="s">
        <v>63</v>
      </c>
      <c r="C152" s="11"/>
      <c r="D152" s="15"/>
      <c r="E152" s="15"/>
      <c r="F152" s="15"/>
      <c r="G152" s="15"/>
      <c r="H152" s="15"/>
      <c r="I152" s="15"/>
      <c r="J152" s="9"/>
    </row>
    <row r="153" spans="1:10" ht="15.6" x14ac:dyDescent="0.3">
      <c r="A153" s="653"/>
      <c r="B153" s="19" t="s">
        <v>73</v>
      </c>
      <c r="C153" s="11" t="s">
        <v>57</v>
      </c>
      <c r="D153" s="26">
        <f>Bangula!G153+Bangula!H153+Bangula!I153</f>
        <v>37</v>
      </c>
      <c r="E153" s="26">
        <f>Chikwawa!G153+Chikwawa!H153+Chikwawa!I153</f>
        <v>167</v>
      </c>
      <c r="F153" s="26">
        <f>'Miseu Folo'!G153+'Miseu Folo'!H153+'Miseu Folo'!I153</f>
        <v>13</v>
      </c>
      <c r="G153" s="26">
        <f>Nchalo!G153+Nchalo!H153+Nchalo!I153</f>
        <v>79</v>
      </c>
      <c r="H153" s="26">
        <f>Nsanje!G153+Nsanje!H153+Nsanje!I153</f>
        <v>237</v>
      </c>
      <c r="I153" s="26">
        <f>Ngabu!G153+Ngabu!H153+Ngabu!I153</f>
        <v>44</v>
      </c>
      <c r="J153" s="18">
        <f t="shared" ref="J153:J165" si="54">SUM(D153:I153)</f>
        <v>577</v>
      </c>
    </row>
    <row r="154" spans="1:10" ht="15.6" x14ac:dyDescent="0.3">
      <c r="A154" s="653"/>
      <c r="B154" s="19" t="s">
        <v>72</v>
      </c>
      <c r="C154" s="11" t="s">
        <v>57</v>
      </c>
      <c r="D154" s="26">
        <f>Bangula!G154+Bangula!H154+Bangula!I154</f>
        <v>61</v>
      </c>
      <c r="E154" s="26">
        <f>Chikwawa!G154+Chikwawa!H154+Chikwawa!I154</f>
        <v>72</v>
      </c>
      <c r="F154" s="26">
        <f>'Miseu Folo'!G154+'Miseu Folo'!H154+'Miseu Folo'!I154</f>
        <v>7</v>
      </c>
      <c r="G154" s="26">
        <f>Nchalo!G154+Nchalo!H154+Nchalo!I154</f>
        <v>72</v>
      </c>
      <c r="H154" s="26">
        <f>Nsanje!G154+Nsanje!H154+Nsanje!I154</f>
        <v>77</v>
      </c>
      <c r="I154" s="26">
        <f>Ngabu!G154+Ngabu!H154+Ngabu!I154</f>
        <v>25</v>
      </c>
      <c r="J154" s="18">
        <f t="shared" si="54"/>
        <v>314</v>
      </c>
    </row>
    <row r="155" spans="1:10" ht="15.6" x14ac:dyDescent="0.3">
      <c r="A155" s="653"/>
      <c r="B155" s="19" t="s">
        <v>53</v>
      </c>
      <c r="C155" s="11" t="s">
        <v>57</v>
      </c>
      <c r="D155" s="26">
        <f>Bangula!G155+Bangula!H155+Bangula!I155</f>
        <v>0</v>
      </c>
      <c r="E155" s="26">
        <f>Chikwawa!G155+Chikwawa!H155+Chikwawa!I155</f>
        <v>8</v>
      </c>
      <c r="F155" s="26">
        <f>'Miseu Folo'!G155+'Miseu Folo'!H155+'Miseu Folo'!I155</f>
        <v>9</v>
      </c>
      <c r="G155" s="26">
        <f>Nchalo!G155+Nchalo!H155+Nchalo!I155</f>
        <v>29</v>
      </c>
      <c r="H155" s="26">
        <f>Nsanje!G155+Nsanje!H155+Nsanje!I155</f>
        <v>67</v>
      </c>
      <c r="I155" s="26">
        <f>Ngabu!G155+Ngabu!H155+Ngabu!I155</f>
        <v>15</v>
      </c>
      <c r="J155" s="18">
        <f t="shared" si="54"/>
        <v>128</v>
      </c>
    </row>
    <row r="156" spans="1:10" ht="15.6" x14ac:dyDescent="0.3">
      <c r="A156" s="653"/>
      <c r="B156" s="19" t="s">
        <v>71</v>
      </c>
      <c r="C156" s="11" t="s">
        <v>57</v>
      </c>
      <c r="D156" s="26">
        <f>Bangula!G156+Bangula!H156+Bangula!I156</f>
        <v>7</v>
      </c>
      <c r="E156" s="26">
        <f>Chikwawa!G156+Chikwawa!H156+Chikwawa!I156</f>
        <v>7</v>
      </c>
      <c r="F156" s="26">
        <f>'Miseu Folo'!G156+'Miseu Folo'!H156+'Miseu Folo'!I156</f>
        <v>3</v>
      </c>
      <c r="G156" s="26">
        <f>Nchalo!G156+Nchalo!H156+Nchalo!I156</f>
        <v>28</v>
      </c>
      <c r="H156" s="26">
        <f>Nsanje!G156+Nsanje!H156+Nsanje!I156</f>
        <v>28</v>
      </c>
      <c r="I156" s="26">
        <f>Ngabu!G156+Ngabu!H156+Ngabu!I156</f>
        <v>2</v>
      </c>
      <c r="J156" s="18">
        <f t="shared" si="54"/>
        <v>75</v>
      </c>
    </row>
    <row r="157" spans="1:10" ht="15.6" x14ac:dyDescent="0.3">
      <c r="A157" s="653"/>
      <c r="B157" s="19" t="s">
        <v>52</v>
      </c>
      <c r="C157" s="11" t="s">
        <v>57</v>
      </c>
      <c r="D157" s="26">
        <f>Bangula!G157+Bangula!H157+Bangula!I157</f>
        <v>0</v>
      </c>
      <c r="E157" s="26">
        <f>Chikwawa!G157+Chikwawa!H157+Chikwawa!I157</f>
        <v>9</v>
      </c>
      <c r="F157" s="26">
        <f>'Miseu Folo'!G157+'Miseu Folo'!H157+'Miseu Folo'!I157</f>
        <v>7</v>
      </c>
      <c r="G157" s="26">
        <f>Nchalo!G157+Nchalo!H157+Nchalo!I157</f>
        <v>12</v>
      </c>
      <c r="H157" s="26">
        <f>Nsanje!G157+Nsanje!H157+Nsanje!I157</f>
        <v>18</v>
      </c>
      <c r="I157" s="26">
        <f>Ngabu!G157+Ngabu!H157+Ngabu!I157</f>
        <v>8</v>
      </c>
      <c r="J157" s="18">
        <f t="shared" si="54"/>
        <v>54</v>
      </c>
    </row>
    <row r="158" spans="1:10" ht="15.6" x14ac:dyDescent="0.3">
      <c r="A158" s="653"/>
      <c r="B158" s="19" t="s">
        <v>51</v>
      </c>
      <c r="C158" s="11" t="s">
        <v>57</v>
      </c>
      <c r="D158" s="26">
        <f>Bangula!G158+Bangula!H158+Bangula!I158</f>
        <v>5</v>
      </c>
      <c r="E158" s="26">
        <f>Chikwawa!G158+Chikwawa!H158+Chikwawa!I158</f>
        <v>5</v>
      </c>
      <c r="F158" s="26">
        <f>'Miseu Folo'!G158+'Miseu Folo'!H158+'Miseu Folo'!I158</f>
        <v>5</v>
      </c>
      <c r="G158" s="26">
        <f>Nchalo!G158+Nchalo!H158+Nchalo!I158</f>
        <v>17</v>
      </c>
      <c r="H158" s="26">
        <f>Nsanje!G158+Nsanje!H158+Nsanje!I158</f>
        <v>9</v>
      </c>
      <c r="I158" s="26">
        <f>Ngabu!G158+Ngabu!H158+Ngabu!I158</f>
        <v>9</v>
      </c>
      <c r="J158" s="18">
        <f t="shared" si="54"/>
        <v>50</v>
      </c>
    </row>
    <row r="159" spans="1:10" ht="15.6" x14ac:dyDescent="0.3">
      <c r="A159" s="653"/>
      <c r="B159" s="19" t="s">
        <v>62</v>
      </c>
      <c r="C159" s="11" t="s">
        <v>57</v>
      </c>
      <c r="D159" s="26">
        <f>Bangula!G159+Bangula!H159+Bangula!I159</f>
        <v>0</v>
      </c>
      <c r="E159" s="26">
        <f>Chikwawa!G159+Chikwawa!H159+Chikwawa!I159</f>
        <v>0</v>
      </c>
      <c r="F159" s="26">
        <f>'Miseu Folo'!G159+'Miseu Folo'!H159+'Miseu Folo'!I159</f>
        <v>1</v>
      </c>
      <c r="G159" s="26">
        <f>Nchalo!G159+Nchalo!H159+Nchalo!I159</f>
        <v>5</v>
      </c>
      <c r="H159" s="26">
        <f>Nsanje!G159+Nsanje!H159+Nsanje!I159</f>
        <v>9</v>
      </c>
      <c r="I159" s="26">
        <f>Ngabu!G159+Ngabu!H159+Ngabu!I159</f>
        <v>0</v>
      </c>
      <c r="J159" s="18">
        <f t="shared" si="54"/>
        <v>15</v>
      </c>
    </row>
    <row r="160" spans="1:10" ht="15.6" x14ac:dyDescent="0.3">
      <c r="A160" s="653"/>
      <c r="B160" s="19" t="s">
        <v>50</v>
      </c>
      <c r="C160" s="11" t="s">
        <v>57</v>
      </c>
      <c r="D160" s="26">
        <f>Bangula!G160+Bangula!H160+Bangula!I160</f>
        <v>0</v>
      </c>
      <c r="E160" s="26">
        <f>Chikwawa!G160+Chikwawa!H160+Chikwawa!I160</f>
        <v>1</v>
      </c>
      <c r="F160" s="26">
        <f>'Miseu Folo'!G160+'Miseu Folo'!H160+'Miseu Folo'!I160</f>
        <v>2</v>
      </c>
      <c r="G160" s="26">
        <f>Nchalo!G160+Nchalo!H160+Nchalo!I160</f>
        <v>3</v>
      </c>
      <c r="H160" s="26">
        <f>Nsanje!G160+Nsanje!H160+Nsanje!I160</f>
        <v>7</v>
      </c>
      <c r="I160" s="26">
        <f>Ngabu!G160+Ngabu!H160+Ngabu!I160</f>
        <v>4</v>
      </c>
      <c r="J160" s="18">
        <f t="shared" si="54"/>
        <v>17</v>
      </c>
    </row>
    <row r="161" spans="1:10" ht="15.6" x14ac:dyDescent="0.3">
      <c r="A161" s="653"/>
      <c r="B161" s="19" t="s">
        <v>49</v>
      </c>
      <c r="C161" s="11" t="s">
        <v>57</v>
      </c>
      <c r="D161" s="26">
        <f>Bangula!G161+Bangula!H161+Bangula!I161</f>
        <v>5</v>
      </c>
      <c r="E161" s="26">
        <f>Chikwawa!G161+Chikwawa!H161+Chikwawa!I161</f>
        <v>1</v>
      </c>
      <c r="F161" s="26">
        <f>'Miseu Folo'!G161+'Miseu Folo'!H161+'Miseu Folo'!I161</f>
        <v>6</v>
      </c>
      <c r="G161" s="26">
        <f>Nchalo!G161+Nchalo!H161+Nchalo!I161</f>
        <v>8</v>
      </c>
      <c r="H161" s="26">
        <f>Nsanje!G161+Nsanje!H161+Nsanje!I161</f>
        <v>12</v>
      </c>
      <c r="I161" s="26">
        <f>Ngabu!G161+Ngabu!H161+Ngabu!I161</f>
        <v>2</v>
      </c>
      <c r="J161" s="18">
        <f t="shared" si="54"/>
        <v>34</v>
      </c>
    </row>
    <row r="162" spans="1:10" ht="15.6" x14ac:dyDescent="0.3">
      <c r="A162" s="653"/>
      <c r="B162" s="19" t="s">
        <v>77</v>
      </c>
      <c r="C162" s="11" t="s">
        <v>57</v>
      </c>
      <c r="D162" s="26">
        <f>Bangula!G162+Bangula!H162+Bangula!I162</f>
        <v>0</v>
      </c>
      <c r="E162" s="26">
        <f>Chikwawa!G162+Chikwawa!H162+Chikwawa!I162</f>
        <v>0</v>
      </c>
      <c r="F162" s="26">
        <f>'Miseu Folo'!G162+'Miseu Folo'!H162+'Miseu Folo'!I162</f>
        <v>0</v>
      </c>
      <c r="G162" s="26">
        <f>Nchalo!G162+Nchalo!H162+Nchalo!I162</f>
        <v>6</v>
      </c>
      <c r="H162" s="26">
        <f>Nsanje!G162+Nsanje!H162+Nsanje!I162</f>
        <v>3</v>
      </c>
      <c r="I162" s="26">
        <f>Ngabu!G162+Ngabu!H162+Ngabu!I162</f>
        <v>0</v>
      </c>
      <c r="J162" s="18">
        <f t="shared" si="54"/>
        <v>9</v>
      </c>
    </row>
    <row r="163" spans="1:10" ht="15.6" x14ac:dyDescent="0.3">
      <c r="A163" s="653"/>
      <c r="B163" s="19" t="s">
        <v>69</v>
      </c>
      <c r="C163" s="11" t="s">
        <v>57</v>
      </c>
      <c r="D163" s="26">
        <f>Bangula!G163+Bangula!H163+Bangula!I163</f>
        <v>0</v>
      </c>
      <c r="E163" s="26">
        <f>Chikwawa!G163+Chikwawa!H163+Chikwawa!I163</f>
        <v>0</v>
      </c>
      <c r="F163" s="26">
        <f>'Miseu Folo'!G163+'Miseu Folo'!H163+'Miseu Folo'!I163</f>
        <v>0</v>
      </c>
      <c r="G163" s="26">
        <f>Nchalo!G163+Nchalo!H163+Nchalo!I163</f>
        <v>0</v>
      </c>
      <c r="H163" s="26">
        <f>Nsanje!G163+Nsanje!H163+Nsanje!I163</f>
        <v>2</v>
      </c>
      <c r="I163" s="26">
        <f>Ngabu!G163+Ngabu!H163+Ngabu!I163</f>
        <v>2</v>
      </c>
      <c r="J163" s="18">
        <f t="shared" si="54"/>
        <v>4</v>
      </c>
    </row>
    <row r="164" spans="1:10" ht="15.6" x14ac:dyDescent="0.3">
      <c r="A164" s="653"/>
      <c r="B164" s="19" t="s">
        <v>68</v>
      </c>
      <c r="C164" s="11" t="s">
        <v>57</v>
      </c>
      <c r="D164" s="26">
        <f>Bangula!G164+Bangula!H164+Bangula!I164</f>
        <v>0</v>
      </c>
      <c r="E164" s="26">
        <f>Chikwawa!G164+Chikwawa!H164+Chikwawa!I164</f>
        <v>0</v>
      </c>
      <c r="F164" s="26">
        <f>'Miseu Folo'!G164+'Miseu Folo'!H164+'Miseu Folo'!I164</f>
        <v>0</v>
      </c>
      <c r="G164" s="26">
        <f>Nchalo!G164+Nchalo!H164+Nchalo!I164</f>
        <v>0</v>
      </c>
      <c r="H164" s="26">
        <f>Nsanje!G164+Nsanje!H164+Nsanje!I164</f>
        <v>0</v>
      </c>
      <c r="I164" s="26">
        <f>Ngabu!G164+Ngabu!H164+Ngabu!I164</f>
        <v>0</v>
      </c>
      <c r="J164" s="18">
        <f t="shared" si="54"/>
        <v>0</v>
      </c>
    </row>
    <row r="165" spans="1:10" ht="15.6" x14ac:dyDescent="0.3">
      <c r="A165" s="654"/>
      <c r="B165" s="19" t="s">
        <v>76</v>
      </c>
      <c r="C165" s="11" t="s">
        <v>57</v>
      </c>
      <c r="D165" s="26">
        <f>Bangula!G165+Bangula!H165+Bangula!I165</f>
        <v>0</v>
      </c>
      <c r="E165" s="26">
        <f>Chikwawa!G165+Chikwawa!H165+Chikwawa!I165</f>
        <v>0</v>
      </c>
      <c r="F165" s="26">
        <f>'Miseu Folo'!G165+'Miseu Folo'!H165+'Miseu Folo'!I165</f>
        <v>0</v>
      </c>
      <c r="G165" s="26">
        <f>Nchalo!G165+Nchalo!H165+Nchalo!I165</f>
        <v>0</v>
      </c>
      <c r="H165" s="26">
        <f>Nsanje!G165+Nsanje!H165+Nsanje!I165</f>
        <v>0</v>
      </c>
      <c r="I165" s="26">
        <f>Ngabu!G165+Ngabu!H165+Ngabu!I165</f>
        <v>0</v>
      </c>
      <c r="J165" s="18">
        <f t="shared" si="54"/>
        <v>0</v>
      </c>
    </row>
    <row r="166" spans="1:10" ht="15.6" x14ac:dyDescent="0.3">
      <c r="A166" s="652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18"/>
    </row>
    <row r="167" spans="1:10" ht="15.6" x14ac:dyDescent="0.3">
      <c r="A167" s="653"/>
      <c r="B167" s="19" t="s">
        <v>74</v>
      </c>
      <c r="C167" s="11" t="s">
        <v>57</v>
      </c>
      <c r="D167" s="26">
        <f>Bangula!G167+Bangula!H167+Bangula!I167</f>
        <v>5</v>
      </c>
      <c r="E167" s="26">
        <f>Chikwawa!G167+Chikwawa!H167+Chikwawa!I167</f>
        <v>0</v>
      </c>
      <c r="F167" s="26">
        <f>'Miseu Folo'!G167+'Miseu Folo'!H167+'Miseu Folo'!I167</f>
        <v>8</v>
      </c>
      <c r="G167" s="26">
        <f>Nchalo!G167+Nchalo!H167+Nchalo!I167</f>
        <v>15</v>
      </c>
      <c r="H167" s="26">
        <f>Nsanje!G167+Nsanje!H167+Nsanje!I167</f>
        <v>22</v>
      </c>
      <c r="I167" s="26">
        <f>Ngabu!G167+Ngabu!H167+Ngabu!I167</f>
        <v>6</v>
      </c>
      <c r="J167" s="18">
        <f t="shared" ref="J167:J175" si="55">SUM(D167:I167)</f>
        <v>56</v>
      </c>
    </row>
    <row r="168" spans="1:10" ht="15.6" x14ac:dyDescent="0.3">
      <c r="A168" s="653"/>
      <c r="B168" s="19" t="s">
        <v>73</v>
      </c>
      <c r="C168" s="11" t="s">
        <v>57</v>
      </c>
      <c r="D168" s="26">
        <f>Bangula!G168+Bangula!H168+Bangula!I168</f>
        <v>0</v>
      </c>
      <c r="E168" s="26">
        <f>Chikwawa!G168+Chikwawa!H168+Chikwawa!I168</f>
        <v>0</v>
      </c>
      <c r="F168" s="26">
        <f>'Miseu Folo'!G168+'Miseu Folo'!H168+'Miseu Folo'!I168</f>
        <v>9</v>
      </c>
      <c r="G168" s="26">
        <f>Nchalo!G168+Nchalo!H168+Nchalo!I168</f>
        <v>5</v>
      </c>
      <c r="H168" s="26">
        <f>Nsanje!G168+Nsanje!H168+Nsanje!I168</f>
        <v>14</v>
      </c>
      <c r="I168" s="26">
        <f>Ngabu!G168+Ngabu!H168+Ngabu!I168</f>
        <v>0</v>
      </c>
      <c r="J168" s="18">
        <f t="shared" si="55"/>
        <v>28</v>
      </c>
    </row>
    <row r="169" spans="1:10" ht="15.6" x14ac:dyDescent="0.3">
      <c r="A169" s="653"/>
      <c r="B169" s="19" t="s">
        <v>72</v>
      </c>
      <c r="C169" s="11" t="s">
        <v>57</v>
      </c>
      <c r="D169" s="26">
        <f>Bangula!G169+Bangula!H169+Bangula!I169</f>
        <v>0</v>
      </c>
      <c r="E169" s="26">
        <f>Chikwawa!G169+Chikwawa!H169+Chikwawa!I169</f>
        <v>0</v>
      </c>
      <c r="F169" s="26">
        <f>'Miseu Folo'!G169+'Miseu Folo'!H169+'Miseu Folo'!I169</f>
        <v>0</v>
      </c>
      <c r="G169" s="26">
        <f>Nchalo!G169+Nchalo!H169+Nchalo!I169</f>
        <v>1</v>
      </c>
      <c r="H169" s="26">
        <f>Nsanje!G169+Nsanje!H169+Nsanje!I169</f>
        <v>0</v>
      </c>
      <c r="I169" s="26">
        <f>Ngabu!G169+Ngabu!H169+Ngabu!I169</f>
        <v>0</v>
      </c>
      <c r="J169" s="18">
        <f t="shared" si="55"/>
        <v>1</v>
      </c>
    </row>
    <row r="170" spans="1:10" ht="15.6" x14ac:dyDescent="0.3">
      <c r="A170" s="653"/>
      <c r="B170" s="19" t="s">
        <v>71</v>
      </c>
      <c r="C170" s="11" t="s">
        <v>57</v>
      </c>
      <c r="D170" s="26">
        <f>Bangula!G170+Bangula!H170+Bangula!I170</f>
        <v>0</v>
      </c>
      <c r="E170" s="26">
        <f>Chikwawa!G170+Chikwawa!H170+Chikwawa!I170</f>
        <v>0</v>
      </c>
      <c r="F170" s="26">
        <f>'Miseu Folo'!G170+'Miseu Folo'!H170+'Miseu Folo'!I170</f>
        <v>0</v>
      </c>
      <c r="G170" s="26">
        <f>Nchalo!G170+Nchalo!H170+Nchalo!I170</f>
        <v>1</v>
      </c>
      <c r="H170" s="26">
        <f>Nsanje!G170+Nsanje!H170+Nsanje!I170</f>
        <v>0</v>
      </c>
      <c r="I170" s="26">
        <f>Ngabu!G170+Ngabu!H170+Ngabu!I170</f>
        <v>0</v>
      </c>
      <c r="J170" s="18">
        <f t="shared" si="55"/>
        <v>1</v>
      </c>
    </row>
    <row r="171" spans="1:10" ht="15.6" x14ac:dyDescent="0.3">
      <c r="A171" s="653"/>
      <c r="B171" s="19" t="s">
        <v>52</v>
      </c>
      <c r="C171" s="11" t="s">
        <v>57</v>
      </c>
      <c r="D171" s="26">
        <f>Bangula!G171+Bangula!H171+Bangula!I171</f>
        <v>0</v>
      </c>
      <c r="E171" s="26">
        <f>Chikwawa!G171+Chikwawa!H171+Chikwawa!I171</f>
        <v>0</v>
      </c>
      <c r="F171" s="26">
        <f>'Miseu Folo'!G171+'Miseu Folo'!H171+'Miseu Folo'!I171</f>
        <v>0</v>
      </c>
      <c r="G171" s="26">
        <f>Nchalo!G171+Nchalo!H171+Nchalo!I171</f>
        <v>2</v>
      </c>
      <c r="H171" s="26">
        <f>Nsanje!G171+Nsanje!H171+Nsanje!I171</f>
        <v>0</v>
      </c>
      <c r="I171" s="26">
        <f>Ngabu!G171+Ngabu!H171+Ngabu!I171</f>
        <v>0</v>
      </c>
      <c r="J171" s="18">
        <f t="shared" si="55"/>
        <v>2</v>
      </c>
    </row>
    <row r="172" spans="1:10" ht="15.6" x14ac:dyDescent="0.3">
      <c r="A172" s="653"/>
      <c r="B172" s="19" t="s">
        <v>62</v>
      </c>
      <c r="C172" s="11" t="s">
        <v>57</v>
      </c>
      <c r="D172" s="26">
        <f>Bangula!G172+Bangula!H172+Bangula!I172</f>
        <v>0</v>
      </c>
      <c r="E172" s="26">
        <f>Chikwawa!G172+Chikwawa!H172+Chikwawa!I172</f>
        <v>0</v>
      </c>
      <c r="F172" s="26">
        <f>'Miseu Folo'!G172+'Miseu Folo'!H172+'Miseu Folo'!I172</f>
        <v>0</v>
      </c>
      <c r="G172" s="26">
        <f>Nchalo!G172+Nchalo!H172+Nchalo!I172</f>
        <v>0</v>
      </c>
      <c r="H172" s="26">
        <f>Nsanje!G172+Nsanje!H172+Nsanje!I172</f>
        <v>0</v>
      </c>
      <c r="I172" s="26">
        <f>Ngabu!G172+Ngabu!H172+Ngabu!I172</f>
        <v>0</v>
      </c>
      <c r="J172" s="18">
        <f t="shared" si="55"/>
        <v>0</v>
      </c>
    </row>
    <row r="173" spans="1:10" ht="15.6" x14ac:dyDescent="0.3">
      <c r="A173" s="653"/>
      <c r="B173" s="19" t="s">
        <v>61</v>
      </c>
      <c r="C173" s="11" t="s">
        <v>57</v>
      </c>
      <c r="D173" s="26">
        <f>Bangula!G173+Bangula!H173+Bangula!I173</f>
        <v>0</v>
      </c>
      <c r="E173" s="26">
        <f>Chikwawa!G173+Chikwawa!H173+Chikwawa!I173</f>
        <v>0</v>
      </c>
      <c r="F173" s="26">
        <f>'Miseu Folo'!G173+'Miseu Folo'!H173+'Miseu Folo'!I173</f>
        <v>0</v>
      </c>
      <c r="G173" s="26">
        <f>Nchalo!G173+Nchalo!H173+Nchalo!I173</f>
        <v>0</v>
      </c>
      <c r="H173" s="26">
        <f>Nsanje!G173+Nsanje!H173+Nsanje!I173</f>
        <v>0</v>
      </c>
      <c r="I173" s="26">
        <f>Ngabu!G173+Ngabu!H173+Ngabu!I173</f>
        <v>0</v>
      </c>
      <c r="J173" s="18">
        <f t="shared" si="55"/>
        <v>0</v>
      </c>
    </row>
    <row r="174" spans="1:10" ht="15.6" x14ac:dyDescent="0.3">
      <c r="A174" s="653"/>
      <c r="B174" s="19" t="s">
        <v>60</v>
      </c>
      <c r="C174" s="11" t="s">
        <v>57</v>
      </c>
      <c r="D174" s="26">
        <f>Bangula!G174+Bangula!H174+Bangula!I174</f>
        <v>0</v>
      </c>
      <c r="E174" s="26">
        <f>Chikwawa!G174+Chikwawa!H174+Chikwawa!I174</f>
        <v>0</v>
      </c>
      <c r="F174" s="26">
        <f>'Miseu Folo'!G174+'Miseu Folo'!H174+'Miseu Folo'!I174</f>
        <v>0</v>
      </c>
      <c r="G174" s="26">
        <f>Nchalo!G174+Nchalo!H174+Nchalo!I174</f>
        <v>0</v>
      </c>
      <c r="H174" s="26">
        <f>Nsanje!G174+Nsanje!H174+Nsanje!I174</f>
        <v>0</v>
      </c>
      <c r="I174" s="26">
        <f>Ngabu!G174+Ngabu!H174+Ngabu!I174</f>
        <v>0</v>
      </c>
      <c r="J174" s="18">
        <f t="shared" si="55"/>
        <v>0</v>
      </c>
    </row>
    <row r="175" spans="1:10" ht="15.6" x14ac:dyDescent="0.3">
      <c r="A175" s="654"/>
      <c r="B175" s="19" t="s">
        <v>69</v>
      </c>
      <c r="C175" s="11" t="s">
        <v>57</v>
      </c>
      <c r="D175" s="26">
        <f>Bangula!G175+Bangula!H175+Bangula!I175</f>
        <v>0</v>
      </c>
      <c r="E175" s="26">
        <f>Chikwawa!G175+Chikwawa!H175+Chikwawa!I175</f>
        <v>0</v>
      </c>
      <c r="F175" s="26">
        <f>'Miseu Folo'!G175+'Miseu Folo'!H175+'Miseu Folo'!I175</f>
        <v>0</v>
      </c>
      <c r="G175" s="26">
        <f>Nchalo!G175+Nchalo!H175+Nchalo!I175</f>
        <v>0</v>
      </c>
      <c r="H175" s="26">
        <f>Nsanje!G175+Nsanje!H175+Nsanje!I175</f>
        <v>0</v>
      </c>
      <c r="I175" s="26">
        <f>Ngabu!G175+Ngabu!H175+Ngabu!I175</f>
        <v>0</v>
      </c>
      <c r="J175" s="18">
        <f t="shared" si="55"/>
        <v>0</v>
      </c>
    </row>
    <row r="176" spans="1:10" ht="15.6" x14ac:dyDescent="0.3">
      <c r="A176" s="652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18"/>
    </row>
    <row r="177" spans="1:10" ht="15.6" x14ac:dyDescent="0.3">
      <c r="A177" s="653"/>
      <c r="B177" s="19" t="s">
        <v>60</v>
      </c>
      <c r="C177" s="11" t="s">
        <v>57</v>
      </c>
      <c r="D177" s="26">
        <f>Bangula!G177+Bangula!H177+Bangula!I177</f>
        <v>0</v>
      </c>
      <c r="E177" s="26">
        <f>Chikwawa!G177+Chikwawa!H177+Chikwawa!I177</f>
        <v>0</v>
      </c>
      <c r="F177" s="26">
        <f>'Miseu Folo'!G177+'Miseu Folo'!H177+'Miseu Folo'!I177</f>
        <v>0</v>
      </c>
      <c r="G177" s="26">
        <f>Nchalo!G177+Nchalo!H177+Nchalo!I177</f>
        <v>0</v>
      </c>
      <c r="H177" s="26">
        <f>Nsanje!G177+Nsanje!H177+Nsanje!I177</f>
        <v>0</v>
      </c>
      <c r="I177" s="26">
        <f>Ngabu!G177+Ngabu!H177+Ngabu!I177</f>
        <v>0</v>
      </c>
      <c r="J177" s="18">
        <f t="shared" ref="J177:J182" si="56">SUM(D177:I177)</f>
        <v>0</v>
      </c>
    </row>
    <row r="178" spans="1:10" ht="15.6" x14ac:dyDescent="0.3">
      <c r="A178" s="653"/>
      <c r="B178" s="19" t="s">
        <v>69</v>
      </c>
      <c r="C178" s="11" t="s">
        <v>57</v>
      </c>
      <c r="D178" s="26">
        <f>Bangula!G178+Bangula!H178+Bangula!I178</f>
        <v>0</v>
      </c>
      <c r="E178" s="26">
        <f>Chikwawa!G178+Chikwawa!H178+Chikwawa!I178</f>
        <v>0</v>
      </c>
      <c r="F178" s="26">
        <f>'Miseu Folo'!G178+'Miseu Folo'!H178+'Miseu Folo'!I178</f>
        <v>0</v>
      </c>
      <c r="G178" s="26">
        <f>Nchalo!G178+Nchalo!H178+Nchalo!I178</f>
        <v>0</v>
      </c>
      <c r="H178" s="26">
        <f>Nsanje!G178+Nsanje!H178+Nsanje!I178</f>
        <v>0</v>
      </c>
      <c r="I178" s="26">
        <f>Ngabu!G178+Ngabu!H178+Ngabu!I178</f>
        <v>0</v>
      </c>
      <c r="J178" s="18">
        <f t="shared" si="56"/>
        <v>0</v>
      </c>
    </row>
    <row r="179" spans="1:10" ht="15.6" x14ac:dyDescent="0.3">
      <c r="A179" s="653"/>
      <c r="B179" s="19" t="s">
        <v>68</v>
      </c>
      <c r="C179" s="11" t="s">
        <v>57</v>
      </c>
      <c r="D179" s="26">
        <f>Bangula!G179+Bangula!H179+Bangula!I179</f>
        <v>0</v>
      </c>
      <c r="E179" s="26">
        <f>Chikwawa!G179+Chikwawa!H179+Chikwawa!I179</f>
        <v>0</v>
      </c>
      <c r="F179" s="26">
        <f>'Miseu Folo'!G179+'Miseu Folo'!H179+'Miseu Folo'!I179</f>
        <v>0</v>
      </c>
      <c r="G179" s="26">
        <f>Nchalo!G179+Nchalo!H179+Nchalo!I179</f>
        <v>0</v>
      </c>
      <c r="H179" s="26">
        <f>Nsanje!G179+Nsanje!H179+Nsanje!I179</f>
        <v>0</v>
      </c>
      <c r="I179" s="26">
        <f>Ngabu!G179+Ngabu!H179+Ngabu!I179</f>
        <v>0</v>
      </c>
      <c r="J179" s="18">
        <f t="shared" si="56"/>
        <v>0</v>
      </c>
    </row>
    <row r="180" spans="1:10" ht="15.6" x14ac:dyDescent="0.3">
      <c r="A180" s="653"/>
      <c r="B180" s="19" t="s">
        <v>67</v>
      </c>
      <c r="C180" s="11" t="s">
        <v>57</v>
      </c>
      <c r="D180" s="26">
        <f>Bangula!G180+Bangula!H180+Bangula!I180</f>
        <v>0</v>
      </c>
      <c r="E180" s="26">
        <f>Chikwawa!G180+Chikwawa!H180+Chikwawa!I180</f>
        <v>0</v>
      </c>
      <c r="F180" s="26">
        <f>'Miseu Folo'!G180+'Miseu Folo'!H180+'Miseu Folo'!I180</f>
        <v>0</v>
      </c>
      <c r="G180" s="26">
        <f>Nchalo!G180+Nchalo!H180+Nchalo!I180</f>
        <v>0</v>
      </c>
      <c r="H180" s="26">
        <f>Nsanje!G180+Nsanje!H180+Nsanje!I180</f>
        <v>0</v>
      </c>
      <c r="I180" s="26">
        <f>Ngabu!G180+Ngabu!H180+Ngabu!I180</f>
        <v>0</v>
      </c>
      <c r="J180" s="18">
        <f t="shared" si="56"/>
        <v>0</v>
      </c>
    </row>
    <row r="181" spans="1:10" ht="15.6" x14ac:dyDescent="0.3">
      <c r="A181" s="653"/>
      <c r="B181" s="19" t="s">
        <v>66</v>
      </c>
      <c r="C181" s="11" t="s">
        <v>57</v>
      </c>
      <c r="D181" s="26">
        <f>Bangula!G181+Bangula!H181+Bangula!I181</f>
        <v>0</v>
      </c>
      <c r="E181" s="26">
        <f>Chikwawa!G181+Chikwawa!H181+Chikwawa!I181</f>
        <v>0</v>
      </c>
      <c r="F181" s="26">
        <f>'Miseu Folo'!G181+'Miseu Folo'!H181+'Miseu Folo'!I181</f>
        <v>0</v>
      </c>
      <c r="G181" s="26">
        <f>Nchalo!G181+Nchalo!H181+Nchalo!I181</f>
        <v>0</v>
      </c>
      <c r="H181" s="26">
        <f>Nsanje!G181+Nsanje!H181+Nsanje!I181</f>
        <v>0</v>
      </c>
      <c r="I181" s="26">
        <f>Ngabu!G181+Ngabu!H181+Ngabu!I181</f>
        <v>0</v>
      </c>
      <c r="J181" s="18">
        <f t="shared" si="56"/>
        <v>0</v>
      </c>
    </row>
    <row r="182" spans="1:10" ht="15.6" x14ac:dyDescent="0.3">
      <c r="A182" s="654"/>
      <c r="B182" s="19" t="s">
        <v>65</v>
      </c>
      <c r="C182" s="11" t="s">
        <v>57</v>
      </c>
      <c r="D182" s="26">
        <f>Bangula!G182+Bangula!H182+Bangula!I182</f>
        <v>0</v>
      </c>
      <c r="E182" s="26">
        <f>Chikwawa!G182+Chikwawa!H182+Chikwawa!I182</f>
        <v>0</v>
      </c>
      <c r="F182" s="26">
        <f>'Miseu Folo'!G182+'Miseu Folo'!H182+'Miseu Folo'!I182</f>
        <v>0</v>
      </c>
      <c r="G182" s="26">
        <f>Nchalo!G182+Nchalo!H182+Nchalo!I182</f>
        <v>0</v>
      </c>
      <c r="H182" s="26">
        <f>Nsanje!G182+Nsanje!H182+Nsanje!I182</f>
        <v>0</v>
      </c>
      <c r="I182" s="26">
        <f>Ngabu!G182+Ngabu!H182+Ngabu!I182</f>
        <v>0</v>
      </c>
      <c r="J182" s="18">
        <f t="shared" si="56"/>
        <v>0</v>
      </c>
    </row>
    <row r="183" spans="1:10" ht="15.6" x14ac:dyDescent="0.3">
      <c r="A183" s="652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18"/>
    </row>
    <row r="184" spans="1:10" ht="15.6" x14ac:dyDescent="0.3">
      <c r="A184" s="653"/>
      <c r="B184" s="19" t="s">
        <v>73</v>
      </c>
      <c r="C184" s="11"/>
      <c r="D184" s="26">
        <f>Bangula!G184+Bangula!H184+Bangula!I184</f>
        <v>0</v>
      </c>
      <c r="E184" s="26">
        <f>Chikwawa!G184+Chikwawa!H184+Chikwawa!I184</f>
        <v>0</v>
      </c>
      <c r="F184" s="26">
        <f>'Miseu Folo'!G184+'Miseu Folo'!H184+'Miseu Folo'!I184</f>
        <v>0</v>
      </c>
      <c r="G184" s="26">
        <f>Nchalo!G184+Nchalo!H184+Nchalo!I184</f>
        <v>0</v>
      </c>
      <c r="H184" s="26">
        <f>Nsanje!G184+Nsanje!H184+Nsanje!I184</f>
        <v>0</v>
      </c>
      <c r="I184" s="26">
        <f>Ngabu!G184+Ngabu!H184+Ngabu!I184</f>
        <v>0</v>
      </c>
      <c r="J184" s="18">
        <f>SUM(D184:I184)</f>
        <v>0</v>
      </c>
    </row>
    <row r="185" spans="1:10" ht="15.6" x14ac:dyDescent="0.3">
      <c r="A185" s="653"/>
      <c r="B185" s="19" t="s">
        <v>72</v>
      </c>
      <c r="C185" s="11"/>
      <c r="D185" s="26">
        <f>Bangula!G185+Bangula!H185+Bangula!I185</f>
        <v>0</v>
      </c>
      <c r="E185" s="26">
        <f>Chikwawa!G185+Chikwawa!H185+Chikwawa!I185</f>
        <v>0</v>
      </c>
      <c r="F185" s="26">
        <f>'Miseu Folo'!G185+'Miseu Folo'!H185+'Miseu Folo'!I185</f>
        <v>0</v>
      </c>
      <c r="G185" s="26">
        <f>Nchalo!G185+Nchalo!H185+Nchalo!I185</f>
        <v>0</v>
      </c>
      <c r="H185" s="26">
        <f>Nsanje!G185+Nsanje!H185+Nsanje!I185</f>
        <v>0</v>
      </c>
      <c r="I185" s="26">
        <f>Ngabu!G185+Ngabu!H185+Ngabu!I185</f>
        <v>0</v>
      </c>
      <c r="J185" s="18">
        <f>SUM(D185:I185)</f>
        <v>0</v>
      </c>
    </row>
    <row r="186" spans="1:10" ht="15.6" x14ac:dyDescent="0.3">
      <c r="A186" s="653"/>
      <c r="B186" s="19" t="s">
        <v>53</v>
      </c>
      <c r="C186" s="11"/>
      <c r="D186" s="26">
        <f>Bangula!G186+Bangula!H186+Bangula!I186</f>
        <v>0</v>
      </c>
      <c r="E186" s="26">
        <f>Chikwawa!G186+Chikwawa!H186+Chikwawa!I186</f>
        <v>0</v>
      </c>
      <c r="F186" s="26">
        <f>'Miseu Folo'!G186+'Miseu Folo'!H186+'Miseu Folo'!I186</f>
        <v>0</v>
      </c>
      <c r="G186" s="26">
        <f>Nchalo!G186+Nchalo!H186+Nchalo!I186</f>
        <v>0</v>
      </c>
      <c r="H186" s="26">
        <f>Nsanje!G186+Nsanje!H186+Nsanje!I186</f>
        <v>0</v>
      </c>
      <c r="I186" s="26">
        <f>Ngabu!G186+Ngabu!H186+Ngabu!I186</f>
        <v>0</v>
      </c>
      <c r="J186" s="18">
        <f>SUM(D186:I186)</f>
        <v>0</v>
      </c>
    </row>
    <row r="187" spans="1:10" ht="15.6" x14ac:dyDescent="0.3">
      <c r="A187" s="654"/>
      <c r="B187" s="19" t="s">
        <v>52</v>
      </c>
      <c r="C187" s="11"/>
      <c r="D187" s="26">
        <f>Bangula!G187+Bangula!H187+Bangula!I187</f>
        <v>0</v>
      </c>
      <c r="E187" s="26">
        <f>Chikwawa!G187+Chikwawa!H187+Chikwawa!I187</f>
        <v>0</v>
      </c>
      <c r="F187" s="26">
        <f>'Miseu Folo'!G187+'Miseu Folo'!H187+'Miseu Folo'!I187</f>
        <v>0</v>
      </c>
      <c r="G187" s="26">
        <f>Nchalo!G187+Nchalo!H187+Nchalo!I187</f>
        <v>0</v>
      </c>
      <c r="H187" s="26">
        <f>Nsanje!G187+Nsanje!H187+Nsanje!I187</f>
        <v>0</v>
      </c>
      <c r="I187" s="26">
        <f>Ngabu!G187+Ngabu!H187+Ngabu!I187</f>
        <v>0</v>
      </c>
      <c r="J187" s="18">
        <f>SUM(D187:I187)</f>
        <v>0</v>
      </c>
    </row>
    <row r="188" spans="1:10" ht="15.6" x14ac:dyDescent="0.3">
      <c r="A188" s="652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18"/>
    </row>
    <row r="189" spans="1:10" ht="15.6" x14ac:dyDescent="0.3">
      <c r="A189" s="653"/>
      <c r="B189" s="20" t="s">
        <v>52</v>
      </c>
      <c r="C189" s="11" t="s">
        <v>57</v>
      </c>
      <c r="D189" s="26">
        <f>Bangula!G189+Bangula!H189+Bangula!I189</f>
        <v>0</v>
      </c>
      <c r="E189" s="26">
        <f>Chikwawa!G189+Chikwawa!H189+Chikwawa!I189</f>
        <v>0</v>
      </c>
      <c r="F189" s="26">
        <f>'Miseu Folo'!G189+'Miseu Folo'!H189+'Miseu Folo'!I189</f>
        <v>0</v>
      </c>
      <c r="G189" s="26">
        <f>Nchalo!G189+Nchalo!H189+Nchalo!I189</f>
        <v>0</v>
      </c>
      <c r="H189" s="26">
        <f>Nsanje!G189+Nsanje!H189+Nsanje!I189</f>
        <v>0</v>
      </c>
      <c r="I189" s="26">
        <f>Ngabu!G189+Ngabu!H189+Ngabu!I189</f>
        <v>0</v>
      </c>
      <c r="J189" s="18">
        <f>SUM(D189:I189)</f>
        <v>0</v>
      </c>
    </row>
    <row r="190" spans="1:10" ht="15.6" x14ac:dyDescent="0.3">
      <c r="A190" s="653"/>
      <c r="B190" s="19" t="s">
        <v>62</v>
      </c>
      <c r="C190" s="11" t="s">
        <v>57</v>
      </c>
      <c r="D190" s="26">
        <f>Bangula!G190+Bangula!H190+Bangula!I190</f>
        <v>0</v>
      </c>
      <c r="E190" s="26">
        <f>Chikwawa!G190+Chikwawa!H190+Chikwawa!I190</f>
        <v>0</v>
      </c>
      <c r="F190" s="26">
        <f>'Miseu Folo'!G190+'Miseu Folo'!H190+'Miseu Folo'!I190</f>
        <v>0</v>
      </c>
      <c r="G190" s="26">
        <f>Nchalo!G190+Nchalo!H190+Nchalo!I190</f>
        <v>0</v>
      </c>
      <c r="H190" s="26">
        <f>Nsanje!G190+Nsanje!H190+Nsanje!I190</f>
        <v>0</v>
      </c>
      <c r="I190" s="26">
        <f>Ngabu!G190+Ngabu!H190+Ngabu!I190</f>
        <v>0</v>
      </c>
      <c r="J190" s="18">
        <f>SUM(D190:I190)</f>
        <v>0</v>
      </c>
    </row>
    <row r="191" spans="1:10" ht="15.6" x14ac:dyDescent="0.3">
      <c r="A191" s="653"/>
      <c r="B191" s="19" t="s">
        <v>61</v>
      </c>
      <c r="C191" s="11" t="s">
        <v>57</v>
      </c>
      <c r="D191" s="26">
        <f>Bangula!G191+Bangula!H191+Bangula!I191</f>
        <v>0</v>
      </c>
      <c r="E191" s="26">
        <f>Chikwawa!G191+Chikwawa!H191+Chikwawa!I191</f>
        <v>0</v>
      </c>
      <c r="F191" s="26">
        <f>'Miseu Folo'!G191+'Miseu Folo'!H191+'Miseu Folo'!I191</f>
        <v>0</v>
      </c>
      <c r="G191" s="26">
        <f>Nchalo!G191+Nchalo!H191+Nchalo!I191</f>
        <v>0</v>
      </c>
      <c r="H191" s="26">
        <f>Nsanje!G191+Nsanje!H191+Nsanje!I191</f>
        <v>0</v>
      </c>
      <c r="I191" s="26">
        <f>Ngabu!G191+Ngabu!H191+Ngabu!I191</f>
        <v>0</v>
      </c>
      <c r="J191" s="18">
        <f>SUM(D191:I191)</f>
        <v>0</v>
      </c>
    </row>
    <row r="192" spans="1:10" ht="15.6" x14ac:dyDescent="0.3">
      <c r="A192" s="654"/>
      <c r="B192" s="19" t="s">
        <v>60</v>
      </c>
      <c r="C192" s="11" t="s">
        <v>57</v>
      </c>
      <c r="D192" s="26">
        <f>Bangula!G192+Bangula!H192+Bangula!I192</f>
        <v>0</v>
      </c>
      <c r="E192" s="26">
        <f>Chikwawa!G192+Chikwawa!H192+Chikwawa!I192</f>
        <v>0</v>
      </c>
      <c r="F192" s="26">
        <f>'Miseu Folo'!G192+'Miseu Folo'!H192+'Miseu Folo'!I192</f>
        <v>0</v>
      </c>
      <c r="G192" s="26">
        <f>Nchalo!G192+Nchalo!H192+Nchalo!I192</f>
        <v>0</v>
      </c>
      <c r="H192" s="26">
        <f>Nsanje!G192+Nsanje!H192+Nsanje!I192</f>
        <v>0</v>
      </c>
      <c r="I192" s="26">
        <f>Ngabu!G192+Ngabu!H192+Ngabu!I192</f>
        <v>0</v>
      </c>
      <c r="J192" s="18">
        <f>SUM(D192:I192)</f>
        <v>0</v>
      </c>
    </row>
    <row r="193" spans="1:10" ht="15.6" x14ac:dyDescent="0.3">
      <c r="A193" s="680" t="s">
        <v>59</v>
      </c>
      <c r="B193" s="681"/>
      <c r="C193" s="11"/>
      <c r="D193" s="10">
        <f>SUM(D153:D192)</f>
        <v>120</v>
      </c>
      <c r="E193" s="10">
        <f t="shared" ref="E193:J193" si="57">SUM(E153:E192)</f>
        <v>270</v>
      </c>
      <c r="F193" s="10">
        <f t="shared" si="57"/>
        <v>70</v>
      </c>
      <c r="G193" s="10">
        <f t="shared" si="57"/>
        <v>283</v>
      </c>
      <c r="H193" s="10">
        <f t="shared" si="57"/>
        <v>505</v>
      </c>
      <c r="I193" s="10">
        <f t="shared" si="57"/>
        <v>117</v>
      </c>
      <c r="J193" s="103">
        <f t="shared" si="57"/>
        <v>1365</v>
      </c>
    </row>
    <row r="194" spans="1:10" ht="15.6" x14ac:dyDescent="0.3">
      <c r="A194" s="658" t="s">
        <v>58</v>
      </c>
      <c r="B194" s="659"/>
      <c r="C194" s="11" t="s">
        <v>57</v>
      </c>
      <c r="D194" s="26">
        <f>Bangula!G194+Bangula!H194+Bangula!I194</f>
        <v>0</v>
      </c>
      <c r="E194" s="26">
        <f>Chikwawa!G194+Chikwawa!H194+Chikwawa!I194</f>
        <v>0</v>
      </c>
      <c r="F194" s="26">
        <f>'Miseu Folo'!G194+'Miseu Folo'!H194+'Miseu Folo'!I194</f>
        <v>0</v>
      </c>
      <c r="G194" s="26">
        <f>Nchalo!G194+Nchalo!H194+Nchalo!I194</f>
        <v>0</v>
      </c>
      <c r="H194" s="26">
        <f>Nsanje!G194+Nsanje!H194+Nsanje!I194</f>
        <v>13</v>
      </c>
      <c r="I194" s="26">
        <f>Ngabu!G194+Ngabu!H194+Ngabu!I194</f>
        <v>72</v>
      </c>
      <c r="J194" s="9">
        <f>SUM(D194:I194)</f>
        <v>85</v>
      </c>
    </row>
    <row r="195" spans="1:10" ht="15.6" x14ac:dyDescent="0.3">
      <c r="A195" s="660"/>
      <c r="B195" s="661"/>
      <c r="C195" s="16" t="s">
        <v>55</v>
      </c>
      <c r="D195" s="26">
        <f>Bangula!G195+Bangula!H195+Bangula!I195</f>
        <v>0</v>
      </c>
      <c r="E195" s="26">
        <f>Chikwawa!G195+Chikwawa!H195+Chikwawa!I195</f>
        <v>0</v>
      </c>
      <c r="F195" s="26">
        <f>'Miseu Folo'!G195+'Miseu Folo'!H195+'Miseu Folo'!I195</f>
        <v>0</v>
      </c>
      <c r="G195" s="26">
        <f>Nchalo!G195+Nchalo!H195+Nchalo!I195</f>
        <v>0</v>
      </c>
      <c r="H195" s="26">
        <f>Nsanje!G195+Nsanje!H195+Nsanje!I195</f>
        <v>0</v>
      </c>
      <c r="I195" s="26">
        <f>Ngabu!G195+Ngabu!H195+Ngabu!I195</f>
        <v>0</v>
      </c>
      <c r="J195" s="9">
        <f>SUM(D195:I195)</f>
        <v>0</v>
      </c>
    </row>
    <row r="196" spans="1:10" ht="15.6" x14ac:dyDescent="0.3">
      <c r="A196" s="85" t="s">
        <v>202</v>
      </c>
      <c r="B196" s="86"/>
      <c r="C196" s="16" t="s">
        <v>55</v>
      </c>
      <c r="D196" s="26">
        <f>Bangula!G196+Bangula!H196+Bangula!I196</f>
        <v>72</v>
      </c>
      <c r="E196" s="26">
        <f>Chikwawa!G196+Chikwawa!H196+Chikwawa!I196</f>
        <v>65</v>
      </c>
      <c r="F196" s="26">
        <f>'Miseu Folo'!G196+'Miseu Folo'!H196+'Miseu Folo'!I196</f>
        <v>48</v>
      </c>
      <c r="G196" s="26">
        <f>Nchalo!G196+Nchalo!H196+Nchalo!I196</f>
        <v>46</v>
      </c>
      <c r="H196" s="26">
        <f>Nsanje!G196+Nsanje!H196+Nsanje!I196</f>
        <v>61</v>
      </c>
      <c r="I196" s="26">
        <f>Ngabu!G196+Ngabu!H196+Ngabu!I196</f>
        <v>15</v>
      </c>
      <c r="J196" s="9">
        <f>SUM(D196:I196)</f>
        <v>307</v>
      </c>
    </row>
    <row r="197" spans="1:10" ht="15.6" x14ac:dyDescent="0.3">
      <c r="A197" s="591" t="s">
        <v>56</v>
      </c>
      <c r="B197" s="592"/>
      <c r="C197" s="16" t="s">
        <v>55</v>
      </c>
      <c r="D197" s="26">
        <f>Bangula!G197+Bangula!H197+Bangula!I197</f>
        <v>148</v>
      </c>
      <c r="E197" s="26">
        <f>Chikwawa!G197+Chikwawa!H197+Chikwawa!I197</f>
        <v>0</v>
      </c>
      <c r="F197" s="26">
        <f>'Miseu Folo'!G197+'Miseu Folo'!H197+'Miseu Folo'!I197</f>
        <v>0</v>
      </c>
      <c r="G197" s="26">
        <f>Nchalo!G197+Nchalo!H197+Nchalo!I197</f>
        <v>0</v>
      </c>
      <c r="H197" s="26">
        <f>Nsanje!G197+Nsanje!H197+Nsanje!I197</f>
        <v>185</v>
      </c>
      <c r="I197" s="26">
        <f>Ngabu!G197+Ngabu!H197+Ngabu!I197</f>
        <v>18</v>
      </c>
      <c r="J197" s="9">
        <f>SUM(D197:I197)</f>
        <v>351</v>
      </c>
    </row>
    <row r="198" spans="1:10" x14ac:dyDescent="0.3">
      <c r="A198" s="595" t="s">
        <v>203</v>
      </c>
      <c r="B198" s="596"/>
      <c r="C198" s="596"/>
      <c r="D198" s="596"/>
      <c r="E198" s="596"/>
      <c r="F198" s="596"/>
      <c r="G198" s="596"/>
      <c r="H198" s="596"/>
      <c r="I198" s="596"/>
      <c r="J198" s="597"/>
    </row>
    <row r="199" spans="1:10" ht="15.6" x14ac:dyDescent="0.3">
      <c r="A199" s="658" t="s">
        <v>54</v>
      </c>
      <c r="B199" s="79" t="s">
        <v>53</v>
      </c>
      <c r="C199" s="11" t="s">
        <v>47</v>
      </c>
      <c r="D199" s="26">
        <f>Bangula!G199+Bangula!H199+Bangula!I199</f>
        <v>0</v>
      </c>
      <c r="E199" s="26">
        <f>Chikwawa!G199+Chikwawa!H199+Chikwawa!I199</f>
        <v>0</v>
      </c>
      <c r="F199" s="26">
        <f>'Miseu Folo'!G199+'Miseu Folo'!H199+'Miseu Folo'!I199</f>
        <v>72</v>
      </c>
      <c r="G199" s="26">
        <f>Nchalo!G199+Nchalo!H199+Nchalo!I199</f>
        <v>0</v>
      </c>
      <c r="H199" s="26">
        <f>Nsanje!G199+Nsanje!H199+Nsanje!I199</f>
        <v>0</v>
      </c>
      <c r="I199" s="26">
        <f>Ngabu!G199+Ngabu!H199+Ngabu!I199</f>
        <v>0</v>
      </c>
      <c r="J199" s="9">
        <f t="shared" ref="J199:J204" si="58">SUM(D199:I199)</f>
        <v>72</v>
      </c>
    </row>
    <row r="200" spans="1:10" ht="15.6" x14ac:dyDescent="0.3">
      <c r="A200" s="662"/>
      <c r="B200" s="79" t="s">
        <v>52</v>
      </c>
      <c r="C200" s="11" t="s">
        <v>47</v>
      </c>
      <c r="D200" s="26">
        <f>Bangula!G200+Bangula!H200+Bangula!I200</f>
        <v>0</v>
      </c>
      <c r="E200" s="26">
        <f>Chikwawa!G200+Chikwawa!H200+Chikwawa!I200</f>
        <v>0</v>
      </c>
      <c r="F200" s="26">
        <f>'Miseu Folo'!G200+'Miseu Folo'!H200+'Miseu Folo'!I200</f>
        <v>0</v>
      </c>
      <c r="G200" s="26">
        <f>Nchalo!G200+Nchalo!H200+Nchalo!I200</f>
        <v>0</v>
      </c>
      <c r="H200" s="26">
        <f>Nsanje!G200+Nsanje!H200+Nsanje!I200</f>
        <v>0</v>
      </c>
      <c r="I200" s="26">
        <f>Ngabu!G200+Ngabu!H200+Ngabu!I200</f>
        <v>0</v>
      </c>
      <c r="J200" s="9">
        <f t="shared" si="58"/>
        <v>0</v>
      </c>
    </row>
    <row r="201" spans="1:10" ht="15.6" x14ac:dyDescent="0.3">
      <c r="A201" s="662"/>
      <c r="B201" s="79" t="s">
        <v>51</v>
      </c>
      <c r="C201" s="11" t="s">
        <v>47</v>
      </c>
      <c r="D201" s="26">
        <f>Bangula!G201+Bangula!H201+Bangula!I201</f>
        <v>0</v>
      </c>
      <c r="E201" s="26">
        <f>Chikwawa!G201+Chikwawa!H201+Chikwawa!I201</f>
        <v>0</v>
      </c>
      <c r="F201" s="26">
        <f>'Miseu Folo'!G201+'Miseu Folo'!H201+'Miseu Folo'!I201</f>
        <v>162</v>
      </c>
      <c r="G201" s="26">
        <f>Nchalo!G201+Nchalo!H201+Nchalo!I201</f>
        <v>0</v>
      </c>
      <c r="H201" s="26">
        <f>Nsanje!G201+Nsanje!H201+Nsanje!I201</f>
        <v>0</v>
      </c>
      <c r="I201" s="26">
        <f>Ngabu!G201+Ngabu!H201+Ngabu!I201</f>
        <v>0</v>
      </c>
      <c r="J201" s="9">
        <f t="shared" si="58"/>
        <v>162</v>
      </c>
    </row>
    <row r="202" spans="1:10" ht="15.6" x14ac:dyDescent="0.3">
      <c r="A202" s="662"/>
      <c r="B202" s="79" t="s">
        <v>50</v>
      </c>
      <c r="C202" s="11" t="s">
        <v>47</v>
      </c>
      <c r="D202" s="26">
        <f>Bangula!G202+Bangula!H202+Bangula!I202</f>
        <v>0</v>
      </c>
      <c r="E202" s="26">
        <f>Chikwawa!G202+Chikwawa!H202+Chikwawa!I202</f>
        <v>0</v>
      </c>
      <c r="F202" s="26">
        <f>'Miseu Folo'!G202+'Miseu Folo'!H202+'Miseu Folo'!I202</f>
        <v>0</v>
      </c>
      <c r="G202" s="26">
        <f>Nchalo!G202+Nchalo!H202+Nchalo!I202</f>
        <v>0</v>
      </c>
      <c r="H202" s="26">
        <f>Nsanje!G202+Nsanje!H202+Nsanje!I202</f>
        <v>0</v>
      </c>
      <c r="I202" s="26">
        <f>Ngabu!G202+Ngabu!H202+Ngabu!I202</f>
        <v>0</v>
      </c>
      <c r="J202" s="9">
        <f t="shared" si="58"/>
        <v>0</v>
      </c>
    </row>
    <row r="203" spans="1:10" ht="15.6" x14ac:dyDescent="0.3">
      <c r="A203" s="660"/>
      <c r="B203" s="79" t="s">
        <v>49</v>
      </c>
      <c r="C203" s="11" t="s">
        <v>47</v>
      </c>
      <c r="D203" s="26">
        <f>Bangula!G203+Bangula!H203+Bangula!I203</f>
        <v>0</v>
      </c>
      <c r="E203" s="26">
        <f>Chikwawa!G203+Chikwawa!H203+Chikwawa!I203</f>
        <v>0</v>
      </c>
      <c r="F203" s="26">
        <f>'Miseu Folo'!G203+'Miseu Folo'!H203+'Miseu Folo'!I203</f>
        <v>0</v>
      </c>
      <c r="G203" s="26">
        <f>Nchalo!G203+Nchalo!H203+Nchalo!I203</f>
        <v>0</v>
      </c>
      <c r="H203" s="26">
        <f>Nsanje!G203+Nsanje!H203+Nsanje!I203</f>
        <v>0</v>
      </c>
      <c r="I203" s="26">
        <f>Ngabu!G203+Ngabu!H203+Ngabu!I203</f>
        <v>0</v>
      </c>
      <c r="J203" s="9">
        <f t="shared" si="58"/>
        <v>0</v>
      </c>
    </row>
    <row r="204" spans="1:10" ht="15.6" x14ac:dyDescent="0.3">
      <c r="A204" s="83" t="s">
        <v>48</v>
      </c>
      <c r="B204" s="79"/>
      <c r="C204" s="11" t="s">
        <v>47</v>
      </c>
      <c r="D204" s="15">
        <f t="shared" ref="D204:I204" si="59">SUM(D199:D203)</f>
        <v>0</v>
      </c>
      <c r="E204" s="15">
        <f t="shared" si="59"/>
        <v>0</v>
      </c>
      <c r="F204" s="15">
        <f t="shared" si="59"/>
        <v>234</v>
      </c>
      <c r="G204" s="15">
        <f t="shared" si="59"/>
        <v>0</v>
      </c>
      <c r="H204" s="15">
        <f t="shared" si="59"/>
        <v>0</v>
      </c>
      <c r="I204" s="15">
        <f t="shared" si="59"/>
        <v>0</v>
      </c>
      <c r="J204" s="111">
        <f t="shared" si="58"/>
        <v>234</v>
      </c>
    </row>
    <row r="205" spans="1:10" s="2" customFormat="1" x14ac:dyDescent="0.3">
      <c r="A205" s="595" t="s">
        <v>46</v>
      </c>
      <c r="B205" s="596"/>
      <c r="C205" s="596"/>
      <c r="D205" s="596"/>
      <c r="E205" s="596"/>
      <c r="F205" s="596"/>
      <c r="G205" s="596"/>
      <c r="H205" s="596"/>
      <c r="I205" s="596"/>
      <c r="J205" s="597"/>
    </row>
    <row r="206" spans="1:10" ht="15.6" x14ac:dyDescent="0.3">
      <c r="A206" s="591" t="s">
        <v>43</v>
      </c>
      <c r="B206" s="592"/>
      <c r="C206" s="11" t="s">
        <v>31</v>
      </c>
      <c r="D206" s="26">
        <f>Bangula!G206+Bangula!H206+Bangula!I206</f>
        <v>11184779</v>
      </c>
      <c r="E206" s="26">
        <f>Chikwawa!G206+Chikwawa!H206+Chikwawa!I206</f>
        <v>36561872</v>
      </c>
      <c r="F206" s="26">
        <f>'Miseu Folo'!G206+'Miseu Folo'!H206+'Miseu Folo'!I206</f>
        <v>1220450</v>
      </c>
      <c r="G206" s="26">
        <f>Nchalo!G206+Nchalo!H206+Nchalo!I206</f>
        <v>33197236</v>
      </c>
      <c r="H206" s="26">
        <f>Nsanje!G206+Nsanje!H206+Nsanje!I206</f>
        <v>17802292</v>
      </c>
      <c r="I206" s="26">
        <f>Ngabu!G206+Ngabu!H206+Ngabu!I206</f>
        <v>13020316</v>
      </c>
      <c r="J206" s="9">
        <f>SUM(D206:I206)</f>
        <v>112986945</v>
      </c>
    </row>
    <row r="207" spans="1:10" ht="15.6" x14ac:dyDescent="0.3">
      <c r="A207" s="591" t="s">
        <v>42</v>
      </c>
      <c r="B207" s="592"/>
      <c r="C207" s="11" t="s">
        <v>31</v>
      </c>
      <c r="D207" s="26">
        <f>Bangula!G207+Bangula!H207+Bangula!I207</f>
        <v>624050</v>
      </c>
      <c r="E207" s="26">
        <f>Chikwawa!G207+Chikwawa!H207+Chikwawa!I207</f>
        <v>358550</v>
      </c>
      <c r="F207" s="26">
        <f>'Miseu Folo'!G207+'Miseu Folo'!H207+'Miseu Folo'!I207</f>
        <v>0</v>
      </c>
      <c r="G207" s="26">
        <f>Nchalo!G207+Nchalo!H207+Nchalo!I207</f>
        <v>352050</v>
      </c>
      <c r="H207" s="26">
        <f>Nsanje!G207+Nsanje!H207+Nsanje!I207</f>
        <v>339900</v>
      </c>
      <c r="I207" s="26">
        <f>Ngabu!G207+Ngabu!H207+Ngabu!I207</f>
        <v>670890</v>
      </c>
      <c r="J207" s="9">
        <f>SUM(D207:I207)</f>
        <v>2345440</v>
      </c>
    </row>
    <row r="208" spans="1:10" ht="15.6" x14ac:dyDescent="0.3">
      <c r="A208" s="598" t="s">
        <v>41</v>
      </c>
      <c r="B208" s="599"/>
      <c r="C208" s="11" t="s">
        <v>31</v>
      </c>
      <c r="D208" s="26">
        <f>Bangula!G208+Bangula!H208+Bangula!I208</f>
        <v>0</v>
      </c>
      <c r="E208" s="26">
        <f>Chikwawa!G208+Chikwawa!H208+Chikwawa!I208</f>
        <v>525990</v>
      </c>
      <c r="F208" s="26">
        <f>'Miseu Folo'!G208+'Miseu Folo'!H208+'Miseu Folo'!I208</f>
        <v>80000</v>
      </c>
      <c r="G208" s="26">
        <f>Nchalo!G208+Nchalo!H208+Nchalo!I208</f>
        <v>57000</v>
      </c>
      <c r="H208" s="26">
        <f>Nsanje!G208+Nsanje!H208+Nsanje!I208</f>
        <v>0</v>
      </c>
      <c r="I208" s="26">
        <f>Ngabu!G208+Ngabu!H208+Ngabu!I208</f>
        <v>165000</v>
      </c>
      <c r="J208" s="9">
        <f>SUM(D208:I208)</f>
        <v>827990</v>
      </c>
    </row>
    <row r="209" spans="1:10" ht="15.6" x14ac:dyDescent="0.3">
      <c r="A209" s="591" t="s">
        <v>40</v>
      </c>
      <c r="B209" s="592"/>
      <c r="C209" s="11" t="s">
        <v>31</v>
      </c>
      <c r="D209" s="26">
        <f>Bangula!G209+Bangula!H209+Bangula!I209</f>
        <v>11200</v>
      </c>
      <c r="E209" s="26">
        <f>Chikwawa!G209+Chikwawa!H209+Chikwawa!I209</f>
        <v>1278630</v>
      </c>
      <c r="F209" s="26">
        <f>'Miseu Folo'!G209+'Miseu Folo'!H209+'Miseu Folo'!I209</f>
        <v>0</v>
      </c>
      <c r="G209" s="26">
        <f>Nchalo!G209+Nchalo!H209+Nchalo!I209</f>
        <v>84000</v>
      </c>
      <c r="H209" s="26">
        <f>Nsanje!G209+Nsanje!H209+Nsanje!I209</f>
        <v>145200</v>
      </c>
      <c r="I209" s="26">
        <f>Ngabu!G209+Ngabu!H209+Ngabu!I209</f>
        <v>613863</v>
      </c>
      <c r="J209" s="9">
        <f>SUM(D209:I209)</f>
        <v>2132893</v>
      </c>
    </row>
    <row r="210" spans="1:10" ht="15.6" x14ac:dyDescent="0.3">
      <c r="A210" s="656" t="s">
        <v>45</v>
      </c>
      <c r="B210" s="657"/>
      <c r="C210" s="11" t="s">
        <v>31</v>
      </c>
      <c r="D210" s="10">
        <f t="shared" ref="D210:I210" si="60">SUM(D206:D209)</f>
        <v>11820029</v>
      </c>
      <c r="E210" s="10">
        <f t="shared" si="60"/>
        <v>38725042</v>
      </c>
      <c r="F210" s="10">
        <f t="shared" si="60"/>
        <v>1300450</v>
      </c>
      <c r="G210" s="10">
        <f t="shared" si="60"/>
        <v>33690286</v>
      </c>
      <c r="H210" s="10">
        <f t="shared" si="60"/>
        <v>18287392</v>
      </c>
      <c r="I210" s="10">
        <f t="shared" si="60"/>
        <v>14470069</v>
      </c>
      <c r="J210" s="9">
        <f>SUM(D210:I210)</f>
        <v>118293268</v>
      </c>
    </row>
    <row r="211" spans="1:10" s="2" customFormat="1" x14ac:dyDescent="0.3">
      <c r="A211" s="595" t="s">
        <v>44</v>
      </c>
      <c r="B211" s="596"/>
      <c r="C211" s="596"/>
      <c r="D211" s="596"/>
      <c r="E211" s="596"/>
      <c r="F211" s="596"/>
      <c r="G211" s="596"/>
      <c r="H211" s="596"/>
      <c r="I211" s="596"/>
      <c r="J211" s="597"/>
    </row>
    <row r="212" spans="1:10" ht="15.6" x14ac:dyDescent="0.3">
      <c r="A212" s="591" t="s">
        <v>43</v>
      </c>
      <c r="B212" s="592"/>
      <c r="C212" s="11" t="s">
        <v>31</v>
      </c>
      <c r="D212" s="26">
        <f>Bangula!G212+Bangula!H212+Bangula!I212</f>
        <v>0</v>
      </c>
      <c r="E212" s="26">
        <f>Chikwawa!G212+Chikwawa!H212+Chikwawa!I212</f>
        <v>0</v>
      </c>
      <c r="F212" s="26">
        <f>'Miseu Folo'!G212+'Miseu Folo'!H212+'Miseu Folo'!I212</f>
        <v>0</v>
      </c>
      <c r="G212" s="26">
        <f>Nchalo!G212+Nchalo!H212+Nchalo!I212</f>
        <v>0</v>
      </c>
      <c r="H212" s="26">
        <f>Nsanje!G212+Nsanje!H212+Nsanje!I212</f>
        <v>0</v>
      </c>
      <c r="I212" s="26">
        <f>Ngabu!G212+Ngabu!H212+Ngabu!I212</f>
        <v>0</v>
      </c>
      <c r="J212" s="9">
        <f>SUM(D212:I212)</f>
        <v>0</v>
      </c>
    </row>
    <row r="213" spans="1:10" ht="15.6" x14ac:dyDescent="0.3">
      <c r="A213" s="591" t="s">
        <v>42</v>
      </c>
      <c r="B213" s="592"/>
      <c r="C213" s="11" t="s">
        <v>31</v>
      </c>
      <c r="D213" s="26">
        <f>Bangula!G213+Bangula!H213+Bangula!I213</f>
        <v>0</v>
      </c>
      <c r="E213" s="26">
        <f>Chikwawa!G213+Chikwawa!H213+Chikwawa!I213</f>
        <v>0</v>
      </c>
      <c r="F213" s="26">
        <f>'Miseu Folo'!G213+'Miseu Folo'!H213+'Miseu Folo'!I213</f>
        <v>0</v>
      </c>
      <c r="G213" s="26">
        <f>Nchalo!G213+Nchalo!H213+Nchalo!I213</f>
        <v>0</v>
      </c>
      <c r="H213" s="26">
        <f>Nsanje!G213+Nsanje!H213+Nsanje!I213</f>
        <v>0</v>
      </c>
      <c r="I213" s="26">
        <f>Ngabu!G213+Ngabu!H213+Ngabu!I213</f>
        <v>0</v>
      </c>
      <c r="J213" s="9">
        <f>SUM(D213:I213)</f>
        <v>0</v>
      </c>
    </row>
    <row r="214" spans="1:10" ht="15.6" x14ac:dyDescent="0.3">
      <c r="A214" s="598" t="s">
        <v>41</v>
      </c>
      <c r="B214" s="599"/>
      <c r="C214" s="11" t="s">
        <v>31</v>
      </c>
      <c r="D214" s="26">
        <f>Bangula!G214+Bangula!H214+Bangula!I214</f>
        <v>0</v>
      </c>
      <c r="E214" s="26">
        <f>Chikwawa!G214+Chikwawa!H214+Chikwawa!I214</f>
        <v>0</v>
      </c>
      <c r="F214" s="26">
        <f>'Miseu Folo'!G214+'Miseu Folo'!H214+'Miseu Folo'!I214</f>
        <v>0</v>
      </c>
      <c r="G214" s="26">
        <f>Nchalo!G214+Nchalo!H214+Nchalo!I214</f>
        <v>0</v>
      </c>
      <c r="H214" s="26">
        <f>Nsanje!G214+Nsanje!H214+Nsanje!I214</f>
        <v>0</v>
      </c>
      <c r="I214" s="26">
        <f>Ngabu!G214+Ngabu!H214+Ngabu!I214</f>
        <v>0</v>
      </c>
      <c r="J214" s="9">
        <f>SUM(D214:I214)</f>
        <v>0</v>
      </c>
    </row>
    <row r="215" spans="1:10" ht="15.6" x14ac:dyDescent="0.3">
      <c r="A215" s="591" t="s">
        <v>40</v>
      </c>
      <c r="B215" s="592"/>
      <c r="C215" s="11" t="s">
        <v>31</v>
      </c>
      <c r="D215" s="26">
        <f>Bangula!G215+Bangula!H215+Bangula!I215</f>
        <v>12680881</v>
      </c>
      <c r="E215" s="26">
        <f>Chikwawa!G215+Chikwawa!H215+Chikwawa!I215</f>
        <v>51847787.689999998</v>
      </c>
      <c r="F215" s="26">
        <f>'Miseu Folo'!G215+'Miseu Folo'!H215+'Miseu Folo'!I215</f>
        <v>6187839</v>
      </c>
      <c r="G215" s="26">
        <f>Nchalo!G215+Nchalo!H215+Nchalo!I215</f>
        <v>9593983.6799999997</v>
      </c>
      <c r="H215" s="26">
        <f>Nsanje!G215+Nsanje!H215+Nsanje!I215</f>
        <v>39346606.060000002</v>
      </c>
      <c r="I215" s="26">
        <f>Ngabu!G215+Ngabu!H215+Ngabu!I215</f>
        <v>16187115.57</v>
      </c>
      <c r="J215" s="9">
        <f>SUM(D215:I215)</f>
        <v>135844213</v>
      </c>
    </row>
    <row r="216" spans="1:10" ht="15.6" x14ac:dyDescent="0.3">
      <c r="A216" s="656" t="s">
        <v>39</v>
      </c>
      <c r="B216" s="657"/>
      <c r="C216" s="11" t="s">
        <v>31</v>
      </c>
      <c r="D216" s="10">
        <f t="shared" ref="D216:I216" si="61">SUM(D212:D215)</f>
        <v>12680881</v>
      </c>
      <c r="E216" s="10">
        <f t="shared" si="61"/>
        <v>51847787.689999998</v>
      </c>
      <c r="F216" s="10">
        <f t="shared" si="61"/>
        <v>6187839</v>
      </c>
      <c r="G216" s="10">
        <f t="shared" si="61"/>
        <v>9593983.6799999997</v>
      </c>
      <c r="H216" s="10">
        <f>SUM(H212:H215)</f>
        <v>39346606.060000002</v>
      </c>
      <c r="I216" s="10">
        <f t="shared" si="61"/>
        <v>16187115.57</v>
      </c>
      <c r="J216" s="9">
        <f>SUM(D216:I216)</f>
        <v>135844213</v>
      </c>
    </row>
    <row r="217" spans="1:10" s="2" customFormat="1" ht="15.6" x14ac:dyDescent="0.3">
      <c r="A217" s="76" t="s">
        <v>38</v>
      </c>
      <c r="B217" s="77"/>
      <c r="C217" s="11" t="s">
        <v>31</v>
      </c>
      <c r="D217" s="10">
        <f>D210+D216</f>
        <v>24500910</v>
      </c>
      <c r="E217" s="10">
        <f t="shared" ref="E217:J217" si="62">E210+E216</f>
        <v>90572829.689999998</v>
      </c>
      <c r="F217" s="10">
        <f t="shared" si="62"/>
        <v>7488289</v>
      </c>
      <c r="G217" s="10">
        <f t="shared" si="62"/>
        <v>43284269.68</v>
      </c>
      <c r="H217" s="10">
        <f t="shared" si="62"/>
        <v>57633998.060000002</v>
      </c>
      <c r="I217" s="10">
        <f t="shared" si="62"/>
        <v>30657184.57</v>
      </c>
      <c r="J217" s="40">
        <f t="shared" si="62"/>
        <v>254137481</v>
      </c>
    </row>
    <row r="218" spans="1:10" s="2" customFormat="1" x14ac:dyDescent="0.3">
      <c r="A218" s="595" t="s">
        <v>37</v>
      </c>
      <c r="B218" s="596"/>
      <c r="C218" s="596"/>
      <c r="D218" s="596"/>
      <c r="E218" s="596"/>
      <c r="F218" s="596"/>
      <c r="G218" s="596"/>
      <c r="H218" s="596"/>
      <c r="I218" s="596"/>
      <c r="J218" s="597"/>
    </row>
    <row r="219" spans="1:10" ht="15.6" x14ac:dyDescent="0.3">
      <c r="A219" s="591" t="s">
        <v>35</v>
      </c>
      <c r="B219" s="592"/>
      <c r="C219" s="11" t="s">
        <v>31</v>
      </c>
      <c r="D219" s="26">
        <f>Bangula!G219+Bangula!H219+Bangula!I219</f>
        <v>11855131.129999999</v>
      </c>
      <c r="E219" s="26">
        <f>Chikwawa!G219+Chikwawa!H219+Chikwawa!I219</f>
        <v>39847661.640000001</v>
      </c>
      <c r="F219" s="26">
        <f>'Miseu Folo'!G219+'Miseu Folo'!H219+'Miseu Folo'!I219</f>
        <v>2435532</v>
      </c>
      <c r="G219" s="26">
        <f>Nchalo!G219+Nchalo!H219+Nchalo!I219</f>
        <v>34635013.329999998</v>
      </c>
      <c r="H219" s="26">
        <f>Nsanje!G219+Nsanje!H219+Nsanje!I219</f>
        <v>21895285.140000001</v>
      </c>
      <c r="I219" s="26">
        <f>Ngabu!G219+Ngabu!H219+Ngabu!I219</f>
        <v>15026876.5</v>
      </c>
      <c r="J219" s="9">
        <f>SUM(D219:I219)</f>
        <v>125695499.73999999</v>
      </c>
    </row>
    <row r="220" spans="1:10" ht="15.6" x14ac:dyDescent="0.3">
      <c r="A220" s="591" t="s">
        <v>34</v>
      </c>
      <c r="B220" s="592"/>
      <c r="C220" s="11" t="s">
        <v>31</v>
      </c>
      <c r="D220" s="26">
        <f>Bangula!G220+Bangula!H220+Bangula!I220</f>
        <v>809109.98</v>
      </c>
      <c r="E220" s="26">
        <f>Chikwawa!G220+Chikwawa!H220+Chikwawa!I220</f>
        <v>407945.95999999996</v>
      </c>
      <c r="F220" s="26">
        <f>'Miseu Folo'!G220+'Miseu Folo'!H220+'Miseu Folo'!I220</f>
        <v>0</v>
      </c>
      <c r="G220" s="26">
        <f>Nchalo!G220+Nchalo!H220+Nchalo!I220</f>
        <v>395600.18</v>
      </c>
      <c r="H220" s="26">
        <f>Nsanje!G220+Nsanje!H220+Nsanje!I220</f>
        <v>360821.36</v>
      </c>
      <c r="I220" s="26">
        <f>Ngabu!G220+Ngabu!H220+Ngabu!I220</f>
        <v>563924.32999999996</v>
      </c>
      <c r="J220" s="9">
        <f>SUM(D220:I220)</f>
        <v>2537401.81</v>
      </c>
    </row>
    <row r="221" spans="1:10" ht="15.6" x14ac:dyDescent="0.3">
      <c r="A221" s="591" t="s">
        <v>33</v>
      </c>
      <c r="B221" s="592"/>
      <c r="C221" s="11" t="s">
        <v>31</v>
      </c>
      <c r="D221" s="26">
        <f>Bangula!G221+Bangula!H221+Bangula!I221</f>
        <v>499322.98</v>
      </c>
      <c r="E221" s="26">
        <f>Chikwawa!G221+Chikwawa!H221+Chikwawa!I221</f>
        <v>2093019.25</v>
      </c>
      <c r="F221" s="26">
        <f>'Miseu Folo'!G221+'Miseu Folo'!H221+'Miseu Folo'!I221</f>
        <v>84110</v>
      </c>
      <c r="G221" s="26">
        <f>Nchalo!G221+Nchalo!H221+Nchalo!I221</f>
        <v>1035658.88</v>
      </c>
      <c r="H221" s="26">
        <f>Nsanje!G221+Nsanje!H221+Nsanje!I221</f>
        <v>1375546.68</v>
      </c>
      <c r="I221" s="26">
        <f>Ngabu!G221+Ngabu!H221+Ngabu!I221</f>
        <v>1266687.29</v>
      </c>
      <c r="J221" s="9">
        <f>SUM(D221:I221)</f>
        <v>6354345.0800000001</v>
      </c>
    </row>
    <row r="222" spans="1:10" ht="15.6" x14ac:dyDescent="0.3">
      <c r="A222" s="591" t="s">
        <v>32</v>
      </c>
      <c r="B222" s="592"/>
      <c r="C222" s="11" t="s">
        <v>31</v>
      </c>
      <c r="D222" s="26">
        <f>Bangula!G222+Bangula!H222+Bangula!I222</f>
        <v>87431</v>
      </c>
      <c r="E222" s="26">
        <f>Chikwawa!G222+Chikwawa!H222+Chikwawa!I222</f>
        <v>707935.39</v>
      </c>
      <c r="F222" s="26">
        <f>'Miseu Folo'!G222+'Miseu Folo'!H222+'Miseu Folo'!I222</f>
        <v>142748</v>
      </c>
      <c r="G222" s="26">
        <f>Nchalo!G222+Nchalo!H222+Nchalo!I222</f>
        <v>2831701.98</v>
      </c>
      <c r="H222" s="26">
        <f>Nsanje!G222+Nsanje!H222+Nsanje!I222</f>
        <v>1745386.17</v>
      </c>
      <c r="I222" s="26">
        <f>Ngabu!G222+Ngabu!H222+Ngabu!I222</f>
        <v>472402.04000000004</v>
      </c>
      <c r="J222" s="9">
        <f>SUM(D222:I222)</f>
        <v>5987604.5800000001</v>
      </c>
    </row>
    <row r="223" spans="1:10" ht="15.6" x14ac:dyDescent="0.3">
      <c r="A223" s="656" t="s">
        <v>36</v>
      </c>
      <c r="B223" s="657"/>
      <c r="C223" s="11" t="s">
        <v>31</v>
      </c>
      <c r="D223" s="12">
        <f t="shared" ref="D223:I223" si="63">SUM(D219:D222)</f>
        <v>13250995.09</v>
      </c>
      <c r="E223" s="10">
        <f t="shared" si="63"/>
        <v>43056562.240000002</v>
      </c>
      <c r="F223" s="10">
        <f t="shared" si="63"/>
        <v>2662390</v>
      </c>
      <c r="G223" s="10">
        <f t="shared" si="63"/>
        <v>38897974.369999997</v>
      </c>
      <c r="H223" s="10">
        <f t="shared" si="63"/>
        <v>25377039.350000001</v>
      </c>
      <c r="I223" s="10">
        <f t="shared" si="63"/>
        <v>17329890.16</v>
      </c>
      <c r="J223" s="9">
        <f>SUM(D223:I223)</f>
        <v>140574851.20999998</v>
      </c>
    </row>
    <row r="224" spans="1:10" x14ac:dyDescent="0.3">
      <c r="A224" s="595" t="s">
        <v>211</v>
      </c>
      <c r="B224" s="596"/>
      <c r="C224" s="596"/>
      <c r="D224" s="596"/>
      <c r="E224" s="596"/>
      <c r="F224" s="596"/>
      <c r="G224" s="596"/>
      <c r="H224" s="596"/>
      <c r="I224" s="596"/>
      <c r="J224" s="597"/>
    </row>
    <row r="225" spans="1:10" ht="15.6" x14ac:dyDescent="0.3">
      <c r="A225" s="591" t="s">
        <v>35</v>
      </c>
      <c r="B225" s="592"/>
      <c r="C225" s="11" t="s">
        <v>31</v>
      </c>
      <c r="D225" s="26">
        <f>Bangula!G225+Bangula!H225+Bangula!I225</f>
        <v>0</v>
      </c>
      <c r="E225" s="26">
        <f>Chikwawa!G225+Chikwawa!H225+Chikwawa!I225</f>
        <v>0</v>
      </c>
      <c r="F225" s="26">
        <f>'Miseu Folo'!G225+'Miseu Folo'!H225+'Miseu Folo'!I225</f>
        <v>0</v>
      </c>
      <c r="G225" s="26">
        <f>Nchalo!G225+Nchalo!H225+Nchalo!I225</f>
        <v>0</v>
      </c>
      <c r="H225" s="26">
        <f>Nsanje!G225+Nsanje!H225+Nsanje!I225</f>
        <v>0</v>
      </c>
      <c r="I225" s="26">
        <f>Ngabu!G225+Ngabu!H225+Ngabu!I225</f>
        <v>0</v>
      </c>
      <c r="J225" s="9">
        <f t="shared" ref="J225:J230" si="64">SUM(D225:I225)</f>
        <v>0</v>
      </c>
    </row>
    <row r="226" spans="1:10" ht="15.6" x14ac:dyDescent="0.3">
      <c r="A226" s="591" t="s">
        <v>34</v>
      </c>
      <c r="B226" s="592"/>
      <c r="C226" s="11" t="s">
        <v>31</v>
      </c>
      <c r="D226" s="26">
        <f>Bangula!G226+Bangula!H226+Bangula!I226</f>
        <v>0</v>
      </c>
      <c r="E226" s="26">
        <f>Chikwawa!G226+Chikwawa!H226+Chikwawa!I226</f>
        <v>0</v>
      </c>
      <c r="F226" s="26">
        <f>'Miseu Folo'!G226+'Miseu Folo'!H226+'Miseu Folo'!I226</f>
        <v>0</v>
      </c>
      <c r="G226" s="26">
        <f>Nchalo!G226+Nchalo!H226+Nchalo!I226</f>
        <v>0</v>
      </c>
      <c r="H226" s="26">
        <f>Nsanje!G226+Nsanje!H226+Nsanje!I226</f>
        <v>0</v>
      </c>
      <c r="I226" s="26">
        <f>Ngabu!G226+Ngabu!H226+Ngabu!I226</f>
        <v>0</v>
      </c>
      <c r="J226" s="9">
        <f t="shared" si="64"/>
        <v>0</v>
      </c>
    </row>
    <row r="227" spans="1:10" ht="15.6" x14ac:dyDescent="0.3">
      <c r="A227" s="591" t="s">
        <v>33</v>
      </c>
      <c r="B227" s="592"/>
      <c r="C227" s="11" t="s">
        <v>31</v>
      </c>
      <c r="D227" s="26">
        <f>Bangula!G227+Bangula!H227+Bangula!I227</f>
        <v>12396940.039999999</v>
      </c>
      <c r="E227" s="26">
        <f>Chikwawa!G227+Chikwawa!H227+Chikwawa!I227</f>
        <v>49080028.539999992</v>
      </c>
      <c r="F227" s="26">
        <f>'Miseu Folo'!G227+'Miseu Folo'!H227+'Miseu Folo'!I227</f>
        <v>6187839</v>
      </c>
      <c r="G227" s="26">
        <f>Nchalo!G227+Nchalo!H227+Nchalo!I227</f>
        <v>16626512.550000001</v>
      </c>
      <c r="H227" s="26">
        <f>Nsanje!G227+Nsanje!H227+Nsanje!I227</f>
        <v>31927440.060000002</v>
      </c>
      <c r="I227" s="26">
        <f>Ngabu!G227+Ngabu!H227+Ngabu!I227</f>
        <v>15853201.41</v>
      </c>
      <c r="J227" s="9">
        <f t="shared" si="64"/>
        <v>132071961.59999998</v>
      </c>
    </row>
    <row r="228" spans="1:10" ht="15.6" x14ac:dyDescent="0.3">
      <c r="A228" s="591" t="s">
        <v>32</v>
      </c>
      <c r="B228" s="592"/>
      <c r="C228" s="11" t="s">
        <v>31</v>
      </c>
      <c r="D228" s="26">
        <f>Bangula!G228+Bangula!H228+Bangula!I228</f>
        <v>0</v>
      </c>
      <c r="E228" s="26">
        <f>Chikwawa!G228+Chikwawa!H228+Chikwawa!I228</f>
        <v>0</v>
      </c>
      <c r="F228" s="26">
        <f>'Miseu Folo'!G228+'Miseu Folo'!H228+'Miseu Folo'!I228</f>
        <v>0</v>
      </c>
      <c r="G228" s="26">
        <f>Nchalo!G228+Nchalo!H228+Nchalo!I228</f>
        <v>0</v>
      </c>
      <c r="H228" s="26">
        <f>Nsanje!G228+Nsanje!H228+Nsanje!I228</f>
        <v>0</v>
      </c>
      <c r="I228" s="26">
        <f>Ngabu!G228+Ngabu!H228+Ngabu!I228</f>
        <v>0</v>
      </c>
      <c r="J228" s="9">
        <f t="shared" si="64"/>
        <v>0</v>
      </c>
    </row>
    <row r="229" spans="1:10" ht="15.6" x14ac:dyDescent="0.3">
      <c r="A229" s="656" t="s">
        <v>212</v>
      </c>
      <c r="B229" s="657"/>
      <c r="C229" s="11" t="s">
        <v>31</v>
      </c>
      <c r="D229" s="12">
        <f t="shared" ref="D229:I229" si="65">SUM(D225:D228)</f>
        <v>12396940.039999999</v>
      </c>
      <c r="E229" s="10">
        <f t="shared" si="65"/>
        <v>49080028.539999992</v>
      </c>
      <c r="F229" s="10">
        <f t="shared" si="65"/>
        <v>6187839</v>
      </c>
      <c r="G229" s="10">
        <f t="shared" si="65"/>
        <v>16626512.550000001</v>
      </c>
      <c r="H229" s="10">
        <f t="shared" si="65"/>
        <v>31927440.060000002</v>
      </c>
      <c r="I229" s="10">
        <f t="shared" si="65"/>
        <v>15853201.41</v>
      </c>
      <c r="J229" s="9">
        <f t="shared" si="64"/>
        <v>132071961.59999998</v>
      </c>
    </row>
    <row r="230" spans="1:10" ht="15.6" x14ac:dyDescent="0.3">
      <c r="A230" s="76" t="s">
        <v>213</v>
      </c>
      <c r="B230" s="120"/>
      <c r="C230" s="11" t="s">
        <v>31</v>
      </c>
      <c r="D230" s="12">
        <f>D223+D229</f>
        <v>25647935.129999999</v>
      </c>
      <c r="E230" s="12">
        <f t="shared" ref="E230:I230" si="66">E223+E229</f>
        <v>92136590.780000001</v>
      </c>
      <c r="F230" s="12">
        <f t="shared" si="66"/>
        <v>8850229</v>
      </c>
      <c r="G230" s="12">
        <f t="shared" si="66"/>
        <v>55524486.920000002</v>
      </c>
      <c r="H230" s="12">
        <f t="shared" si="66"/>
        <v>57304479.410000004</v>
      </c>
      <c r="I230" s="12">
        <f t="shared" si="66"/>
        <v>33183091.57</v>
      </c>
      <c r="J230" s="9">
        <f t="shared" si="64"/>
        <v>272646812.81</v>
      </c>
    </row>
    <row r="231" spans="1:10" x14ac:dyDescent="0.3">
      <c r="A231" s="595" t="s">
        <v>30</v>
      </c>
      <c r="B231" s="596"/>
      <c r="C231" s="596"/>
      <c r="D231" s="596"/>
      <c r="E231" s="596"/>
      <c r="F231" s="596"/>
      <c r="G231" s="596"/>
      <c r="H231" s="596"/>
      <c r="I231" s="596"/>
      <c r="J231" s="597"/>
    </row>
    <row r="232" spans="1:10" ht="15.6" x14ac:dyDescent="0.3">
      <c r="A232" s="591" t="s">
        <v>29</v>
      </c>
      <c r="B232" s="592"/>
      <c r="C232" s="11" t="s">
        <v>18</v>
      </c>
      <c r="D232" s="26">
        <f>Bangula!G232+Bangula!H232+Bangula!I232</f>
        <v>839876.58000000007</v>
      </c>
      <c r="E232" s="26">
        <f>Chikwawa!G232+Chikwawa!H232+Chikwawa!I232</f>
        <v>2904596.1</v>
      </c>
      <c r="F232" s="26">
        <f>'Miseu Folo'!G232+'Miseu Folo'!H232+'Miseu Folo'!I232</f>
        <v>193202</v>
      </c>
      <c r="G232" s="26">
        <f>Nchalo!G232+Nchalo!H232+Nchalo!I232</f>
        <v>2103877.77</v>
      </c>
      <c r="H232" s="26">
        <f>Nsanje!G232+Nsanje!H232+Nsanje!I232</f>
        <v>1550636.1</v>
      </c>
      <c r="I232" s="26">
        <f>Ngabu!G232+Ngabu!H232+Ngabu!I232</f>
        <v>1189143.57</v>
      </c>
      <c r="J232" s="9">
        <f>SUM(D232:I232)</f>
        <v>8781332.120000001</v>
      </c>
    </row>
    <row r="233" spans="1:10" ht="15.6" x14ac:dyDescent="0.3">
      <c r="A233" s="591" t="s">
        <v>28</v>
      </c>
      <c r="B233" s="592"/>
      <c r="C233" s="11" t="s">
        <v>18</v>
      </c>
      <c r="D233" s="26">
        <f>Bangula!G233+Bangula!H233+Bangula!I233</f>
        <v>8172.24</v>
      </c>
      <c r="E233" s="26">
        <f>Chikwawa!G233+Chikwawa!H233+Chikwawa!I233</f>
        <v>5738.79</v>
      </c>
      <c r="F233" s="26">
        <f>'Miseu Folo'!G233+'Miseu Folo'!H233+'Miseu Folo'!I233</f>
        <v>0</v>
      </c>
      <c r="G233" s="26">
        <f>Nchalo!G233+Nchalo!H233+Nchalo!I233</f>
        <v>4173.12</v>
      </c>
      <c r="H233" s="26">
        <f>Nsanje!G233+Nsanje!H233+Nsanje!I233</f>
        <v>4173.12</v>
      </c>
      <c r="I233" s="26">
        <f>Ngabu!G233+Ngabu!H233+Ngabu!I233</f>
        <v>9911.91</v>
      </c>
      <c r="J233" s="9">
        <f>SUM(D233:I233)</f>
        <v>32169.179999999997</v>
      </c>
    </row>
    <row r="234" spans="1:10" ht="15.6" x14ac:dyDescent="0.3">
      <c r="A234" s="591" t="s">
        <v>27</v>
      </c>
      <c r="B234" s="592"/>
      <c r="C234" s="11" t="s">
        <v>18</v>
      </c>
      <c r="D234" s="26">
        <f>Bangula!G234+Bangula!H234+Bangula!I234</f>
        <v>49362.65</v>
      </c>
      <c r="E234" s="26">
        <f>Chikwawa!G234+Chikwawa!H234+Chikwawa!I234</f>
        <v>200533.86</v>
      </c>
      <c r="F234" s="26">
        <f>'Miseu Folo'!G234+'Miseu Folo'!H234+'Miseu Folo'!I234</f>
        <v>33937</v>
      </c>
      <c r="G234" s="26">
        <f>Nchalo!G234+Nchalo!H234+Nchalo!I234</f>
        <v>74043.040000000008</v>
      </c>
      <c r="H234" s="26">
        <f>Nsanje!G234+Nsanje!H234+Nsanje!I234</f>
        <v>123405.82</v>
      </c>
      <c r="I234" s="26">
        <f>Ngabu!G234+Ngabu!H234+Ngabu!I234</f>
        <v>101809.3</v>
      </c>
      <c r="J234" s="9">
        <f>SUM(D234:I234)</f>
        <v>583091.67000000004</v>
      </c>
    </row>
    <row r="235" spans="1:10" ht="15.6" x14ac:dyDescent="0.3">
      <c r="A235" s="591" t="s">
        <v>26</v>
      </c>
      <c r="B235" s="592"/>
      <c r="C235" s="11" t="s">
        <v>18</v>
      </c>
      <c r="D235" s="26">
        <f>Bangula!G235+Bangula!H235+Bangula!I235</f>
        <v>16864</v>
      </c>
      <c r="E235" s="26">
        <f>Chikwawa!G235+Chikwawa!H235+Chikwawa!I235</f>
        <v>126473.7</v>
      </c>
      <c r="F235" s="26">
        <f>'Miseu Folo'!G235+'Miseu Folo'!H235+'Miseu Folo'!I235</f>
        <v>29511</v>
      </c>
      <c r="G235" s="26">
        <f>Nchalo!G235+Nchalo!H235+Nchalo!I235</f>
        <v>113825.7</v>
      </c>
      <c r="H235" s="26">
        <f>Nsanje!G235+Nsanje!H235+Nsanje!I235</f>
        <v>25295.54</v>
      </c>
      <c r="I235" s="26">
        <f>Ngabu!G235+Ngabu!H235+Ngabu!I235</f>
        <v>71668.62</v>
      </c>
      <c r="J235" s="9">
        <f>SUM(D235:I235)</f>
        <v>383638.56</v>
      </c>
    </row>
    <row r="236" spans="1:10" ht="15.6" x14ac:dyDescent="0.3">
      <c r="A236" s="656" t="s">
        <v>25</v>
      </c>
      <c r="B236" s="657"/>
      <c r="C236" s="11" t="s">
        <v>18</v>
      </c>
      <c r="D236" s="12">
        <f t="shared" ref="D236:I236" si="67">SUM(D232:D235)</f>
        <v>914275.47000000009</v>
      </c>
      <c r="E236" s="12">
        <f t="shared" si="67"/>
        <v>3237342.45</v>
      </c>
      <c r="F236" s="12">
        <f t="shared" si="67"/>
        <v>256650</v>
      </c>
      <c r="G236" s="12">
        <f t="shared" si="67"/>
        <v>2295919.6300000004</v>
      </c>
      <c r="H236" s="12">
        <f t="shared" si="67"/>
        <v>1703510.5800000003</v>
      </c>
      <c r="I236" s="12">
        <f t="shared" si="67"/>
        <v>1372533.4</v>
      </c>
      <c r="J236" s="40">
        <f t="shared" ref="J236" si="68">SUM(J232:J235)</f>
        <v>9780231.5300000012</v>
      </c>
    </row>
    <row r="237" spans="1:10" x14ac:dyDescent="0.3">
      <c r="A237" s="595" t="s">
        <v>24</v>
      </c>
      <c r="B237" s="596"/>
      <c r="C237" s="596"/>
      <c r="D237" s="596"/>
      <c r="E237" s="596"/>
      <c r="F237" s="596"/>
      <c r="G237" s="596"/>
      <c r="H237" s="596"/>
      <c r="I237" s="596"/>
      <c r="J237" s="597"/>
    </row>
    <row r="238" spans="1:10" ht="15.6" x14ac:dyDescent="0.3">
      <c r="A238" s="591" t="s">
        <v>23</v>
      </c>
      <c r="B238" s="592"/>
      <c r="C238" s="11" t="s">
        <v>18</v>
      </c>
      <c r="D238" s="26">
        <f>Bangula!G238+Bangula!H238+Bangula!I238</f>
        <v>1439516</v>
      </c>
      <c r="E238" s="26">
        <f>Chikwawa!G238+Chikwawa!H238+Chikwawa!I238</f>
        <v>5387469</v>
      </c>
      <c r="F238" s="26">
        <f>'Miseu Folo'!G238+'Miseu Folo'!H238+'Miseu Folo'!I238</f>
        <v>348270</v>
      </c>
      <c r="G238" s="26">
        <f>Nchalo!G238+Nchalo!H238+Nchalo!I238</f>
        <v>3771139</v>
      </c>
      <c r="H238" s="26">
        <f>Nsanje!G238+Nsanje!H238+Nsanje!I238</f>
        <v>2716506</v>
      </c>
      <c r="I238" s="26">
        <f>Ngabu!G238+Ngabu!H238+Ngabu!I238</f>
        <v>2179813</v>
      </c>
      <c r="J238" s="9">
        <f>SUM(D238:I238)</f>
        <v>15842713</v>
      </c>
    </row>
    <row r="239" spans="1:10" ht="15.6" x14ac:dyDescent="0.3">
      <c r="A239" s="591" t="s">
        <v>22</v>
      </c>
      <c r="B239" s="592"/>
      <c r="C239" s="11" t="s">
        <v>18</v>
      </c>
      <c r="D239" s="26">
        <f>Bangula!G239+Bangula!H239+Bangula!I239</f>
        <v>41971</v>
      </c>
      <c r="E239" s="26">
        <f>Chikwawa!G239+Chikwawa!H239+Chikwawa!I239</f>
        <v>29469</v>
      </c>
      <c r="F239" s="26">
        <f>'Miseu Folo'!G239+'Miseu Folo'!H239+'Miseu Folo'!I239</f>
        <v>0</v>
      </c>
      <c r="G239" s="26">
        <f>Nchalo!G239+Nchalo!H239+Nchalo!I239</f>
        <v>21432</v>
      </c>
      <c r="H239" s="26">
        <f>Nsanje!G239+Nsanje!H239+Nsanje!I239</f>
        <v>21432</v>
      </c>
      <c r="I239" s="26">
        <f>Ngabu!G239+Ngabu!H239+Ngabu!I239</f>
        <v>50901</v>
      </c>
      <c r="J239" s="9">
        <f>SUM(D239:I239)</f>
        <v>165205</v>
      </c>
    </row>
    <row r="240" spans="1:10" ht="15.6" x14ac:dyDescent="0.3">
      <c r="A240" s="591" t="s">
        <v>21</v>
      </c>
      <c r="B240" s="592"/>
      <c r="C240" s="11" t="s">
        <v>18</v>
      </c>
      <c r="D240" s="26">
        <f>Bangula!G240+Bangula!H240+Bangula!I240</f>
        <v>14288</v>
      </c>
      <c r="E240" s="26">
        <f>Chikwawa!G240+Chikwawa!H240+Chikwawa!I240</f>
        <v>58045</v>
      </c>
      <c r="F240" s="26">
        <f>'Miseu Folo'!G240+'Miseu Folo'!H240+'Miseu Folo'!I240</f>
        <v>9823</v>
      </c>
      <c r="G240" s="26">
        <f>Nchalo!G240+Nchalo!H240+Nchalo!I240</f>
        <v>21432</v>
      </c>
      <c r="H240" s="26">
        <f>Nsanje!G240+Nsanje!H240+Nsanje!I240</f>
        <v>35720</v>
      </c>
      <c r="I240" s="26">
        <f>Ngabu!G240+Ngabu!H240+Ngabu!I240</f>
        <v>29469</v>
      </c>
      <c r="J240" s="9">
        <f>SUM(D240:I240)</f>
        <v>168777</v>
      </c>
    </row>
    <row r="241" spans="1:10" ht="15.6" x14ac:dyDescent="0.3">
      <c r="A241" s="591" t="s">
        <v>20</v>
      </c>
      <c r="B241" s="592"/>
      <c r="C241" s="11" t="s">
        <v>18</v>
      </c>
      <c r="D241" s="26">
        <f>Bangula!G241+Bangula!H241+Bangula!I241</f>
        <v>3572</v>
      </c>
      <c r="E241" s="26">
        <f>Chikwawa!G241+Chikwawa!H241+Chikwawa!I241</f>
        <v>26790</v>
      </c>
      <c r="F241" s="26">
        <f>'Miseu Folo'!G241+'Miseu Folo'!H241+'Miseu Folo'!I241</f>
        <v>6251</v>
      </c>
      <c r="G241" s="26">
        <f>Nchalo!G241+Nchalo!H241+Nchalo!I241</f>
        <v>24111</v>
      </c>
      <c r="H241" s="26">
        <f>Nsanje!G241+Nsanje!H241+Nsanje!I241</f>
        <v>5358</v>
      </c>
      <c r="I241" s="26">
        <f>Ngabu!G241+Ngabu!H241+Ngabu!I241</f>
        <v>15181</v>
      </c>
      <c r="J241" s="9">
        <f>SUM(D241:I241)</f>
        <v>81263</v>
      </c>
    </row>
    <row r="242" spans="1:10" ht="15.6" x14ac:dyDescent="0.3">
      <c r="A242" s="656" t="s">
        <v>19</v>
      </c>
      <c r="B242" s="657"/>
      <c r="C242" s="11" t="s">
        <v>18</v>
      </c>
      <c r="D242" s="12">
        <f t="shared" ref="D242:J242" si="69">SUM(D238:D241)</f>
        <v>1499347</v>
      </c>
      <c r="E242" s="12">
        <f t="shared" si="69"/>
        <v>5501773</v>
      </c>
      <c r="F242" s="12">
        <f t="shared" si="69"/>
        <v>364344</v>
      </c>
      <c r="G242" s="12">
        <f t="shared" si="69"/>
        <v>3838114</v>
      </c>
      <c r="H242" s="12">
        <f t="shared" si="69"/>
        <v>2779016</v>
      </c>
      <c r="I242" s="12">
        <f t="shared" si="69"/>
        <v>2275364</v>
      </c>
      <c r="J242" s="40">
        <f t="shared" si="69"/>
        <v>16257958</v>
      </c>
    </row>
    <row r="243" spans="1:10" ht="15.6" x14ac:dyDescent="0.3">
      <c r="A243" s="656" t="s">
        <v>214</v>
      </c>
      <c r="B243" s="657"/>
      <c r="C243" s="11" t="s">
        <v>18</v>
      </c>
      <c r="D243" s="10">
        <f>D230+D236+D242</f>
        <v>28061557.599999998</v>
      </c>
      <c r="E243" s="10">
        <f t="shared" ref="E243:I243" si="70">E230+E236+E242</f>
        <v>100875706.23</v>
      </c>
      <c r="F243" s="10">
        <f t="shared" si="70"/>
        <v>9471223</v>
      </c>
      <c r="G243" s="10">
        <f t="shared" si="70"/>
        <v>61658520.550000004</v>
      </c>
      <c r="H243" s="10">
        <f t="shared" si="70"/>
        <v>61787005.990000002</v>
      </c>
      <c r="I243" s="10">
        <f t="shared" si="70"/>
        <v>36830988.969999999</v>
      </c>
      <c r="J243" s="40">
        <f t="shared" ref="J243" si="71">J216+J223+J236+J242</f>
        <v>302457253.74000001</v>
      </c>
    </row>
    <row r="244" spans="1:10" x14ac:dyDescent="0.3">
      <c r="A244" s="595" t="s">
        <v>204</v>
      </c>
      <c r="B244" s="596"/>
      <c r="C244" s="596"/>
      <c r="D244" s="596"/>
      <c r="E244" s="596"/>
      <c r="F244" s="596"/>
      <c r="G244" s="596"/>
      <c r="H244" s="596"/>
      <c r="I244" s="596"/>
      <c r="J244" s="597"/>
    </row>
    <row r="245" spans="1:10" ht="15.6" x14ac:dyDescent="0.3">
      <c r="A245" s="663" t="s">
        <v>205</v>
      </c>
      <c r="B245" s="664"/>
      <c r="C245" s="11" t="s">
        <v>18</v>
      </c>
      <c r="D245" s="15">
        <f>Bangula!G245+Bangula!H245+Bangula!I245</f>
        <v>66657853.219999999</v>
      </c>
      <c r="E245" s="15">
        <f>Chikwawa!G245+Chikwawa!H245+Chikwawa!I245</f>
        <v>262172989.37</v>
      </c>
      <c r="F245" s="15">
        <f>'Miseu Folo'!G245+'Miseu Folo'!H245+'Miseu Folo'!I245</f>
        <v>9084048.1000000015</v>
      </c>
      <c r="G245" s="15">
        <f>Nchalo!G245+Nchalo!H245+Nchalo!I245</f>
        <v>158233235.16</v>
      </c>
      <c r="H245" s="15">
        <f>Nsanje!G245+Nsanje!H245+Nsanje!I245</f>
        <v>80347304.929999992</v>
      </c>
      <c r="I245" s="15">
        <f>Ngabu!G245+Ngabu!H245+Ngabu!I245</f>
        <v>116630059.43000001</v>
      </c>
      <c r="J245" s="40">
        <f t="shared" ref="J245" si="72">SUM(J241:J244)</f>
        <v>318796474.74000001</v>
      </c>
    </row>
    <row r="246" spans="1:10" ht="15.6" x14ac:dyDescent="0.3">
      <c r="A246" s="663" t="s">
        <v>206</v>
      </c>
      <c r="B246" s="664"/>
      <c r="C246" s="11" t="s">
        <v>18</v>
      </c>
      <c r="D246" s="15">
        <f>Bangula!G246+Bangula!H246+Bangula!I246</f>
        <v>0</v>
      </c>
      <c r="E246" s="15">
        <f>Chikwawa!G246+Chikwawa!H246+Chikwawa!I246</f>
        <v>0</v>
      </c>
      <c r="F246" s="15">
        <f>'Miseu Folo'!G246+'Miseu Folo'!H246+'Miseu Folo'!I246</f>
        <v>0</v>
      </c>
      <c r="G246" s="15">
        <f>Nchalo!G246+Nchalo!H246+Nchalo!I246</f>
        <v>0</v>
      </c>
      <c r="H246" s="15">
        <f>Nsanje!G246+Nsanje!H246+Nsanje!I246</f>
        <v>0</v>
      </c>
      <c r="I246" s="15">
        <f>Ngabu!G246+Ngabu!H246+Ngabu!I246</f>
        <v>0</v>
      </c>
      <c r="J246" s="40">
        <f t="shared" ref="J246" si="73">SUM(J242:J245)</f>
        <v>637511686.48000002</v>
      </c>
    </row>
    <row r="247" spans="1:10" ht="15.6" x14ac:dyDescent="0.3">
      <c r="A247" s="665" t="s">
        <v>207</v>
      </c>
      <c r="B247" s="666"/>
      <c r="C247" s="11" t="s">
        <v>18</v>
      </c>
      <c r="D247" s="143">
        <f>D245+D246</f>
        <v>66657853.219999999</v>
      </c>
      <c r="E247" s="143">
        <f t="shared" ref="E247:I247" si="74">E245+E246</f>
        <v>262172989.37</v>
      </c>
      <c r="F247" s="143">
        <f t="shared" si="74"/>
        <v>9084048.1000000015</v>
      </c>
      <c r="G247" s="143">
        <f t="shared" si="74"/>
        <v>158233235.16</v>
      </c>
      <c r="H247" s="143">
        <f t="shared" si="74"/>
        <v>80347304.929999992</v>
      </c>
      <c r="I247" s="143">
        <f t="shared" si="74"/>
        <v>116630059.43000001</v>
      </c>
      <c r="J247" s="40">
        <f t="shared" ref="J247" si="75">SUM(J243:J246)</f>
        <v>1258765414.96</v>
      </c>
    </row>
    <row r="248" spans="1:10" x14ac:dyDescent="0.3">
      <c r="A248" s="595" t="s">
        <v>17</v>
      </c>
      <c r="B248" s="596"/>
      <c r="C248" s="596"/>
      <c r="D248" s="596"/>
      <c r="E248" s="596"/>
      <c r="F248" s="596"/>
      <c r="G248" s="596"/>
      <c r="H248" s="596"/>
      <c r="I248" s="596"/>
      <c r="J248" s="597"/>
    </row>
    <row r="249" spans="1:10" ht="15.6" x14ac:dyDescent="0.3">
      <c r="A249" s="620" t="s">
        <v>16</v>
      </c>
      <c r="B249" s="621"/>
      <c r="C249" s="5" t="s">
        <v>6</v>
      </c>
      <c r="D249" s="8">
        <f>D58/D243%</f>
        <v>39.075067340524242</v>
      </c>
      <c r="E249" s="8">
        <f t="shared" ref="E249:J249" si="76">E58/E243%</f>
        <v>8.3551645832180057</v>
      </c>
      <c r="F249" s="8">
        <f t="shared" si="76"/>
        <v>51.455543481554606</v>
      </c>
      <c r="G249" s="8">
        <f t="shared" si="76"/>
        <v>14.453669978625525</v>
      </c>
      <c r="H249" s="8">
        <f t="shared" si="76"/>
        <v>37.773442216600273</v>
      </c>
      <c r="I249" s="8">
        <f t="shared" si="76"/>
        <v>30.171565126995283</v>
      </c>
      <c r="J249" s="8">
        <f t="shared" si="76"/>
        <v>22.360302536879075</v>
      </c>
    </row>
    <row r="250" spans="1:10" ht="15.6" x14ac:dyDescent="0.3">
      <c r="A250" s="620" t="s">
        <v>208</v>
      </c>
      <c r="B250" s="621"/>
      <c r="C250" s="5" t="s">
        <v>6</v>
      </c>
      <c r="D250" s="29">
        <f>D210/(D223+D245)%</f>
        <v>14.791890072229723</v>
      </c>
      <c r="E250" s="29">
        <f t="shared" ref="E250:J250" si="77">E210/(E223+E245)%</f>
        <v>12.687186347369151</v>
      </c>
      <c r="F250" s="29">
        <f t="shared" si="77"/>
        <v>11.071015646862344</v>
      </c>
      <c r="G250" s="29">
        <f t="shared" si="77"/>
        <v>17.090285237088711</v>
      </c>
      <c r="H250" s="29">
        <f t="shared" si="77"/>
        <v>17.297238516389122</v>
      </c>
      <c r="I250" s="29">
        <f t="shared" si="77"/>
        <v>10.801787432950915</v>
      </c>
      <c r="J250" s="29">
        <f t="shared" si="77"/>
        <v>25.75112143871069</v>
      </c>
    </row>
    <row r="251" spans="1:10" ht="16.2" thickBot="1" x14ac:dyDescent="0.35">
      <c r="A251" s="669" t="s">
        <v>15</v>
      </c>
      <c r="B251" s="670"/>
      <c r="C251" s="5" t="s">
        <v>6</v>
      </c>
      <c r="D251" s="7">
        <f>D210/D223%</f>
        <v>89.201066936626574</v>
      </c>
      <c r="E251" s="7">
        <f t="shared" ref="E251:J251" si="78">E210/E223%</f>
        <v>89.939930141529103</v>
      </c>
      <c r="F251" s="7">
        <f t="shared" si="78"/>
        <v>48.845210506349552</v>
      </c>
      <c r="G251" s="7">
        <f t="shared" si="78"/>
        <v>86.611929144525277</v>
      </c>
      <c r="H251" s="7">
        <f t="shared" si="78"/>
        <v>72.062748328441231</v>
      </c>
      <c r="I251" s="7">
        <f t="shared" si="78"/>
        <v>83.497753686858914</v>
      </c>
      <c r="J251" s="7">
        <f t="shared" si="78"/>
        <v>84.149666161329051</v>
      </c>
    </row>
    <row r="252" spans="1:10" x14ac:dyDescent="0.3">
      <c r="A252" s="649" t="s">
        <v>14</v>
      </c>
      <c r="B252" s="650"/>
      <c r="C252" s="650"/>
      <c r="D252" s="650"/>
      <c r="E252" s="650"/>
      <c r="F252" s="650"/>
      <c r="G252" s="650"/>
      <c r="H252" s="650"/>
      <c r="I252" s="650"/>
      <c r="J252" s="651"/>
    </row>
    <row r="253" spans="1:10" s="2" customFormat="1" ht="15" customHeight="1" x14ac:dyDescent="0.3">
      <c r="A253" s="620" t="s">
        <v>13</v>
      </c>
      <c r="B253" s="621"/>
      <c r="C253" s="5" t="s">
        <v>3</v>
      </c>
      <c r="D253" s="26">
        <f>Bangula!G253+Bangula!H253+Bangula!I253</f>
        <v>32</v>
      </c>
      <c r="E253" s="26">
        <f>Chikwawa!G253+Chikwawa!H253+Chikwawa!I253</f>
        <v>51</v>
      </c>
      <c r="F253" s="26">
        <f>'Miseu Folo'!G253+'Miseu Folo'!H253+'Miseu Folo'!I253</f>
        <v>252</v>
      </c>
      <c r="G253" s="26">
        <f>Nchalo!G253+Nchalo!H253+Nchalo!I253</f>
        <v>36</v>
      </c>
      <c r="H253" s="26">
        <f>Nsanje!G253+Nsanje!H253+Nsanje!I253</f>
        <v>64</v>
      </c>
      <c r="I253" s="26">
        <f>Ngabu!G253+Ngabu!H253+Ngabu!I253</f>
        <v>154</v>
      </c>
      <c r="J253" s="114">
        <f>SUM(D253:I253)</f>
        <v>589</v>
      </c>
    </row>
    <row r="254" spans="1:10" s="2" customFormat="1" ht="15.6" x14ac:dyDescent="0.3">
      <c r="A254" s="620" t="s">
        <v>12</v>
      </c>
      <c r="B254" s="621"/>
      <c r="C254" s="5" t="s">
        <v>3</v>
      </c>
      <c r="D254" s="26">
        <f>Bangula!G254+Bangula!H254+Bangula!I254</f>
        <v>6</v>
      </c>
      <c r="E254" s="26">
        <f>Chikwawa!G254+Chikwawa!H254+Chikwawa!I254</f>
        <v>3</v>
      </c>
      <c r="F254" s="26">
        <f>'Miseu Folo'!G254+'Miseu Folo'!H254+'Miseu Folo'!I254</f>
        <v>11</v>
      </c>
      <c r="G254" s="26">
        <f>Nchalo!G254+Nchalo!H254+Nchalo!I254</f>
        <v>14</v>
      </c>
      <c r="H254" s="26">
        <f>Nsanje!G254+Nsanje!H254+Nsanje!I254</f>
        <v>16</v>
      </c>
      <c r="I254" s="26">
        <f>Ngabu!G254+Ngabu!H254+Ngabu!I254</f>
        <v>6</v>
      </c>
      <c r="J254" s="114">
        <f>SUM(D254:I254)</f>
        <v>56</v>
      </c>
    </row>
    <row r="255" spans="1:10" ht="15.75" customHeight="1" x14ac:dyDescent="0.3">
      <c r="A255" s="620" t="s">
        <v>11</v>
      </c>
      <c r="B255" s="621"/>
      <c r="C255" s="5" t="s">
        <v>3</v>
      </c>
      <c r="D255" s="26">
        <f>Bangula!G255+Bangula!H255+Bangula!I255</f>
        <v>12</v>
      </c>
      <c r="E255" s="26">
        <f>Chikwawa!G255+Chikwawa!H255+Chikwawa!I255</f>
        <v>13</v>
      </c>
      <c r="F255" s="26">
        <f>'Miseu Folo'!G255+'Miseu Folo'!H255+'Miseu Folo'!I255</f>
        <v>78</v>
      </c>
      <c r="G255" s="26">
        <f>Nchalo!G255+Nchalo!H255+Nchalo!I255</f>
        <v>17</v>
      </c>
      <c r="H255" s="26">
        <f>Nsanje!G255+Nsanje!H255+Nsanje!I255</f>
        <v>11</v>
      </c>
      <c r="I255" s="26">
        <f>Ngabu!G255+Ngabu!H255+Ngabu!I255</f>
        <v>23</v>
      </c>
      <c r="J255" s="114">
        <f>SUM(D255:I255)</f>
        <v>154</v>
      </c>
    </row>
    <row r="256" spans="1:10" ht="15.6" x14ac:dyDescent="0.3">
      <c r="A256" s="620" t="s">
        <v>10</v>
      </c>
      <c r="B256" s="621"/>
      <c r="C256" s="5" t="s">
        <v>3</v>
      </c>
      <c r="D256" s="26">
        <f>Bangula!G256+Bangula!H256+Bangula!I256</f>
        <v>77</v>
      </c>
      <c r="E256" s="26">
        <f>Chikwawa!G256+Chikwawa!H256+Chikwawa!I256</f>
        <v>295</v>
      </c>
      <c r="F256" s="26">
        <f>'Miseu Folo'!G256+'Miseu Folo'!H256+'Miseu Folo'!I256</f>
        <v>211</v>
      </c>
      <c r="G256" s="26">
        <f>Nchalo!G256+Nchalo!H256+Nchalo!I256</f>
        <v>74</v>
      </c>
      <c r="H256" s="26">
        <f>Nsanje!G256+Nsanje!H256+Nsanje!I256</f>
        <v>55</v>
      </c>
      <c r="I256" s="26">
        <f>Ngabu!G256+Ngabu!H256+Ngabu!I256</f>
        <v>57</v>
      </c>
      <c r="J256" s="114">
        <f>SUM(D256:I256)</f>
        <v>769</v>
      </c>
    </row>
    <row r="257" spans="1:10" ht="15.6" customHeight="1" x14ac:dyDescent="0.3">
      <c r="A257" s="620" t="s">
        <v>9</v>
      </c>
      <c r="B257" s="621"/>
      <c r="C257" s="5" t="s">
        <v>3</v>
      </c>
      <c r="D257" s="26">
        <f>Bangula!G257+Bangula!H257+Bangula!I257</f>
        <v>262</v>
      </c>
      <c r="E257" s="26">
        <f>Chikwawa!G257+Chikwawa!H257+Chikwawa!I257</f>
        <v>90</v>
      </c>
      <c r="F257" s="26">
        <f>'Miseu Folo'!G257+'Miseu Folo'!H257+'Miseu Folo'!I257</f>
        <v>37</v>
      </c>
      <c r="G257" s="26">
        <f>Nchalo!G257+Nchalo!H257+Nchalo!I257</f>
        <v>58</v>
      </c>
      <c r="H257" s="26">
        <f>Nsanje!G257+Nsanje!H257+Nsanje!I257</f>
        <v>205</v>
      </c>
      <c r="I257" s="26">
        <f>Ngabu!G257+Ngabu!H257+Ngabu!I257</f>
        <v>16</v>
      </c>
      <c r="J257" s="114">
        <f>SUM(D257:I257)</f>
        <v>668</v>
      </c>
    </row>
    <row r="258" spans="1:10" ht="15.6" x14ac:dyDescent="0.3">
      <c r="A258" s="656" t="s">
        <v>8</v>
      </c>
      <c r="B258" s="657"/>
      <c r="C258" s="5" t="s">
        <v>3</v>
      </c>
      <c r="D258" s="1">
        <f t="shared" ref="D258:J258" si="79">D257/D256</f>
        <v>3.4025974025974026</v>
      </c>
      <c r="E258" s="1">
        <f t="shared" si="79"/>
        <v>0.30508474576271188</v>
      </c>
      <c r="F258" s="1">
        <f t="shared" si="79"/>
        <v>0.17535545023696683</v>
      </c>
      <c r="G258" s="3">
        <f t="shared" si="79"/>
        <v>0.78378378378378377</v>
      </c>
      <c r="H258" s="3">
        <f t="shared" si="79"/>
        <v>3.7272727272727271</v>
      </c>
      <c r="I258" s="3">
        <f t="shared" si="79"/>
        <v>0.2807017543859649</v>
      </c>
      <c r="J258" s="114">
        <f t="shared" si="79"/>
        <v>0.86866059817945385</v>
      </c>
    </row>
    <row r="259" spans="1:10" ht="15.6" x14ac:dyDescent="0.3">
      <c r="A259" s="656" t="s">
        <v>7</v>
      </c>
      <c r="B259" s="657"/>
      <c r="C259" s="5" t="s">
        <v>6</v>
      </c>
      <c r="D259" s="1">
        <f t="shared" ref="D259:J259" si="80">D92/D255*100</f>
        <v>333.33333333333337</v>
      </c>
      <c r="E259" s="1">
        <f t="shared" si="80"/>
        <v>684.61538461538453</v>
      </c>
      <c r="F259" s="1">
        <f t="shared" si="80"/>
        <v>97.435897435897431</v>
      </c>
      <c r="G259" s="6">
        <f t="shared" si="80"/>
        <v>170.58823529411765</v>
      </c>
      <c r="H259" s="6">
        <f t="shared" si="80"/>
        <v>563.63636363636363</v>
      </c>
      <c r="I259" s="6">
        <f t="shared" si="80"/>
        <v>86.956521739130437</v>
      </c>
      <c r="J259" s="115">
        <f t="shared" si="80"/>
        <v>205.19480519480518</v>
      </c>
    </row>
    <row r="260" spans="1:10" x14ac:dyDescent="0.3">
      <c r="A260" s="595" t="s">
        <v>5</v>
      </c>
      <c r="B260" s="596"/>
      <c r="C260" s="596"/>
      <c r="D260" s="596"/>
      <c r="E260" s="596"/>
      <c r="F260" s="596"/>
      <c r="G260" s="596"/>
      <c r="H260" s="596"/>
      <c r="I260" s="596"/>
      <c r="J260" s="597"/>
    </row>
    <row r="261" spans="1:10" s="2" customFormat="1" ht="15" customHeight="1" x14ac:dyDescent="0.3">
      <c r="A261" s="620" t="s">
        <v>4</v>
      </c>
      <c r="B261" s="621"/>
      <c r="C261" s="5" t="s">
        <v>3</v>
      </c>
      <c r="D261" s="26">
        <f>Bangula!G261+Bangula!H261+Bangula!I261</f>
        <v>40</v>
      </c>
      <c r="E261" s="26">
        <f>Chikwawa!G261+Chikwawa!H261+Chikwawa!I261</f>
        <v>64</v>
      </c>
      <c r="F261" s="26">
        <f>'Miseu Folo'!G261+'Miseu Folo'!H261+'Miseu Folo'!I261</f>
        <v>18</v>
      </c>
      <c r="G261" s="26">
        <f>Nchalo!G261+Nchalo!H261+Nchalo!I261</f>
        <v>51</v>
      </c>
      <c r="H261" s="26">
        <f>Nsanje!G261+Nsanje!H261+Nsanje!I261</f>
        <v>31</v>
      </c>
      <c r="I261" s="26">
        <f>Ngabu!G261+Ngabu!H261+Ngabu!I261</f>
        <v>36</v>
      </c>
      <c r="J261" s="114">
        <f>SUM(D261:I261)</f>
        <v>240</v>
      </c>
    </row>
    <row r="262" spans="1:10" s="2" customFormat="1" ht="15.75" customHeight="1" x14ac:dyDescent="0.3">
      <c r="A262" s="620" t="s">
        <v>2</v>
      </c>
      <c r="B262" s="621"/>
      <c r="C262" s="5" t="s">
        <v>0</v>
      </c>
      <c r="D262" s="26">
        <f>Bangula!G262+Bangula!H262+Bangula!I262</f>
        <v>59</v>
      </c>
      <c r="E262" s="26">
        <f>Chikwawa!G262+Chikwawa!H262+Chikwawa!I262</f>
        <v>180</v>
      </c>
      <c r="F262" s="26">
        <f>'Miseu Folo'!G262+'Miseu Folo'!H262+'Miseu Folo'!I262</f>
        <v>13</v>
      </c>
      <c r="G262" s="26">
        <f>Nchalo!G262+Nchalo!H262+Nchalo!I262</f>
        <v>55</v>
      </c>
      <c r="H262" s="26">
        <f>Nsanje!G262+Nsanje!H262+Nsanje!I262</f>
        <v>63</v>
      </c>
      <c r="I262" s="26">
        <f>Ngabu!G262+Ngabu!H262+Ngabu!I262</f>
        <v>3</v>
      </c>
      <c r="J262" s="114">
        <f>SUM(D262:I262)</f>
        <v>373</v>
      </c>
    </row>
    <row r="263" spans="1:10" ht="16.2" thickBot="1" x14ac:dyDescent="0.35">
      <c r="A263" s="667" t="s">
        <v>1</v>
      </c>
      <c r="B263" s="668"/>
      <c r="C263" s="116" t="s">
        <v>0</v>
      </c>
      <c r="D263" s="149">
        <f>D261/D262</f>
        <v>0.67796610169491522</v>
      </c>
      <c r="E263" s="149">
        <f t="shared" ref="E263:J263" si="81">E261/E262</f>
        <v>0.35555555555555557</v>
      </c>
      <c r="F263" s="149">
        <f t="shared" si="81"/>
        <v>1.3846153846153846</v>
      </c>
      <c r="G263" s="149">
        <f t="shared" si="81"/>
        <v>0.92727272727272725</v>
      </c>
      <c r="H263" s="149">
        <f t="shared" si="81"/>
        <v>0.49206349206349204</v>
      </c>
      <c r="I263" s="149">
        <f t="shared" si="81"/>
        <v>12</v>
      </c>
      <c r="J263" s="162">
        <f t="shared" si="81"/>
        <v>0.64343163538873993</v>
      </c>
    </row>
  </sheetData>
  <mergeCells count="155"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7:B7"/>
    <mergeCell ref="A8:J8"/>
    <mergeCell ref="A9:B9"/>
    <mergeCell ref="A10:J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63"/>
  <sheetViews>
    <sheetView workbookViewId="0">
      <selection activeCell="A120" sqref="A120:J120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109375" customWidth="1"/>
    <col min="10" max="10" width="20.109375" bestFit="1" customWidth="1"/>
    <col min="13" max="13" width="11.109375" bestFit="1" customWidth="1"/>
  </cols>
  <sheetData>
    <row r="1" spans="1:10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21"/>
    </row>
    <row r="2" spans="1:10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3"/>
    </row>
    <row r="3" spans="1:10" ht="18" thickBot="1" x14ac:dyDescent="0.35">
      <c r="A3" s="315" t="s">
        <v>217</v>
      </c>
      <c r="B3" s="316"/>
      <c r="C3" s="316"/>
      <c r="D3" s="316"/>
      <c r="E3" s="316"/>
      <c r="F3" s="316"/>
      <c r="G3" s="316"/>
      <c r="H3" s="316"/>
      <c r="I3" s="316"/>
      <c r="J3" s="317"/>
    </row>
    <row r="4" spans="1:10" ht="18" thickBot="1" x14ac:dyDescent="0.35">
      <c r="A4" s="94" t="s">
        <v>226</v>
      </c>
      <c r="B4" s="124"/>
      <c r="C4" s="124"/>
      <c r="D4" s="124"/>
      <c r="E4" s="124"/>
      <c r="F4" s="124"/>
      <c r="G4" s="124"/>
      <c r="H4" s="124"/>
      <c r="I4" s="124"/>
      <c r="J4" s="125"/>
    </row>
    <row r="5" spans="1:10" ht="14.4" customHeight="1" x14ac:dyDescent="0.3">
      <c r="A5" s="95" t="s">
        <v>218</v>
      </c>
      <c r="B5" s="96"/>
      <c r="C5" s="96"/>
      <c r="D5" s="181"/>
      <c r="E5" s="96"/>
      <c r="F5" s="96"/>
      <c r="G5" s="181"/>
      <c r="H5" s="96"/>
      <c r="I5" s="96"/>
      <c r="J5" s="126"/>
    </row>
    <row r="6" spans="1:10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9"/>
    </row>
    <row r="7" spans="1:10" ht="16.2" thickBot="1" x14ac:dyDescent="0.35">
      <c r="A7" s="589" t="s">
        <v>174</v>
      </c>
      <c r="B7" s="590"/>
      <c r="C7" s="61" t="s">
        <v>173</v>
      </c>
      <c r="D7" s="60" t="s">
        <v>225</v>
      </c>
      <c r="E7" s="60" t="s">
        <v>220</v>
      </c>
      <c r="F7" s="60" t="s">
        <v>221</v>
      </c>
      <c r="G7" s="60" t="s">
        <v>222</v>
      </c>
      <c r="H7" s="60" t="s">
        <v>223</v>
      </c>
      <c r="I7" s="60" t="s">
        <v>224</v>
      </c>
      <c r="J7" s="59" t="s">
        <v>160</v>
      </c>
    </row>
    <row r="8" spans="1:10" ht="15" thickBot="1" x14ac:dyDescent="0.35">
      <c r="A8" s="600" t="s">
        <v>159</v>
      </c>
      <c r="B8" s="601"/>
      <c r="C8" s="601"/>
      <c r="D8" s="601"/>
      <c r="E8" s="601"/>
      <c r="F8" s="601"/>
      <c r="G8" s="601"/>
      <c r="H8" s="601"/>
      <c r="I8" s="601"/>
      <c r="J8" s="602"/>
    </row>
    <row r="9" spans="1:10" ht="15.6" x14ac:dyDescent="0.3">
      <c r="A9" s="603" t="s">
        <v>176</v>
      </c>
      <c r="B9" s="604"/>
      <c r="C9" s="58" t="s">
        <v>152</v>
      </c>
      <c r="D9" s="57">
        <f>Bangula!D9+Bangula!E9+Bangula!F9+Bangula!G9+Bangula!H9+Bangula!I9</f>
        <v>69434</v>
      </c>
      <c r="E9" s="57">
        <f>Chikwawa!D9+Chikwawa!E9+Chikwawa!F9+Chikwawa!G9+Chikwawa!H9+Chikwawa!I9</f>
        <v>171821</v>
      </c>
      <c r="F9" s="57">
        <f>'Miseu Folo'!D9+'Miseu Folo'!E9+'Miseu Folo'!F9+'Miseu Folo'!G9+'Miseu Folo'!H9+'Miseu Folo'!I9</f>
        <v>20447</v>
      </c>
      <c r="G9" s="57">
        <f>Nchalo!D9+Nchalo!E9+Nchalo!F9+Nchalo!G9+Nchalo!H9+Nchalo!I9</f>
        <v>146088</v>
      </c>
      <c r="H9" s="57">
        <f>Nsanje!D9+Nsanje!E9+Nsanje!F9+Nsanje!G9+Nsanje!H9+Nsanje!I9</f>
        <v>120987</v>
      </c>
      <c r="I9" s="57">
        <f>Ngabu!D9+Ngabu!E9+Ngabu!F9+Ngabu!G9+Ngabu!H9+Ngabu!I9</f>
        <v>93946</v>
      </c>
      <c r="J9" s="150">
        <f>SUM(D9:I9)</f>
        <v>622723</v>
      </c>
    </row>
    <row r="10" spans="1:10" x14ac:dyDescent="0.3">
      <c r="A10" s="595" t="s">
        <v>177</v>
      </c>
      <c r="B10" s="596"/>
      <c r="C10" s="596"/>
      <c r="D10" s="685"/>
      <c r="E10" s="685"/>
      <c r="F10" s="685"/>
      <c r="G10" s="685"/>
      <c r="H10" s="685"/>
      <c r="I10" s="685"/>
      <c r="J10" s="686"/>
    </row>
    <row r="11" spans="1:10" ht="15.6" x14ac:dyDescent="0.3">
      <c r="A11" s="598" t="s">
        <v>157</v>
      </c>
      <c r="B11" s="599"/>
      <c r="C11" s="11" t="s">
        <v>152</v>
      </c>
      <c r="D11" s="26">
        <f>Bangula!D11+Bangula!E11+Bangula!F11+Bangula!G11+Bangula!H11+Bangula!I11</f>
        <v>29169</v>
      </c>
      <c r="E11" s="26">
        <f>Chikwawa!D11+Chikwawa!E11+Chikwawa!F11+Chikwawa!G11+Chikwawa!H11+Chikwawa!I11</f>
        <v>96996</v>
      </c>
      <c r="F11" s="26">
        <f>'Miseu Folo'!D11+'Miseu Folo'!E11+'Miseu Folo'!F11+'Miseu Folo'!G11+'Miseu Folo'!H11+'Miseu Folo'!I11</f>
        <v>3797</v>
      </c>
      <c r="G11" s="26">
        <f>Nchalo!D11+Nchalo!E11+Nchalo!F11+Nchalo!G11+Nchalo!H11+Nchalo!I11</f>
        <v>80506</v>
      </c>
      <c r="H11" s="26">
        <f>Nsanje!D11+Nsanje!E11+Nsanje!F11+Nsanje!G11+Nsanje!H11+Nsanje!I11</f>
        <v>50517</v>
      </c>
      <c r="I11" s="26">
        <f>Ngabu!D11+Ngabu!E11+Ngabu!F11+Ngabu!G11+Ngabu!H11+Ngabu!I11</f>
        <v>34438</v>
      </c>
      <c r="J11" s="55">
        <f>SUM(D11:I11)</f>
        <v>295423</v>
      </c>
    </row>
    <row r="12" spans="1:10" ht="15.6" x14ac:dyDescent="0.3">
      <c r="A12" s="598" t="s">
        <v>156</v>
      </c>
      <c r="B12" s="599"/>
      <c r="C12" s="11" t="s">
        <v>152</v>
      </c>
      <c r="D12" s="26">
        <f>Bangula!D12+Bangula!E12+Bangula!F12+Bangula!G12+Bangula!H12+Bangula!I12</f>
        <v>10253</v>
      </c>
      <c r="E12" s="26">
        <f>Chikwawa!D12+Chikwawa!E12+Chikwawa!F12+Chikwawa!G12+Chikwawa!H12+Chikwawa!I12</f>
        <v>5124</v>
      </c>
      <c r="F12" s="26">
        <f>'Miseu Folo'!D12+'Miseu Folo'!E12+'Miseu Folo'!F12+'Miseu Folo'!G12+'Miseu Folo'!H12+'Miseu Folo'!I12</f>
        <v>0</v>
      </c>
      <c r="G12" s="26">
        <f>Nchalo!D12+Nchalo!E12+Nchalo!F12+Nchalo!G12+Nchalo!H12+Nchalo!I12</f>
        <v>4315</v>
      </c>
      <c r="H12" s="26">
        <f>Nsanje!D12+Nsanje!E12+Nsanje!F12+Nsanje!G12+Nsanje!H12+Nsanje!I12</f>
        <v>4334</v>
      </c>
      <c r="I12" s="26">
        <f>Ngabu!D12+Ngabu!E12+Ngabu!F12+Ngabu!G12+Ngabu!H12+Ngabu!I12</f>
        <v>6100</v>
      </c>
      <c r="J12" s="55">
        <f>SUM(D12:I12)</f>
        <v>30126</v>
      </c>
    </row>
    <row r="13" spans="1:10" ht="15.6" x14ac:dyDescent="0.3">
      <c r="A13" s="598" t="s">
        <v>155</v>
      </c>
      <c r="B13" s="599"/>
      <c r="C13" s="11" t="s">
        <v>152</v>
      </c>
      <c r="D13" s="26">
        <f>Bangula!D13+Bangula!E13+Bangula!F13+Bangula!G13+Bangula!H13+Bangula!I13</f>
        <v>355</v>
      </c>
      <c r="E13" s="26">
        <f>Chikwawa!D13+Chikwawa!E13+Chikwawa!F13+Chikwawa!G13+Chikwawa!H13+Chikwawa!I13</f>
        <v>1584</v>
      </c>
      <c r="F13" s="26">
        <f>'Miseu Folo'!D13+'Miseu Folo'!E13+'Miseu Folo'!F13+'Miseu Folo'!G13+'Miseu Folo'!H13+'Miseu Folo'!I13</f>
        <v>18</v>
      </c>
      <c r="G13" s="26">
        <f>Nchalo!D13+Nchalo!E13+Nchalo!F13+Nchalo!G13+Nchalo!H13+Nchalo!I13</f>
        <v>462</v>
      </c>
      <c r="H13" s="26">
        <f>Nsanje!D13+Nsanje!E13+Nsanje!F13+Nsanje!G13+Nsanje!H13+Nsanje!I13</f>
        <v>826</v>
      </c>
      <c r="I13" s="26">
        <f>Ngabu!D13+Ngabu!E13+Ngabu!F13+Ngabu!G13+Ngabu!H13+Ngabu!I13</f>
        <v>1300</v>
      </c>
      <c r="J13" s="55">
        <f>SUM(D13:I13)</f>
        <v>4545</v>
      </c>
    </row>
    <row r="14" spans="1:10" ht="15.6" x14ac:dyDescent="0.3">
      <c r="A14" s="591" t="s">
        <v>154</v>
      </c>
      <c r="B14" s="592"/>
      <c r="C14" s="11" t="s">
        <v>152</v>
      </c>
      <c r="D14" s="26">
        <f>Bangula!D14+Bangula!E14+Bangula!F14+Bangula!G14+Bangula!H14+Bangula!I14</f>
        <v>52</v>
      </c>
      <c r="E14" s="26">
        <f>Chikwawa!D14+Chikwawa!E14+Chikwawa!F14+Chikwawa!G14+Chikwawa!H14+Chikwawa!I14</f>
        <v>505</v>
      </c>
      <c r="F14" s="26">
        <f>'Miseu Folo'!D14+'Miseu Folo'!E14+'Miseu Folo'!F14+'Miseu Folo'!G14+'Miseu Folo'!H14+'Miseu Folo'!I14</f>
        <v>85</v>
      </c>
      <c r="G14" s="26">
        <f>Nchalo!D14+Nchalo!E14+Nchalo!F14+Nchalo!G14+Nchalo!H14+Nchalo!I14</f>
        <v>1344</v>
      </c>
      <c r="H14" s="26">
        <f>Nsanje!D14+Nsanje!E14+Nsanje!F14+Nsanje!G14+Nsanje!H14+Nsanje!I14</f>
        <v>428</v>
      </c>
      <c r="I14" s="26">
        <f>Ngabu!D14+Ngabu!E14+Ngabu!F14+Ngabu!G14+Ngabu!H14+Ngabu!I14</f>
        <v>229</v>
      </c>
      <c r="J14" s="55">
        <f>SUM(D14:I14)</f>
        <v>2643</v>
      </c>
    </row>
    <row r="15" spans="1:10" s="63" customFormat="1" ht="15.6" x14ac:dyDescent="0.3">
      <c r="A15" s="593" t="s">
        <v>158</v>
      </c>
      <c r="B15" s="594"/>
      <c r="C15" s="62" t="s">
        <v>152</v>
      </c>
      <c r="D15" s="34">
        <f t="shared" ref="D15:J15" si="0">SUM(D11:D14)</f>
        <v>39829</v>
      </c>
      <c r="E15" s="34">
        <f t="shared" si="0"/>
        <v>104209</v>
      </c>
      <c r="F15" s="34">
        <f t="shared" si="0"/>
        <v>3900</v>
      </c>
      <c r="G15" s="34">
        <f t="shared" si="0"/>
        <v>86627</v>
      </c>
      <c r="H15" s="34">
        <f t="shared" si="0"/>
        <v>56105</v>
      </c>
      <c r="I15" s="34">
        <f t="shared" si="0"/>
        <v>42067</v>
      </c>
      <c r="J15" s="55">
        <f t="shared" si="0"/>
        <v>332737</v>
      </c>
    </row>
    <row r="16" spans="1:10" s="2" customFormat="1" x14ac:dyDescent="0.3">
      <c r="A16" s="595" t="s">
        <v>178</v>
      </c>
      <c r="B16" s="596"/>
      <c r="C16" s="596"/>
      <c r="D16" s="596"/>
      <c r="E16" s="596"/>
      <c r="F16" s="596"/>
      <c r="G16" s="596"/>
      <c r="H16" s="596"/>
      <c r="I16" s="596"/>
      <c r="J16" s="597"/>
    </row>
    <row r="17" spans="1:13" s="2" customFormat="1" ht="15.6" x14ac:dyDescent="0.3">
      <c r="A17" s="598" t="s">
        <v>180</v>
      </c>
      <c r="B17" s="599"/>
      <c r="C17" s="11" t="s">
        <v>152</v>
      </c>
      <c r="D17" s="26">
        <f>Bangula!D17+Bangula!E17+Bangula!F17+Bangula!G17+Bangula!H17+Bangula!I17</f>
        <v>5046</v>
      </c>
      <c r="E17" s="26">
        <f>Chikwawa!D17+Chikwawa!E17+Chikwawa!F17+Chikwawa!G17+Chikwawa!H17+Chikwawa!I17</f>
        <v>6224</v>
      </c>
      <c r="F17" s="26">
        <f>'Miseu Folo'!D17+'Miseu Folo'!E17+'Miseu Folo'!F17+'Miseu Folo'!G17+'Miseu Folo'!H17+'Miseu Folo'!I17</f>
        <v>0</v>
      </c>
      <c r="G17" s="26">
        <f>Nchalo!D17+Nchalo!E17+Nchalo!F17+Nchalo!G17+Nchalo!H17+Nchalo!I17</f>
        <v>0</v>
      </c>
      <c r="H17" s="26">
        <f>Nsanje!D17+Nsanje!E17+Nsanje!F17+Nsanje!G17+Nsanje!H17+Nsanje!I17</f>
        <v>12952</v>
      </c>
      <c r="I17" s="26">
        <f>Ngabu!D17+Ngabu!E17+Ngabu!F17+Ngabu!G17+Ngabu!H17+Ngabu!I17</f>
        <v>4579</v>
      </c>
      <c r="J17" s="55">
        <f>SUM(D17:I17)</f>
        <v>28801</v>
      </c>
    </row>
    <row r="18" spans="1:13" s="2" customFormat="1" ht="15.6" x14ac:dyDescent="0.3">
      <c r="A18" s="598" t="s">
        <v>181</v>
      </c>
      <c r="B18" s="599"/>
      <c r="C18" s="11" t="s">
        <v>152</v>
      </c>
      <c r="D18" s="26">
        <f>Bangula!D18+Bangula!E18+Bangula!F18+Bangula!G18+Bangula!H18+Bangula!I18</f>
        <v>57</v>
      </c>
      <c r="E18" s="26">
        <f>Chikwawa!D18+Chikwawa!E18+Chikwawa!F18+Chikwawa!G18+Chikwawa!H18+Chikwawa!I18</f>
        <v>0</v>
      </c>
      <c r="F18" s="26">
        <f>'Miseu Folo'!D18+'Miseu Folo'!E18+'Miseu Folo'!F18+'Miseu Folo'!G18+'Miseu Folo'!H18+'Miseu Folo'!I18</f>
        <v>0</v>
      </c>
      <c r="G18" s="26">
        <f>Nchalo!D18+Nchalo!E18+Nchalo!F18+Nchalo!G18+Nchalo!H18+Nchalo!I18</f>
        <v>0</v>
      </c>
      <c r="H18" s="26">
        <f>Nsanje!D18+Nsanje!E18+Nsanje!F18+Nsanje!G18+Nsanje!H18+Nsanje!I18</f>
        <v>0</v>
      </c>
      <c r="I18" s="26">
        <f>Ngabu!D18+Ngabu!E18+Ngabu!F18+Ngabu!G18+Ngabu!H18+Ngabu!I18</f>
        <v>0</v>
      </c>
      <c r="J18" s="55">
        <f>SUM(D18:I18)</f>
        <v>57</v>
      </c>
    </row>
    <row r="19" spans="1:13" s="2" customFormat="1" ht="15.6" x14ac:dyDescent="0.3">
      <c r="A19" s="598" t="s">
        <v>182</v>
      </c>
      <c r="B19" s="599"/>
      <c r="C19" s="11" t="s">
        <v>152</v>
      </c>
      <c r="D19" s="26">
        <f>Bangula!D19+Bangula!E19+Bangula!F19+Bangula!G19+Bangula!H19+Bangula!I19</f>
        <v>10717.4</v>
      </c>
      <c r="E19" s="26">
        <f>Chikwawa!D19+Chikwawa!E19+Chikwawa!F19+Chikwawa!G19+Chikwawa!H19+Chikwawa!I19</f>
        <v>28400</v>
      </c>
      <c r="F19" s="26">
        <f>'Miseu Folo'!D19+'Miseu Folo'!E19+'Miseu Folo'!F19+'Miseu Folo'!G19+'Miseu Folo'!H19+'Miseu Folo'!I19</f>
        <v>13164.400000000001</v>
      </c>
      <c r="G19" s="26">
        <f>Nchalo!D19+Nchalo!E19+Nchalo!F19+Nchalo!G19+Nchalo!H19+Nchalo!I19</f>
        <v>16211.1</v>
      </c>
      <c r="H19" s="26">
        <f>Nsanje!D19+Nsanje!E19+Nsanje!F19+Nsanje!G19+Nsanje!H19+Nsanje!I19</f>
        <v>20256.3</v>
      </c>
      <c r="I19" s="26">
        <f>Ngabu!D19+Ngabu!E19+Ngabu!F19+Ngabu!G19+Ngabu!H19+Ngabu!I19</f>
        <v>15067</v>
      </c>
      <c r="J19" s="55">
        <f>SUM(D19:I19)</f>
        <v>103816.20000000001</v>
      </c>
    </row>
    <row r="20" spans="1:13" s="2" customFormat="1" ht="15.6" x14ac:dyDescent="0.3">
      <c r="A20" s="591" t="s">
        <v>183</v>
      </c>
      <c r="B20" s="592"/>
      <c r="C20" s="11" t="s">
        <v>152</v>
      </c>
      <c r="D20" s="26">
        <f>Bangula!D20+Bangula!E20+Bangula!F20+Bangula!G20+Bangula!H20+Bangula!I20</f>
        <v>942</v>
      </c>
      <c r="E20" s="26">
        <f>Chikwawa!D20+Chikwawa!E20+Chikwawa!F20+Chikwawa!G20+Chikwawa!H20+Chikwawa!I20</f>
        <v>2651</v>
      </c>
      <c r="F20" s="26">
        <f>'Miseu Folo'!D20+'Miseu Folo'!E20+'Miseu Folo'!F20+'Miseu Folo'!G20+'Miseu Folo'!H20+'Miseu Folo'!I20</f>
        <v>0</v>
      </c>
      <c r="G20" s="26">
        <f>Nchalo!D20+Nchalo!E20+Nchalo!F20+Nchalo!G20+Nchalo!H20+Nchalo!I20</f>
        <v>0</v>
      </c>
      <c r="H20" s="26">
        <f>Nsanje!D20+Nsanje!E20+Nsanje!F20+Nsanje!G20+Nsanje!H20+Nsanje!I20</f>
        <v>1422</v>
      </c>
      <c r="I20" s="26">
        <f>Ngabu!D20+Ngabu!E20+Ngabu!F20+Ngabu!G20+Ngabu!H20+Ngabu!I20</f>
        <v>224</v>
      </c>
      <c r="J20" s="55">
        <f>SUM(D20:I20)</f>
        <v>5239</v>
      </c>
    </row>
    <row r="21" spans="1:13" s="73" customFormat="1" ht="15.6" x14ac:dyDescent="0.3">
      <c r="A21" s="593" t="s">
        <v>184</v>
      </c>
      <c r="B21" s="594"/>
      <c r="C21" s="62" t="s">
        <v>152</v>
      </c>
      <c r="D21" s="34">
        <f>SUM(D17:D20)</f>
        <v>16762.400000000001</v>
      </c>
      <c r="E21" s="34">
        <f t="shared" ref="E21:J21" si="1">SUM(E17:E20)</f>
        <v>37275</v>
      </c>
      <c r="F21" s="34">
        <f t="shared" si="1"/>
        <v>13164.400000000001</v>
      </c>
      <c r="G21" s="34">
        <f t="shared" si="1"/>
        <v>16211.1</v>
      </c>
      <c r="H21" s="34">
        <f t="shared" si="1"/>
        <v>34630.300000000003</v>
      </c>
      <c r="I21" s="34">
        <f t="shared" si="1"/>
        <v>19870</v>
      </c>
      <c r="J21" s="55">
        <f t="shared" si="1"/>
        <v>137913.20000000001</v>
      </c>
    </row>
    <row r="22" spans="1:13" s="2" customFormat="1" ht="15.6" x14ac:dyDescent="0.3">
      <c r="A22" s="578" t="s">
        <v>185</v>
      </c>
      <c r="B22" s="580"/>
      <c r="C22" s="11" t="s">
        <v>152</v>
      </c>
      <c r="D22" s="34">
        <f>D21+D15</f>
        <v>56591.4</v>
      </c>
      <c r="E22" s="34">
        <f t="shared" ref="E22:J22" si="2">E21+E15</f>
        <v>141484</v>
      </c>
      <c r="F22" s="34">
        <f t="shared" si="2"/>
        <v>17064.400000000001</v>
      </c>
      <c r="G22" s="34">
        <f t="shared" si="2"/>
        <v>102838.1</v>
      </c>
      <c r="H22" s="34">
        <f t="shared" si="2"/>
        <v>90735.3</v>
      </c>
      <c r="I22" s="34">
        <f t="shared" si="2"/>
        <v>61937</v>
      </c>
      <c r="J22" s="55">
        <f t="shared" si="2"/>
        <v>470650.2</v>
      </c>
      <c r="M22" s="169"/>
    </row>
    <row r="23" spans="1:13" x14ac:dyDescent="0.3">
      <c r="A23" s="595" t="s">
        <v>215</v>
      </c>
      <c r="B23" s="596"/>
      <c r="C23" s="596"/>
      <c r="D23" s="596"/>
      <c r="E23" s="596"/>
      <c r="F23" s="596"/>
      <c r="G23" s="596"/>
      <c r="H23" s="596"/>
      <c r="I23" s="596"/>
      <c r="J23" s="597"/>
    </row>
    <row r="24" spans="1:13" ht="15.6" x14ac:dyDescent="0.3">
      <c r="A24" s="610" t="s">
        <v>179</v>
      </c>
      <c r="B24" s="37" t="s">
        <v>153</v>
      </c>
      <c r="C24" s="5" t="s">
        <v>152</v>
      </c>
      <c r="D24" s="131">
        <f>D9-D22</f>
        <v>12842.599999999999</v>
      </c>
      <c r="E24" s="131">
        <f t="shared" ref="E24:I24" si="3">E9-E22</f>
        <v>30337</v>
      </c>
      <c r="F24" s="131">
        <f t="shared" si="3"/>
        <v>3382.5999999999985</v>
      </c>
      <c r="G24" s="131">
        <f t="shared" si="3"/>
        <v>43249.899999999994</v>
      </c>
      <c r="H24" s="131">
        <f t="shared" si="3"/>
        <v>30251.699999999997</v>
      </c>
      <c r="I24" s="131">
        <f t="shared" si="3"/>
        <v>32009</v>
      </c>
      <c r="J24" s="55">
        <f>SUM(D24:I24)</f>
        <v>152072.79999999999</v>
      </c>
    </row>
    <row r="25" spans="1:13" ht="15.6" x14ac:dyDescent="0.3">
      <c r="A25" s="611"/>
      <c r="B25" s="53" t="s">
        <v>151</v>
      </c>
      <c r="C25" s="52" t="s">
        <v>6</v>
      </c>
      <c r="D25" s="51">
        <f t="shared" ref="D25:J25" si="4">D24/D9</f>
        <v>0.18496125817322923</v>
      </c>
      <c r="E25" s="51">
        <f t="shared" si="4"/>
        <v>0.17656165427974463</v>
      </c>
      <c r="F25" s="51">
        <f t="shared" si="4"/>
        <v>0.16543258179684053</v>
      </c>
      <c r="G25" s="51">
        <f t="shared" si="4"/>
        <v>0.29605374842560644</v>
      </c>
      <c r="H25" s="51">
        <f t="shared" si="4"/>
        <v>0.25004091348657292</v>
      </c>
      <c r="I25" s="51">
        <f t="shared" si="4"/>
        <v>0.34071700764268836</v>
      </c>
      <c r="J25" s="151">
        <f t="shared" si="4"/>
        <v>0.24420617192555918</v>
      </c>
    </row>
    <row r="26" spans="1:13" x14ac:dyDescent="0.3">
      <c r="A26" s="595" t="s">
        <v>150</v>
      </c>
      <c r="B26" s="596"/>
      <c r="C26" s="596"/>
      <c r="D26" s="596"/>
      <c r="E26" s="596"/>
      <c r="F26" s="596"/>
      <c r="G26" s="596"/>
      <c r="H26" s="596"/>
      <c r="I26" s="596"/>
      <c r="J26" s="597"/>
    </row>
    <row r="27" spans="1:13" x14ac:dyDescent="0.3">
      <c r="A27" s="671" t="s">
        <v>149</v>
      </c>
      <c r="B27" s="672"/>
      <c r="C27" s="672"/>
      <c r="D27" s="672"/>
      <c r="E27" s="672"/>
      <c r="F27" s="672"/>
      <c r="G27" s="672"/>
      <c r="H27" s="672"/>
      <c r="I27" s="672"/>
      <c r="J27" s="673"/>
    </row>
    <row r="28" spans="1:13" ht="15.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6"/>
    </row>
    <row r="29" spans="1:13" ht="15.6" x14ac:dyDescent="0.3">
      <c r="A29" s="587" t="s">
        <v>146</v>
      </c>
      <c r="B29" s="585">
        <v>3525.29</v>
      </c>
      <c r="C29" s="5" t="s">
        <v>140</v>
      </c>
      <c r="D29" s="26">
        <f>Bangula!D29+Bangula!E29+Bangula!F29+Bangula!G29+Bangula!H29+Bangula!I29</f>
        <v>88</v>
      </c>
      <c r="E29" s="26">
        <f>Chikwawa!D29+Chikwawa!E29+Chikwawa!F29+Chikwawa!G29+Chikwawa!H29+Chikwawa!I29</f>
        <v>182</v>
      </c>
      <c r="F29" s="26">
        <f>'Miseu Folo'!D29+'Miseu Folo'!E29+'Miseu Folo'!F29+'Miseu Folo'!G29+'Miseu Folo'!H29+'Miseu Folo'!I29</f>
        <v>43.800000000000004</v>
      </c>
      <c r="G29" s="26">
        <f>Nchalo!D29+Nchalo!E29+Nchalo!F29+Nchalo!G29+Nchalo!H29+Nchalo!I29</f>
        <v>106</v>
      </c>
      <c r="H29" s="26">
        <f>Nsanje!D29+Nsanje!E29+Nsanje!F29+Nsanje!G29+Nsanje!H29+Nsanje!I29</f>
        <v>67.5</v>
      </c>
      <c r="I29" s="26">
        <f>Ngabu!D29+Ngabu!E29+Ngabu!F29+Ngabu!G29+Ngabu!H29+Ngabu!I29</f>
        <v>109</v>
      </c>
      <c r="J29" s="45">
        <f>SUM(D29:I29)</f>
        <v>596.29999999999995</v>
      </c>
    </row>
    <row r="30" spans="1:13" ht="15.6" x14ac:dyDescent="0.3">
      <c r="A30" s="588"/>
      <c r="B30" s="586"/>
      <c r="C30" s="42" t="s">
        <v>139</v>
      </c>
      <c r="D30" s="15">
        <f t="shared" ref="D30:J30" si="5">D29/(D9/1000)</f>
        <v>1.2673906155485786</v>
      </c>
      <c r="E30" s="15">
        <f t="shared" si="5"/>
        <v>1.0592418854505561</v>
      </c>
      <c r="F30" s="15">
        <f t="shared" si="5"/>
        <v>2.1421235389054631</v>
      </c>
      <c r="G30" s="15">
        <f t="shared" si="5"/>
        <v>0.72559005530912879</v>
      </c>
      <c r="H30" s="15">
        <f t="shared" si="5"/>
        <v>0.55791118054005806</v>
      </c>
      <c r="I30" s="15">
        <f t="shared" si="5"/>
        <v>1.1602409895046091</v>
      </c>
      <c r="J30" s="103">
        <f t="shared" si="5"/>
        <v>0.9575686139744316</v>
      </c>
    </row>
    <row r="31" spans="1:13" ht="15.6" x14ac:dyDescent="0.3">
      <c r="A31" s="605" t="s">
        <v>145</v>
      </c>
      <c r="B31" s="574"/>
      <c r="C31" s="5" t="s">
        <v>140</v>
      </c>
      <c r="D31" s="26">
        <f>Bangula!D31+Bangula!E31+Bangula!F31+Bangula!G31+Bangula!H31+Bangula!I31</f>
        <v>0</v>
      </c>
      <c r="E31" s="26">
        <f>Chikwawa!D31+Chikwawa!E31+Chikwawa!F31+Chikwawa!G31+Chikwawa!H31+Chikwawa!I31</f>
        <v>0</v>
      </c>
      <c r="F31" s="26">
        <f>'Miseu Folo'!D31+'Miseu Folo'!E31+'Miseu Folo'!F31+'Miseu Folo'!G31+'Miseu Folo'!H31+'Miseu Folo'!I31</f>
        <v>0</v>
      </c>
      <c r="G31" s="26">
        <f>Nchalo!D31+Nchalo!E31+Nchalo!F31+Nchalo!G31+Nchalo!H31+Nchalo!I31</f>
        <v>0</v>
      </c>
      <c r="H31" s="26">
        <f>Nsanje!D31+Nsanje!E31+Nsanje!F31+Nsanje!G31+Nsanje!H31+Nsanje!I31</f>
        <v>0</v>
      </c>
      <c r="I31" s="26">
        <f>Ngabu!D31+Ngabu!E31+Ngabu!F31+Ngabu!G31+Ngabu!H31+Ngabu!I31</f>
        <v>0</v>
      </c>
      <c r="J31" s="45">
        <f>SUM(D31:I31)</f>
        <v>0</v>
      </c>
    </row>
    <row r="32" spans="1:13" ht="15.6" x14ac:dyDescent="0.3">
      <c r="A32" s="606"/>
      <c r="B32" s="575">
        <v>1060.01</v>
      </c>
      <c r="C32" s="42" t="s">
        <v>139</v>
      </c>
      <c r="D32" s="15">
        <f t="shared" ref="D32:I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03">
        <f>J31/(J9/1000)</f>
        <v>0</v>
      </c>
    </row>
    <row r="33" spans="1:10" ht="15.6" x14ac:dyDescent="0.3">
      <c r="A33" s="605" t="s">
        <v>144</v>
      </c>
      <c r="B33" s="574"/>
      <c r="C33" s="5" t="s">
        <v>140</v>
      </c>
      <c r="D33" s="26">
        <f>Bangula!D33+Bangula!E33+Bangula!F33+Bangula!G33+Bangula!H33+Bangula!I33</f>
        <v>0</v>
      </c>
      <c r="E33" s="26">
        <f>Chikwawa!D33+Chikwawa!E33+Chikwawa!F33+Chikwawa!G33+Chikwawa!H33+Chikwawa!I33</f>
        <v>0</v>
      </c>
      <c r="F33" s="26">
        <f>'Miseu Folo'!D33+'Miseu Folo'!E33+'Miseu Folo'!F33+'Miseu Folo'!G33+'Miseu Folo'!H33+'Miseu Folo'!I33</f>
        <v>0</v>
      </c>
      <c r="G33" s="26">
        <f>Nchalo!D33+Nchalo!E33+Nchalo!F33+Nchalo!G33+Nchalo!H33+Nchalo!I33</f>
        <v>0</v>
      </c>
      <c r="H33" s="26">
        <f>Nsanje!D33+Nsanje!E33+Nsanje!F33+Nsanje!G33+Nsanje!H33+Nsanje!I33</f>
        <v>0</v>
      </c>
      <c r="I33" s="26">
        <f>Ngabu!D33+Ngabu!E33+Ngabu!F33+Ngabu!G33+Ngabu!H33+Ngabu!I33</f>
        <v>0</v>
      </c>
      <c r="J33" s="45">
        <f>SUM(D33:I33)</f>
        <v>0</v>
      </c>
    </row>
    <row r="34" spans="1:10" ht="15.6" x14ac:dyDescent="0.3">
      <c r="A34" s="606"/>
      <c r="B34" s="575">
        <v>1228.29</v>
      </c>
      <c r="C34" s="42" t="s">
        <v>139</v>
      </c>
      <c r="D34" s="15">
        <f t="shared" ref="D34:J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03">
        <f t="shared" si="7"/>
        <v>0</v>
      </c>
    </row>
    <row r="35" spans="1:10" ht="15.6" x14ac:dyDescent="0.3">
      <c r="A35" s="605" t="s">
        <v>143</v>
      </c>
      <c r="B35" s="574"/>
      <c r="C35" s="5" t="s">
        <v>126</v>
      </c>
      <c r="D35" s="26">
        <f>Bangula!D35+Bangula!E35+Bangula!F35+Bangula!G35+Bangula!H35+Bangula!I35</f>
        <v>0</v>
      </c>
      <c r="E35" s="26">
        <f>Chikwawa!D35+Chikwawa!E35+Chikwawa!F35+Chikwawa!G35+Chikwawa!H35+Chikwawa!I35</f>
        <v>0</v>
      </c>
      <c r="F35" s="26">
        <f>'Miseu Folo'!D35+'Miseu Folo'!E35+'Miseu Folo'!F35+'Miseu Folo'!G35+'Miseu Folo'!H35+'Miseu Folo'!I35</f>
        <v>0</v>
      </c>
      <c r="G35" s="26">
        <f>Nchalo!D35+Nchalo!E35+Nchalo!F35+Nchalo!G35+Nchalo!H35+Nchalo!I35</f>
        <v>0</v>
      </c>
      <c r="H35" s="26">
        <f>Nsanje!D35+Nsanje!E35+Nsanje!F35+Nsanje!G35+Nsanje!H35+Nsanje!I35</f>
        <v>0</v>
      </c>
      <c r="I35" s="26">
        <f>Ngabu!D35+Ngabu!E35+Ngabu!F35+Ngabu!G35+Ngabu!H35+Ngabu!I35</f>
        <v>0</v>
      </c>
      <c r="J35" s="45">
        <f>SUM(D35:I35)</f>
        <v>0</v>
      </c>
    </row>
    <row r="36" spans="1:10" ht="15.6" x14ac:dyDescent="0.3">
      <c r="A36" s="606"/>
      <c r="B36" s="575">
        <v>3726.73</v>
      </c>
      <c r="C36" s="5" t="s">
        <v>142</v>
      </c>
      <c r="D36" s="13"/>
      <c r="E36" s="13"/>
      <c r="F36" s="13"/>
      <c r="G36" s="13"/>
      <c r="H36" s="13"/>
      <c r="I36" s="13"/>
      <c r="J36" s="45">
        <f>SUM(D36:I36)</f>
        <v>0</v>
      </c>
    </row>
    <row r="37" spans="1:10" ht="15.6" x14ac:dyDescent="0.3">
      <c r="A37" s="605" t="s">
        <v>186</v>
      </c>
      <c r="B37" s="574"/>
      <c r="C37" s="5" t="s">
        <v>126</v>
      </c>
      <c r="D37" s="26">
        <f>Bangula!D37+Bangula!E37+Bangula!F37+Bangula!G37+Bangula!H37+Bangula!I37</f>
        <v>0</v>
      </c>
      <c r="E37" s="26">
        <f>Chikwawa!D37+Chikwawa!E37+Chikwawa!F37+Chikwawa!G37+Chikwawa!H37+Chikwawa!I37</f>
        <v>0</v>
      </c>
      <c r="F37" s="26">
        <f>'Miseu Folo'!D37+'Miseu Folo'!E37+'Miseu Folo'!F37+'Miseu Folo'!G37+'Miseu Folo'!H37+'Miseu Folo'!I37</f>
        <v>0</v>
      </c>
      <c r="G37" s="26">
        <f>Nchalo!D37+Nchalo!E37+Nchalo!F37+Nchalo!G37+Nchalo!H37+Nchalo!I37</f>
        <v>0</v>
      </c>
      <c r="H37" s="26">
        <f>Nsanje!D37+Nsanje!E37+Nsanje!F37+Nsanje!G37+Nsanje!H37+Nsanje!I37</f>
        <v>0</v>
      </c>
      <c r="I37" s="26">
        <f>Ngabu!D37+Ngabu!E37+Ngabu!F37+Ngabu!G37+Ngabu!H37+Ngabu!I37</f>
        <v>0</v>
      </c>
      <c r="J37" s="45">
        <f>SUM(D37:I37)</f>
        <v>0</v>
      </c>
    </row>
    <row r="38" spans="1:10" ht="15.6" x14ac:dyDescent="0.3">
      <c r="A38" s="606"/>
      <c r="B38" s="575">
        <v>3951.59</v>
      </c>
      <c r="C38" s="5" t="s">
        <v>142</v>
      </c>
      <c r="D38" s="15">
        <f t="shared" ref="D38:J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5">
        <f t="shared" si="8"/>
        <v>0</v>
      </c>
      <c r="I38" s="15">
        <f t="shared" si="8"/>
        <v>0</v>
      </c>
      <c r="J38" s="103">
        <f t="shared" si="8"/>
        <v>0</v>
      </c>
    </row>
    <row r="39" spans="1:10" ht="15.6" x14ac:dyDescent="0.3">
      <c r="A39" s="605" t="s">
        <v>141</v>
      </c>
      <c r="B39" s="574"/>
      <c r="C39" s="5" t="s">
        <v>140</v>
      </c>
      <c r="D39" s="26">
        <f>Bangula!D39+Bangula!E39+Bangula!F39+Bangula!G39+Bangula!H39+Bangula!I39</f>
        <v>0</v>
      </c>
      <c r="E39" s="26">
        <f>Chikwawa!D39+Chikwawa!E39+Chikwawa!F39+Chikwawa!G39+Chikwawa!H39+Chikwawa!I39</f>
        <v>0</v>
      </c>
      <c r="F39" s="26">
        <f>'Miseu Folo'!D39+'Miseu Folo'!E39+'Miseu Folo'!F39+'Miseu Folo'!G39+'Miseu Folo'!H39+'Miseu Folo'!I39</f>
        <v>0</v>
      </c>
      <c r="G39" s="26">
        <f>Nchalo!D39+Nchalo!E39+Nchalo!F39+Nchalo!G39+Nchalo!H39+Nchalo!I39</f>
        <v>0</v>
      </c>
      <c r="H39" s="26">
        <f>Nsanje!D39+Nsanje!E39+Nsanje!F39+Nsanje!G39+Nsanje!H39+Nsanje!I39</f>
        <v>0</v>
      </c>
      <c r="I39" s="26">
        <f>Ngabu!D39+Ngabu!E39+Ngabu!F39+Ngabu!G39+Ngabu!H39+Ngabu!I39</f>
        <v>0</v>
      </c>
      <c r="J39" s="45">
        <f>SUM(D39:I39)</f>
        <v>0</v>
      </c>
    </row>
    <row r="40" spans="1:10" ht="15.6" x14ac:dyDescent="0.3">
      <c r="A40" s="606"/>
      <c r="B40" s="575">
        <v>1950</v>
      </c>
      <c r="C40" s="42" t="s">
        <v>139</v>
      </c>
      <c r="D40" s="15">
        <f t="shared" ref="D40:J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03">
        <f t="shared" si="9"/>
        <v>0</v>
      </c>
    </row>
    <row r="41" spans="1:10" ht="15.6" x14ac:dyDescent="0.3">
      <c r="A41" s="591" t="s">
        <v>138</v>
      </c>
      <c r="B41" s="592"/>
      <c r="C41" s="11" t="s">
        <v>31</v>
      </c>
      <c r="D41" s="41">
        <f>(D29*$B29)+(D31*$B31)+(D33*$B33)+(D35*$B35)+(D37*$B37)+(D39*$B39)</f>
        <v>310225.52</v>
      </c>
      <c r="E41" s="41">
        <f t="shared" ref="E41:I41" si="10">(E29*$B29)+(E31*$B31)+(E33*$B33)+(E35*$B35)+(E37*$B37)+(E39*$B39)</f>
        <v>641602.78</v>
      </c>
      <c r="F41" s="41">
        <f t="shared" si="10"/>
        <v>154407.70200000002</v>
      </c>
      <c r="G41" s="41">
        <f t="shared" si="10"/>
        <v>373680.74</v>
      </c>
      <c r="H41" s="41">
        <f t="shared" si="10"/>
        <v>237957.07500000001</v>
      </c>
      <c r="I41" s="41">
        <f t="shared" si="10"/>
        <v>384256.61</v>
      </c>
      <c r="J41" s="39">
        <f>SUM(D41:I41)</f>
        <v>2102130.4270000001</v>
      </c>
    </row>
    <row r="42" spans="1:10" ht="15.6" x14ac:dyDescent="0.3">
      <c r="A42" s="615" t="s">
        <v>137</v>
      </c>
      <c r="B42" s="616"/>
      <c r="C42" s="42" t="s">
        <v>115</v>
      </c>
      <c r="D42" s="15">
        <f t="shared" ref="D42:J42" si="11">D41/D9</f>
        <v>4.4679194630872487</v>
      </c>
      <c r="E42" s="15">
        <f t="shared" si="11"/>
        <v>3.7341348263599912</v>
      </c>
      <c r="F42" s="15">
        <f t="shared" si="11"/>
        <v>7.5516066904680406</v>
      </c>
      <c r="G42" s="15">
        <f t="shared" si="11"/>
        <v>2.5579153660807186</v>
      </c>
      <c r="H42" s="15">
        <f t="shared" si="11"/>
        <v>1.9667987056460612</v>
      </c>
      <c r="I42" s="15">
        <f t="shared" si="11"/>
        <v>4.0901859578907027</v>
      </c>
      <c r="J42" s="44">
        <f t="shared" si="11"/>
        <v>3.3757070591579246</v>
      </c>
    </row>
    <row r="43" spans="1:10" x14ac:dyDescent="0.3">
      <c r="A43" s="617" t="s">
        <v>136</v>
      </c>
      <c r="B43" s="618"/>
      <c r="C43" s="618"/>
      <c r="D43" s="618"/>
      <c r="E43" s="618"/>
      <c r="F43" s="618"/>
      <c r="G43" s="618"/>
      <c r="H43" s="618"/>
      <c r="I43" s="618"/>
      <c r="J43" s="619"/>
    </row>
    <row r="44" spans="1:10" ht="15.6" x14ac:dyDescent="0.3">
      <c r="A44" s="591" t="s">
        <v>135</v>
      </c>
      <c r="B44" s="592"/>
      <c r="C44" s="11" t="s">
        <v>134</v>
      </c>
      <c r="D44" s="26">
        <f>Bangula!D44+Bangula!E44+Bangula!F44+Bangula!G44+Bangula!H44+Bangula!I44</f>
        <v>60081.479999999996</v>
      </c>
      <c r="E44" s="26">
        <f>Chikwawa!D44+Chikwawa!E44+Chikwawa!F44+Chikwawa!G44+Chikwawa!H44+Chikwawa!I44</f>
        <v>101868</v>
      </c>
      <c r="F44" s="26">
        <f>'Miseu Folo'!D44+'Miseu Folo'!E44+'Miseu Folo'!F44+'Miseu Folo'!G44+'Miseu Folo'!H44+'Miseu Folo'!I44</f>
        <v>5651</v>
      </c>
      <c r="G44" s="26">
        <f>Nchalo!D44+Nchalo!E44+Nchalo!F44+Nchalo!G44+Nchalo!H44+Nchalo!I44</f>
        <v>45663</v>
      </c>
      <c r="H44" s="26">
        <f>Nsanje!D44+Nsanje!E44+Nsanje!F44+Nsanje!G44+Nsanje!H44+Nsanje!I44</f>
        <v>98518</v>
      </c>
      <c r="I44" s="26">
        <f>Ngabu!D44+Ngabu!E44+Ngabu!F44+Ngabu!G44+Ngabu!H44+Ngabu!I44</f>
        <v>58314.29</v>
      </c>
      <c r="J44" s="39">
        <f>SUM(D44:I44)</f>
        <v>370095.76999999996</v>
      </c>
    </row>
    <row r="45" spans="1:10" ht="15.6" x14ac:dyDescent="0.3">
      <c r="A45" s="615" t="s">
        <v>133</v>
      </c>
      <c r="B45" s="616"/>
      <c r="C45" s="42" t="s">
        <v>132</v>
      </c>
      <c r="D45" s="15">
        <f t="shared" ref="D45:J45" si="12">D44/D9</f>
        <v>0.86530345363942729</v>
      </c>
      <c r="E45" s="15">
        <f t="shared" si="12"/>
        <v>0.59287281531361125</v>
      </c>
      <c r="F45" s="15">
        <f t="shared" si="12"/>
        <v>0.2763730620628943</v>
      </c>
      <c r="G45" s="15">
        <f t="shared" si="12"/>
        <v>0.31257187448661083</v>
      </c>
      <c r="H45" s="15">
        <f t="shared" si="12"/>
        <v>0.81428583236215457</v>
      </c>
      <c r="I45" s="15">
        <f t="shared" si="12"/>
        <v>0.62072137185191489</v>
      </c>
      <c r="J45" s="103">
        <f t="shared" si="12"/>
        <v>0.59431845298792552</v>
      </c>
    </row>
    <row r="46" spans="1:10" ht="15.6" x14ac:dyDescent="0.3">
      <c r="A46" s="620" t="s">
        <v>131</v>
      </c>
      <c r="B46" s="621"/>
      <c r="C46" s="5" t="s">
        <v>31</v>
      </c>
      <c r="D46" s="26">
        <f>Bangula!D46+Bangula!E46+Bangula!F46+Bangula!G46+Bangula!H46+Bangula!I46</f>
        <v>9078311.6279999986</v>
      </c>
      <c r="E46" s="26">
        <f>Chikwawa!D46+Chikwawa!E46+Chikwawa!F46+Chikwawa!G46+Chikwawa!H46+Chikwawa!I46</f>
        <v>15392254.799999999</v>
      </c>
      <c r="F46" s="26">
        <f>'Miseu Folo'!D46+'Miseu Folo'!E46+'Miseu Folo'!F46+'Miseu Folo'!G46+'Miseu Folo'!H46+'Miseu Folo'!I46</f>
        <v>853866.1</v>
      </c>
      <c r="G46" s="26">
        <f>Nchalo!D46+Nchalo!E46+Nchalo!F46+Nchalo!G46+Nchalo!H46+Nchalo!I46</f>
        <v>6899679.2999999989</v>
      </c>
      <c r="H46" s="26">
        <f>Nsanje!D46+Nsanje!E46+Nsanje!F46+Nsanje!G46+Nsanje!H46+Nsanje!I46</f>
        <v>14886069.799999997</v>
      </c>
      <c r="I46" s="26">
        <f>Ngabu!D46+Ngabu!E46+Ngabu!F46+Ngabu!G46+Ngabu!H46+Ngabu!I46</f>
        <v>8811289.2190000005</v>
      </c>
      <c r="J46" s="39">
        <f>SUM(D46:I46)</f>
        <v>55921470.846999988</v>
      </c>
    </row>
    <row r="47" spans="1:10" s="2" customFormat="1" ht="15.6" x14ac:dyDescent="0.3">
      <c r="A47" s="591" t="s">
        <v>130</v>
      </c>
      <c r="B47" s="592"/>
      <c r="C47" s="11" t="s">
        <v>115</v>
      </c>
      <c r="D47" s="15">
        <f t="shared" ref="D47:J47" si="13">D46/D9</f>
        <v>130.74735184491746</v>
      </c>
      <c r="E47" s="15">
        <f t="shared" si="13"/>
        <v>89.583082393886656</v>
      </c>
      <c r="F47" s="15">
        <f t="shared" si="13"/>
        <v>41.759969677703332</v>
      </c>
      <c r="G47" s="15">
        <f t="shared" si="13"/>
        <v>47.229610234926888</v>
      </c>
      <c r="H47" s="15">
        <f t="shared" si="13"/>
        <v>123.03858926992153</v>
      </c>
      <c r="I47" s="15">
        <f t="shared" si="13"/>
        <v>93.790999286824345</v>
      </c>
      <c r="J47" s="103">
        <f t="shared" si="13"/>
        <v>89.801518246475538</v>
      </c>
    </row>
    <row r="48" spans="1:10" x14ac:dyDescent="0.3">
      <c r="A48" s="617" t="s">
        <v>129</v>
      </c>
      <c r="B48" s="618"/>
      <c r="C48" s="618"/>
      <c r="D48" s="618"/>
      <c r="E48" s="618"/>
      <c r="F48" s="618"/>
      <c r="G48" s="618"/>
      <c r="H48" s="618"/>
      <c r="I48" s="618"/>
      <c r="J48" s="619"/>
    </row>
    <row r="49" spans="1:10" ht="15.6" x14ac:dyDescent="0.3">
      <c r="A49" s="591" t="s">
        <v>128</v>
      </c>
      <c r="B49" s="592"/>
      <c r="C49" s="5" t="s">
        <v>127</v>
      </c>
      <c r="D49" s="26">
        <f>Bangula!D49+Bangula!E49+Bangula!F49+Bangula!G49+Bangula!H49+Bangula!I49</f>
        <v>1670</v>
      </c>
      <c r="E49" s="26">
        <f>Chikwawa!D49+Chikwawa!E49+Chikwawa!F49+Chikwawa!G49+Chikwawa!H49+Chikwawa!I49</f>
        <v>3585</v>
      </c>
      <c r="F49" s="26">
        <f>'Miseu Folo'!D49+'Miseu Folo'!E49+'Miseu Folo'!F49+'Miseu Folo'!G49+'Miseu Folo'!H49+'Miseu Folo'!I49</f>
        <v>655</v>
      </c>
      <c r="G49" s="26">
        <f>Nchalo!D49+Nchalo!E49+Nchalo!F49+Nchalo!G49+Nchalo!H49+Nchalo!I49</f>
        <v>0</v>
      </c>
      <c r="H49" s="26">
        <f>Nsanje!D49+Nsanje!E49+Nsanje!F49+Nsanje!G49+Nsanje!H49+Nsanje!I49</f>
        <v>9414</v>
      </c>
      <c r="I49" s="26">
        <f>Ngabu!D49+Ngabu!E49+Ngabu!F49+Ngabu!G49+Ngabu!H49+Ngabu!I49</f>
        <v>9670</v>
      </c>
      <c r="J49" s="39">
        <f>SUM(D49:I49)</f>
        <v>24994</v>
      </c>
    </row>
    <row r="50" spans="1:10" ht="15.6" x14ac:dyDescent="0.3">
      <c r="A50" s="591" t="s">
        <v>187</v>
      </c>
      <c r="B50" s="592"/>
      <c r="C50" s="5" t="s">
        <v>126</v>
      </c>
      <c r="D50" s="26">
        <f>Bangula!D50+Bangula!E50+Bangula!F50+Bangula!G50+Bangula!H50+Bangula!I50</f>
        <v>73.5</v>
      </c>
      <c r="E50" s="26">
        <f>Chikwawa!D50+Chikwawa!E50+Chikwawa!F50+Chikwawa!G50+Chikwawa!H50+Chikwawa!I50</f>
        <v>608</v>
      </c>
      <c r="F50" s="26">
        <f>'Miseu Folo'!D50+'Miseu Folo'!E50+'Miseu Folo'!F50+'Miseu Folo'!G50+'Miseu Folo'!H50+'Miseu Folo'!I50</f>
        <v>50</v>
      </c>
      <c r="G50" s="26">
        <f>Nchalo!D50+Nchalo!E50+Nchalo!F50+Nchalo!G50+Nchalo!H50+Nchalo!I50</f>
        <v>0</v>
      </c>
      <c r="H50" s="26">
        <f>Nsanje!D50+Nsanje!E50+Nsanje!F50+Nsanje!G50+Nsanje!H50+Nsanje!I50</f>
        <v>1064</v>
      </c>
      <c r="I50" s="26">
        <f>Ngabu!D50+Ngabu!E50+Ngabu!F50+Ngabu!G50+Ngabu!H50+Ngabu!I50</f>
        <v>1326</v>
      </c>
      <c r="J50" s="39">
        <f>SUM(D50:I50)</f>
        <v>3121.5</v>
      </c>
    </row>
    <row r="51" spans="1:10" ht="15.6" x14ac:dyDescent="0.3">
      <c r="A51" s="620" t="s">
        <v>125</v>
      </c>
      <c r="B51" s="621"/>
      <c r="C51" s="5" t="s">
        <v>31</v>
      </c>
      <c r="D51" s="26">
        <f>Bangula!D51+Bangula!E51+Bangula!F51+Bangula!G51+Bangula!H51+Bangula!I51</f>
        <v>108045</v>
      </c>
      <c r="E51" s="26">
        <f>Chikwawa!D51+Chikwawa!E51+Chikwawa!F51+Chikwawa!G51+Chikwawa!H51+Chikwawa!I51</f>
        <v>1167360</v>
      </c>
      <c r="F51" s="26">
        <f>'Miseu Folo'!D51+'Miseu Folo'!E51+'Miseu Folo'!F51+'Miseu Folo'!G51+'Miseu Folo'!H51+'Miseu Folo'!I51</f>
        <v>96000</v>
      </c>
      <c r="G51" s="26">
        <f>Nchalo!D51+Nchalo!E51+Nchalo!F51+Nchalo!G51+Nchalo!H51+Nchalo!I51</f>
        <v>0</v>
      </c>
      <c r="H51" s="26">
        <f>Nsanje!D51+Nsanje!E51+Nsanje!F51+Nsanje!G51+Nsanje!H51+Nsanje!I51</f>
        <v>2042880</v>
      </c>
      <c r="I51" s="26">
        <f>Ngabu!D51+Ngabu!E51+Ngabu!F51+Ngabu!G51+Ngabu!H51+Ngabu!I51</f>
        <v>2545920</v>
      </c>
      <c r="J51" s="40">
        <f>SUM(D51:I51)</f>
        <v>5960205</v>
      </c>
    </row>
    <row r="52" spans="1:10" ht="15.6" x14ac:dyDescent="0.3">
      <c r="A52" s="591" t="s">
        <v>124</v>
      </c>
      <c r="B52" s="592"/>
      <c r="C52" s="5" t="s">
        <v>31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40">
        <f>SUM(D52:I52)</f>
        <v>0</v>
      </c>
    </row>
    <row r="53" spans="1:10" x14ac:dyDescent="0.3">
      <c r="A53" s="617" t="s">
        <v>123</v>
      </c>
      <c r="B53" s="618"/>
      <c r="C53" s="618"/>
      <c r="D53" s="618"/>
      <c r="E53" s="618"/>
      <c r="F53" s="618"/>
      <c r="G53" s="618"/>
      <c r="H53" s="618"/>
      <c r="I53" s="618"/>
      <c r="J53" s="619"/>
    </row>
    <row r="54" spans="1:10" ht="15.6" x14ac:dyDescent="0.3">
      <c r="A54" s="591" t="s">
        <v>122</v>
      </c>
      <c r="B54" s="592"/>
      <c r="C54" s="11" t="s">
        <v>18</v>
      </c>
      <c r="D54" s="26">
        <f>Bangula!D54+Bangula!E54+Bangula!F54+Bangula!G54+Bangula!H54+Bangula!I54</f>
        <v>5020018.4760000007</v>
      </c>
      <c r="E54" s="26">
        <f>Chikwawa!D54+Chikwawa!E54+Chikwawa!F54+Chikwawa!G54+Chikwawa!H54+Chikwawa!I54</f>
        <v>0</v>
      </c>
      <c r="F54" s="26">
        <f>'Miseu Folo'!D54+'Miseu Folo'!E54+'Miseu Folo'!F54+'Miseu Folo'!G54+'Miseu Folo'!H54+'Miseu Folo'!I54</f>
        <v>8628916.8239999991</v>
      </c>
      <c r="G54" s="26">
        <f>Nchalo!D54+Nchalo!E54+Nchalo!F54+Nchalo!G54+Nchalo!H54+Nchalo!I54</f>
        <v>9137712.4079999998</v>
      </c>
      <c r="H54" s="26">
        <f>Nsanje!D54+Nsanje!E54+Nsanje!F54+Nsanje!G54+Nsanje!H54+Nsanje!I54</f>
        <v>24341793.640000001</v>
      </c>
      <c r="I54" s="26">
        <f>Ngabu!D54+Ngabu!E54+Ngabu!F54+Ngabu!G54+Ngabu!H54+Ngabu!I54</f>
        <v>9994854.4079999998</v>
      </c>
      <c r="J54" s="39">
        <f>SUM(D54:I54)</f>
        <v>57123295.756000005</v>
      </c>
    </row>
    <row r="55" spans="1:10" ht="15.6" x14ac:dyDescent="0.3">
      <c r="A55" s="579" t="s">
        <v>121</v>
      </c>
      <c r="B55" s="580"/>
      <c r="C55" s="11" t="s">
        <v>18</v>
      </c>
      <c r="D55" s="26">
        <f>Bangula!D55+Bangula!E55+Bangula!F55+Bangula!G55+Bangula!H55+Bangula!I55</f>
        <v>992850.78</v>
      </c>
      <c r="E55" s="26">
        <f>Chikwawa!D55+Chikwawa!E55+Chikwawa!F55+Chikwawa!G55+Chikwawa!H55+Chikwawa!I55</f>
        <v>0</v>
      </c>
      <c r="F55" s="26">
        <f>'Miseu Folo'!D55+'Miseu Folo'!E55+'Miseu Folo'!F55+'Miseu Folo'!G55+'Miseu Folo'!H55+'Miseu Folo'!I55</f>
        <v>0</v>
      </c>
      <c r="G55" s="26">
        <f>Nchalo!D55+Nchalo!E55+Nchalo!F55+Nchalo!G55+Nchalo!H55+Nchalo!I55</f>
        <v>1044232.8</v>
      </c>
      <c r="H55" s="26">
        <f>Nsanje!D55+Nsanje!E55+Nsanje!F55+Nsanje!G55+Nsanje!H55+Nsanje!I55</f>
        <v>4253205.18</v>
      </c>
      <c r="I55" s="26">
        <f>Ngabu!D55+Ngabu!E55+Ngabu!F55+Ngabu!G55+Ngabu!H55+Ngabu!I55</f>
        <v>1446926.4</v>
      </c>
      <c r="J55" s="39">
        <f>SUM(D55:I55)</f>
        <v>7737215.1600000001</v>
      </c>
    </row>
    <row r="56" spans="1:10" ht="15.6" x14ac:dyDescent="0.3">
      <c r="A56" s="591" t="s">
        <v>120</v>
      </c>
      <c r="B56" s="592"/>
      <c r="C56" s="5" t="s">
        <v>18</v>
      </c>
      <c r="D56" s="26">
        <f>Bangula!D56+Bangula!E56+Bangula!F56+Bangula!G56+Bangula!H56+Bangula!I56</f>
        <v>0</v>
      </c>
      <c r="E56" s="26">
        <f>Bangula!E56+Bangula!F56+Bangula!G56+Bangula!H56+Bangula!I56+Bangula!J56</f>
        <v>0</v>
      </c>
      <c r="F56" s="26">
        <f>Bangula!F56+Bangula!G56+Bangula!H56+Bangula!I56+Bangula!J56+Bangula!K56</f>
        <v>0</v>
      </c>
      <c r="G56" s="26">
        <f>Bangula!G56+Bangula!H56+Bangula!I56+Bangula!J56+Bangula!K56+Bangula!L56</f>
        <v>0</v>
      </c>
      <c r="H56" s="26">
        <f>Bangula!H56+Bangula!I56+Bangula!J56+Bangula!K56+Bangula!L56+Bangula!M56</f>
        <v>0</v>
      </c>
      <c r="I56" s="26">
        <f>Bangula!I56+Bangula!J56+Bangula!K56+Bangula!L56+Bangula!M56+Bangula!N56</f>
        <v>0</v>
      </c>
      <c r="J56" s="26">
        <f>Bangula!J56+Bangula!K56+Bangula!L56+Bangula!M56+Bangula!N56+Bangula!O56</f>
        <v>0</v>
      </c>
    </row>
    <row r="57" spans="1:10" x14ac:dyDescent="0.3">
      <c r="A57" s="617" t="s">
        <v>119</v>
      </c>
      <c r="B57" s="618"/>
      <c r="C57" s="618"/>
      <c r="D57" s="618"/>
      <c r="E57" s="618"/>
      <c r="F57" s="618"/>
      <c r="G57" s="618"/>
      <c r="H57" s="618"/>
      <c r="I57" s="618"/>
      <c r="J57" s="619"/>
    </row>
    <row r="58" spans="1:10" ht="15.6" x14ac:dyDescent="0.3">
      <c r="A58" s="620" t="s">
        <v>118</v>
      </c>
      <c r="B58" s="621"/>
      <c r="C58" s="5" t="s">
        <v>18</v>
      </c>
      <c r="D58" s="13">
        <f>D41+D46+D51+D52+D54+D55+D56</f>
        <v>15509451.403999997</v>
      </c>
      <c r="E58" s="13">
        <f t="shared" ref="E58:I58" si="14">E41+E46+E51+E52+E54+E55+E56</f>
        <v>17201217.579999998</v>
      </c>
      <c r="F58" s="13">
        <f t="shared" si="14"/>
        <v>9733190.6259999983</v>
      </c>
      <c r="G58" s="13">
        <f t="shared" si="14"/>
        <v>17455305.248</v>
      </c>
      <c r="H58" s="13">
        <f t="shared" si="14"/>
        <v>45761905.695</v>
      </c>
      <c r="I58" s="13">
        <f t="shared" si="14"/>
        <v>23183246.636999998</v>
      </c>
      <c r="J58" s="39">
        <f>SUM(D58:I58)</f>
        <v>128844317.19</v>
      </c>
    </row>
    <row r="59" spans="1:10" ht="15.6" x14ac:dyDescent="0.3">
      <c r="A59" s="620" t="s">
        <v>117</v>
      </c>
      <c r="B59" s="621"/>
      <c r="C59" s="5" t="s">
        <v>115</v>
      </c>
      <c r="D59" s="15">
        <f t="shared" ref="D59:J59" si="15">D58/D9</f>
        <v>223.36969501973093</v>
      </c>
      <c r="E59" s="15">
        <f t="shared" si="15"/>
        <v>100.11126451365082</v>
      </c>
      <c r="F59" s="15">
        <f t="shared" si="15"/>
        <v>476.02047371252496</v>
      </c>
      <c r="G59" s="15">
        <f t="shared" si="15"/>
        <v>119.48486698428344</v>
      </c>
      <c r="H59" s="15">
        <f t="shared" si="15"/>
        <v>378.23820488978157</v>
      </c>
      <c r="I59" s="15">
        <f t="shared" si="15"/>
        <v>246.77204603708512</v>
      </c>
      <c r="J59" s="40">
        <f t="shared" si="15"/>
        <v>206.90470271693835</v>
      </c>
    </row>
    <row r="60" spans="1:10" ht="15.6" x14ac:dyDescent="0.3">
      <c r="A60" s="620" t="s">
        <v>116</v>
      </c>
      <c r="B60" s="621"/>
      <c r="C60" s="5" t="s">
        <v>115</v>
      </c>
      <c r="D60" s="15">
        <f>D58/D22</f>
        <v>274.06021770092269</v>
      </c>
      <c r="E60" s="15">
        <f t="shared" ref="E60:I60" si="16">E58/E22</f>
        <v>121.57712236012551</v>
      </c>
      <c r="F60" s="15">
        <f t="shared" si="16"/>
        <v>570.37989182156991</v>
      </c>
      <c r="G60" s="15">
        <f t="shared" si="16"/>
        <v>169.73578127172709</v>
      </c>
      <c r="H60" s="15">
        <f t="shared" si="16"/>
        <v>504.34511920939258</v>
      </c>
      <c r="I60" s="15">
        <f t="shared" si="16"/>
        <v>374.3036736845504</v>
      </c>
      <c r="J60" s="170">
        <f>J58/J22</f>
        <v>273.7581269273868</v>
      </c>
    </row>
    <row r="61" spans="1:10" ht="15.6" x14ac:dyDescent="0.3">
      <c r="A61" s="591" t="s">
        <v>114</v>
      </c>
      <c r="B61" s="592"/>
      <c r="C61" s="5" t="s">
        <v>3</v>
      </c>
      <c r="D61" s="26">
        <f>Bangula!I61</f>
        <v>2</v>
      </c>
      <c r="E61" s="26">
        <f>Chikwawa!I61</f>
        <v>8</v>
      </c>
      <c r="F61" s="26">
        <f>'Miseu Folo'!I61</f>
        <v>8</v>
      </c>
      <c r="G61" s="26">
        <f>Nchalo!I61</f>
        <v>6</v>
      </c>
      <c r="H61" s="26">
        <f>Nsanje!I61</f>
        <v>7</v>
      </c>
      <c r="I61" s="26">
        <f>Ngabu!I61</f>
        <v>7</v>
      </c>
      <c r="J61" s="39">
        <f>SUM(D61:I61)</f>
        <v>38</v>
      </c>
    </row>
    <row r="62" spans="1:10" ht="15.6" customHeight="1" x14ac:dyDescent="0.3">
      <c r="A62" s="620" t="s">
        <v>113</v>
      </c>
      <c r="B62" s="621"/>
      <c r="C62" s="5" t="s">
        <v>112</v>
      </c>
      <c r="D62" s="15">
        <f t="shared" ref="D62:J62" si="17">(D61*1000*31)/D9</f>
        <v>0.89293429731831664</v>
      </c>
      <c r="E62" s="15">
        <f t="shared" si="17"/>
        <v>1.4433625691853731</v>
      </c>
      <c r="F62" s="15">
        <f t="shared" si="17"/>
        <v>12.128918667775224</v>
      </c>
      <c r="G62" s="15">
        <f t="shared" si="17"/>
        <v>1.2732051913914901</v>
      </c>
      <c r="H62" s="15">
        <f t="shared" si="17"/>
        <v>1.7935811285510013</v>
      </c>
      <c r="I62" s="15">
        <f t="shared" si="17"/>
        <v>2.3098375662614692</v>
      </c>
      <c r="J62" s="40">
        <f t="shared" si="17"/>
        <v>1.8916918116080506</v>
      </c>
    </row>
    <row r="63" spans="1:10" ht="15.6" x14ac:dyDescent="0.3">
      <c r="A63" s="634" t="s">
        <v>111</v>
      </c>
      <c r="B63" s="635"/>
      <c r="C63" s="38" t="s">
        <v>3</v>
      </c>
      <c r="D63" s="26">
        <f>Bangula!I63</f>
        <v>4</v>
      </c>
      <c r="E63" s="26">
        <f>Chikwawa!I63</f>
        <v>6</v>
      </c>
      <c r="F63" s="26">
        <f>'Miseu Folo'!I63</f>
        <v>0</v>
      </c>
      <c r="G63" s="26">
        <f>Nchalo!I63</f>
        <v>6</v>
      </c>
      <c r="H63" s="26">
        <f>Nsanje!I63</f>
        <v>6</v>
      </c>
      <c r="I63" s="26">
        <f>Ngabu!I63</f>
        <v>6</v>
      </c>
      <c r="J63" s="39">
        <f>SUM(D63:I63)</f>
        <v>28</v>
      </c>
    </row>
    <row r="64" spans="1:10" x14ac:dyDescent="0.3">
      <c r="A64" s="674"/>
      <c r="B64" s="675"/>
      <c r="C64" s="675"/>
      <c r="D64" s="675"/>
      <c r="E64" s="675"/>
      <c r="F64" s="675"/>
      <c r="G64" s="675"/>
      <c r="H64" s="675"/>
      <c r="I64" s="675"/>
      <c r="J64" s="676"/>
    </row>
    <row r="65" spans="1:10" ht="14.4" customHeight="1" x14ac:dyDescent="0.3">
      <c r="A65" s="617" t="s">
        <v>110</v>
      </c>
      <c r="B65" s="618"/>
      <c r="C65" s="618"/>
      <c r="D65" s="618"/>
      <c r="E65" s="618"/>
      <c r="F65" s="618"/>
      <c r="G65" s="618"/>
      <c r="H65" s="618"/>
      <c r="I65" s="618"/>
      <c r="J65" s="619"/>
    </row>
    <row r="66" spans="1:10" ht="15.6" x14ac:dyDescent="0.3">
      <c r="A66" s="622" t="s">
        <v>109</v>
      </c>
      <c r="B66" s="37" t="s">
        <v>85</v>
      </c>
      <c r="C66" s="5" t="s">
        <v>3</v>
      </c>
      <c r="D66" s="26">
        <f>Bangula!D66</f>
        <v>45</v>
      </c>
      <c r="E66" s="26">
        <f>Chikwawa!D66</f>
        <v>376</v>
      </c>
      <c r="F66" s="26">
        <f>'Miseu Folo'!D66</f>
        <v>4</v>
      </c>
      <c r="G66" s="26">
        <f>Nchalo!D66</f>
        <v>54</v>
      </c>
      <c r="H66" s="26">
        <f>Nsanje!D66</f>
        <v>166</v>
      </c>
      <c r="I66" s="26">
        <f>Ngabu!D66</f>
        <v>134</v>
      </c>
      <c r="J66" s="171">
        <f>SUM(D66:I66)</f>
        <v>779</v>
      </c>
    </row>
    <row r="67" spans="1:10" ht="15.6" x14ac:dyDescent="0.3">
      <c r="A67" s="623"/>
      <c r="B67" s="24" t="s">
        <v>104</v>
      </c>
      <c r="C67" s="5" t="s">
        <v>3</v>
      </c>
      <c r="D67" s="26">
        <f>Bangula!D67+Bangula!E67+Bangula!F67+Bangula!G67+Bangula!H67+Bangula!I67</f>
        <v>21</v>
      </c>
      <c r="E67" s="26">
        <f>Chikwawa!D67+Chikwawa!E67+Chikwawa!F67+Chikwawa!G67+Chikwawa!H67+Chikwawa!I67</f>
        <v>83</v>
      </c>
      <c r="F67" s="26">
        <f>'Miseu Folo'!D67+'Miseu Folo'!E67+'Miseu Folo'!F67+'Miseu Folo'!G67+'Miseu Folo'!H67+'Miseu Folo'!I67</f>
        <v>323</v>
      </c>
      <c r="G67" s="26">
        <f>Nchalo!D67+Nchalo!E67+Nchalo!F67+Nchalo!G67+Nchalo!H67+Nchalo!I67</f>
        <v>77</v>
      </c>
      <c r="H67" s="26">
        <f>Nsanje!D67+Nsanje!E67+Nsanje!F67+Nsanje!G67+Nsanje!H67+Nsanje!I67</f>
        <v>101</v>
      </c>
      <c r="I67" s="26">
        <f>Ngabu!D67+Ngabu!E67+Ngabu!F67+Ngabu!G67+Ngabu!H67+Ngabu!I67</f>
        <v>18</v>
      </c>
      <c r="J67" s="171">
        <f>SUM(D67:I67)</f>
        <v>623</v>
      </c>
    </row>
    <row r="68" spans="1:10" ht="27" x14ac:dyDescent="0.3">
      <c r="A68" s="623"/>
      <c r="B68" s="24" t="s">
        <v>103</v>
      </c>
      <c r="C68" s="5" t="s">
        <v>3</v>
      </c>
      <c r="D68" s="26">
        <f>Bangula!D68+Bangula!E68+Bangula!F68+Bangula!G68+Bangula!H68+Bangula!I68</f>
        <v>42</v>
      </c>
      <c r="E68" s="26">
        <f>Chikwawa!D68+Chikwawa!E68+Chikwawa!F68+Chikwawa!G68+Chikwawa!H68+Chikwawa!I68</f>
        <v>172</v>
      </c>
      <c r="F68" s="26">
        <f>'Miseu Folo'!D68+'Miseu Folo'!E68+'Miseu Folo'!F68+'Miseu Folo'!G68+'Miseu Folo'!H68+'Miseu Folo'!I68</f>
        <v>98</v>
      </c>
      <c r="G68" s="26">
        <f>Nchalo!D68+Nchalo!E68+Nchalo!F68+Nchalo!G68+Nchalo!H68+Nchalo!I68</f>
        <v>84</v>
      </c>
      <c r="H68" s="26">
        <f>Nsanje!D68+Nsanje!E68+Nsanje!F68+Nsanje!G68+Nsanje!H68+Nsanje!I68</f>
        <v>108</v>
      </c>
      <c r="I68" s="26">
        <f>Ngabu!D68+Ngabu!E68+Ngabu!F68+Ngabu!G68+Ngabu!H68+Ngabu!I68</f>
        <v>47</v>
      </c>
      <c r="J68" s="171">
        <f>SUM(D68:I68)</f>
        <v>551</v>
      </c>
    </row>
    <row r="69" spans="1:10" s="2" customFormat="1" ht="27" x14ac:dyDescent="0.3">
      <c r="A69" s="623"/>
      <c r="B69" s="24" t="s">
        <v>102</v>
      </c>
      <c r="C69" s="11" t="s">
        <v>3</v>
      </c>
      <c r="D69" s="26">
        <f>Bangula!D69+Bangula!E69+Bangula!F69+Bangula!G69+Bangula!H69+Bangula!I69</f>
        <v>0</v>
      </c>
      <c r="E69" s="26">
        <f>Chikwawa!D69+Chikwawa!E69+Chikwawa!F69+Chikwawa!G69+Chikwawa!H69+Chikwawa!I69</f>
        <v>2</v>
      </c>
      <c r="F69" s="26">
        <f>'Miseu Folo'!D69+'Miseu Folo'!E69+'Miseu Folo'!F69+'Miseu Folo'!G69+'Miseu Folo'!H69+'Miseu Folo'!I69</f>
        <v>0</v>
      </c>
      <c r="G69" s="26">
        <f>Nchalo!D69+Nchalo!E69+Nchalo!F69+Nchalo!G69+Nchalo!H69+Nchalo!I69</f>
        <v>7</v>
      </c>
      <c r="H69" s="26">
        <f>Nsanje!D69+Nsanje!E69+Nsanje!F69+Nsanje!G69+Nsanje!H69+Nsanje!I69</f>
        <v>0</v>
      </c>
      <c r="I69" s="26">
        <f>Ngabu!D69+Ngabu!E69+Ngabu!F69+Ngabu!G69+Ngabu!H69+Ngabu!I69</f>
        <v>19</v>
      </c>
      <c r="J69" s="171">
        <f>SUM(D69:I69)</f>
        <v>28</v>
      </c>
    </row>
    <row r="70" spans="1:10" s="2" customFormat="1" ht="15.6" x14ac:dyDescent="0.3">
      <c r="A70" s="623"/>
      <c r="B70" s="24" t="s">
        <v>188</v>
      </c>
      <c r="C70" s="11" t="s">
        <v>3</v>
      </c>
      <c r="D70" s="4">
        <f>D68+D69</f>
        <v>42</v>
      </c>
      <c r="E70" s="4">
        <f t="shared" ref="E70:J70" si="18">E68+E69</f>
        <v>174</v>
      </c>
      <c r="F70" s="4">
        <f t="shared" si="18"/>
        <v>98</v>
      </c>
      <c r="G70" s="4">
        <f t="shared" si="18"/>
        <v>91</v>
      </c>
      <c r="H70" s="4">
        <f t="shared" si="18"/>
        <v>108</v>
      </c>
      <c r="I70" s="4">
        <f t="shared" si="18"/>
        <v>66</v>
      </c>
      <c r="J70" s="159">
        <f t="shared" si="18"/>
        <v>579</v>
      </c>
    </row>
    <row r="71" spans="1:10" ht="15.6" x14ac:dyDescent="0.3">
      <c r="A71" s="624"/>
      <c r="B71" s="37" t="s">
        <v>81</v>
      </c>
      <c r="C71" s="5" t="s">
        <v>3</v>
      </c>
      <c r="D71" s="26">
        <f>D66+D67-D70</f>
        <v>24</v>
      </c>
      <c r="E71" s="26">
        <f t="shared" ref="E71:I71" si="19">E66+E67-E70</f>
        <v>285</v>
      </c>
      <c r="F71" s="26">
        <f t="shared" si="19"/>
        <v>229</v>
      </c>
      <c r="G71" s="26">
        <f t="shared" si="19"/>
        <v>40</v>
      </c>
      <c r="H71" s="26">
        <f t="shared" si="19"/>
        <v>159</v>
      </c>
      <c r="I71" s="26">
        <f t="shared" si="19"/>
        <v>86</v>
      </c>
      <c r="J71" s="158">
        <f>J66+J67-J70</f>
        <v>823</v>
      </c>
    </row>
    <row r="72" spans="1:10" ht="15.6" x14ac:dyDescent="0.3">
      <c r="A72" s="622" t="s">
        <v>108</v>
      </c>
      <c r="B72" s="37" t="s">
        <v>85</v>
      </c>
      <c r="C72" s="5" t="s">
        <v>3</v>
      </c>
      <c r="D72" s="26">
        <f>Bangula!D72</f>
        <v>0</v>
      </c>
      <c r="E72" s="26">
        <f>Chikwawa!D72</f>
        <v>0</v>
      </c>
      <c r="F72" s="26">
        <f>'Miseu Folo'!D72</f>
        <v>0</v>
      </c>
      <c r="G72" s="26">
        <f>Nchalo!D72</f>
        <v>0</v>
      </c>
      <c r="H72" s="26">
        <f>Nsanje!D72</f>
        <v>0</v>
      </c>
      <c r="I72" s="26">
        <f>Ngabu!D72</f>
        <v>0</v>
      </c>
      <c r="J72" s="171">
        <f>SUM(D72:I72)</f>
        <v>0</v>
      </c>
    </row>
    <row r="73" spans="1:10" ht="15.6" x14ac:dyDescent="0.3">
      <c r="A73" s="623"/>
      <c r="B73" s="24" t="s">
        <v>104</v>
      </c>
      <c r="C73" s="5" t="s">
        <v>3</v>
      </c>
      <c r="D73" s="26">
        <f>Bangula!D73+Bangula!E73+Bangula!F73+Bangula!G73+Bangula!H73+Bangula!I73</f>
        <v>0</v>
      </c>
      <c r="E73" s="26">
        <f>Chikwawa!D73+Chikwawa!E73+Chikwawa!F73+Chikwawa!G73+Chikwawa!H73+Chikwawa!I73</f>
        <v>1</v>
      </c>
      <c r="F73" s="26">
        <f>'Miseu Folo'!D73+'Miseu Folo'!E73+'Miseu Folo'!F73+'Miseu Folo'!G73+'Miseu Folo'!H73+'Miseu Folo'!I73</f>
        <v>0</v>
      </c>
      <c r="G73" s="26">
        <f>Nchalo!D73+Nchalo!E73+Nchalo!F73+Nchalo!G73+Nchalo!H73+Nchalo!I73</f>
        <v>1</v>
      </c>
      <c r="H73" s="26">
        <f>Nsanje!D73+Nsanje!E73+Nsanje!F73+Nsanje!G73+Nsanje!H73+Nsanje!I73</f>
        <v>0</v>
      </c>
      <c r="I73" s="26">
        <f>Ngabu!D73+Ngabu!E73+Ngabu!F73+Ngabu!G73+Ngabu!H73+Ngabu!I73</f>
        <v>0</v>
      </c>
      <c r="J73" s="171">
        <f>SUM(D73:I73)</f>
        <v>2</v>
      </c>
    </row>
    <row r="74" spans="1:10" ht="27" x14ac:dyDescent="0.3">
      <c r="A74" s="623"/>
      <c r="B74" s="24" t="s">
        <v>103</v>
      </c>
      <c r="C74" s="5" t="s">
        <v>3</v>
      </c>
      <c r="D74" s="26">
        <f>Bangula!D74+Bangula!E74+Bangula!F74+Bangula!G74+Bangula!H74+Bangula!I74</f>
        <v>0</v>
      </c>
      <c r="E74" s="26">
        <f>Chikwawa!D74+Chikwawa!E74+Chikwawa!F74+Chikwawa!G74+Chikwawa!H74+Chikwawa!I74</f>
        <v>1</v>
      </c>
      <c r="F74" s="26">
        <f>'Miseu Folo'!D74+'Miseu Folo'!E74+'Miseu Folo'!F74+'Miseu Folo'!G74+'Miseu Folo'!H74+'Miseu Folo'!I74</f>
        <v>0</v>
      </c>
      <c r="G74" s="26">
        <f>Nchalo!D74+Nchalo!E74+Nchalo!F74+Nchalo!G74+Nchalo!H74+Nchalo!I74</f>
        <v>1</v>
      </c>
      <c r="H74" s="26">
        <f>Nsanje!D74+Nsanje!E74+Nsanje!F74+Nsanje!G74+Nsanje!H74+Nsanje!I74</f>
        <v>0</v>
      </c>
      <c r="I74" s="26">
        <f>Ngabu!D74+Ngabu!E74+Ngabu!F74+Ngabu!G74+Ngabu!H74+Ngabu!I74</f>
        <v>0</v>
      </c>
      <c r="J74" s="171">
        <f>SUM(D74:I74)</f>
        <v>2</v>
      </c>
    </row>
    <row r="75" spans="1:10" s="2" customFormat="1" ht="27" x14ac:dyDescent="0.3">
      <c r="A75" s="623"/>
      <c r="B75" s="24" t="s">
        <v>102</v>
      </c>
      <c r="C75" s="11" t="s">
        <v>3</v>
      </c>
      <c r="D75" s="26">
        <f>Bangula!D75+Bangula!E75+Bangula!F75+Bangula!G75+Bangula!H75+Bangula!I75</f>
        <v>0</v>
      </c>
      <c r="E75" s="26">
        <f>Chikwawa!D75+Chikwawa!E75+Chikwawa!F75+Chikwawa!G75+Chikwawa!H75+Chikwawa!I75</f>
        <v>0</v>
      </c>
      <c r="F75" s="26">
        <f>'Miseu Folo'!D75+'Miseu Folo'!E75+'Miseu Folo'!F75+'Miseu Folo'!G75+'Miseu Folo'!H75+'Miseu Folo'!I75</f>
        <v>0</v>
      </c>
      <c r="G75" s="26">
        <f>Nchalo!D75+Nchalo!E75+Nchalo!F75+Nchalo!G75+Nchalo!H75+Nchalo!I75</f>
        <v>0</v>
      </c>
      <c r="H75" s="26">
        <f>Nsanje!D75+Nsanje!E75+Nsanje!F75+Nsanje!G75+Nsanje!H75+Nsanje!I75</f>
        <v>0</v>
      </c>
      <c r="I75" s="26">
        <f>Ngabu!D75+Ngabu!E75+Ngabu!F75+Ngabu!G75+Ngabu!H75+Ngabu!I75</f>
        <v>0</v>
      </c>
      <c r="J75" s="157"/>
    </row>
    <row r="76" spans="1:10" s="2" customFormat="1" ht="15.6" x14ac:dyDescent="0.3">
      <c r="A76" s="623"/>
      <c r="B76" s="24" t="s">
        <v>188</v>
      </c>
      <c r="C76" s="11" t="s">
        <v>3</v>
      </c>
      <c r="D76" s="4">
        <f>D74+D75</f>
        <v>0</v>
      </c>
      <c r="E76" s="4">
        <f t="shared" ref="E76:J76" si="20">E74+E75</f>
        <v>1</v>
      </c>
      <c r="F76" s="4">
        <f t="shared" si="20"/>
        <v>0</v>
      </c>
      <c r="G76" s="4">
        <f t="shared" si="20"/>
        <v>1</v>
      </c>
      <c r="H76" s="4">
        <f t="shared" si="20"/>
        <v>0</v>
      </c>
      <c r="I76" s="4">
        <f t="shared" si="20"/>
        <v>0</v>
      </c>
      <c r="J76" s="159">
        <f t="shared" si="20"/>
        <v>2</v>
      </c>
    </row>
    <row r="77" spans="1:10" ht="15.6" x14ac:dyDescent="0.3">
      <c r="A77" s="624"/>
      <c r="B77" s="37" t="s">
        <v>81</v>
      </c>
      <c r="C77" s="5" t="s">
        <v>3</v>
      </c>
      <c r="D77" s="26">
        <f>D73+D74-D76</f>
        <v>0</v>
      </c>
      <c r="E77" s="26">
        <f t="shared" ref="E77:J77" si="21">E73+E74-E76</f>
        <v>1</v>
      </c>
      <c r="F77" s="26">
        <f t="shared" si="21"/>
        <v>0</v>
      </c>
      <c r="G77" s="26">
        <f t="shared" si="21"/>
        <v>1</v>
      </c>
      <c r="H77" s="26">
        <f t="shared" si="21"/>
        <v>0</v>
      </c>
      <c r="I77" s="26">
        <f t="shared" si="21"/>
        <v>0</v>
      </c>
      <c r="J77" s="158">
        <f t="shared" si="21"/>
        <v>2</v>
      </c>
    </row>
    <row r="78" spans="1:10" ht="15.6" customHeight="1" x14ac:dyDescent="0.3">
      <c r="A78" s="622" t="s">
        <v>107</v>
      </c>
      <c r="B78" s="37" t="s">
        <v>85</v>
      </c>
      <c r="C78" s="5" t="s">
        <v>3</v>
      </c>
      <c r="D78" s="26">
        <f>Bangula!D78</f>
        <v>0</v>
      </c>
      <c r="E78" s="26">
        <f>Chikwawa!D78</f>
        <v>0</v>
      </c>
      <c r="F78" s="26">
        <f>'Miseu Folo'!D78</f>
        <v>0</v>
      </c>
      <c r="G78" s="26">
        <f>Nchalo!D78</f>
        <v>0</v>
      </c>
      <c r="H78" s="26">
        <f>Nsanje!D78</f>
        <v>0</v>
      </c>
      <c r="I78" s="26">
        <f>Ngabu!D78</f>
        <v>0</v>
      </c>
      <c r="J78" s="171">
        <f>SUM(D78:I78)</f>
        <v>0</v>
      </c>
    </row>
    <row r="79" spans="1:10" ht="15.6" x14ac:dyDescent="0.3">
      <c r="A79" s="623"/>
      <c r="B79" s="24" t="s">
        <v>104</v>
      </c>
      <c r="C79" s="5" t="s">
        <v>3</v>
      </c>
      <c r="D79" s="26">
        <f>Bangula!D79+Bangula!E79+Bangula!F79+Bangula!G79+Bangula!H79+Bangula!I79</f>
        <v>1</v>
      </c>
      <c r="E79" s="26">
        <f>Chikwawa!D79+Chikwawa!E79+Chikwawa!F79+Chikwawa!G79+Chikwawa!H79+Chikwawa!I79</f>
        <v>0</v>
      </c>
      <c r="F79" s="26">
        <f>'Miseu Folo'!D79+'Miseu Folo'!E79+'Miseu Folo'!F79+'Miseu Folo'!G79+'Miseu Folo'!H79+'Miseu Folo'!I79</f>
        <v>0</v>
      </c>
      <c r="G79" s="26">
        <f>Nchalo!D79+Nchalo!E79+Nchalo!F79+Nchalo!G79+Nchalo!H79+Nchalo!I79</f>
        <v>4</v>
      </c>
      <c r="H79" s="26">
        <f>Nsanje!D79+Nsanje!E79+Nsanje!F79+Nsanje!G79+Nsanje!H79+Nsanje!I79</f>
        <v>0</v>
      </c>
      <c r="I79" s="26">
        <f>Ngabu!D79+Ngabu!E79+Ngabu!F79+Ngabu!G79+Ngabu!H79+Ngabu!I79</f>
        <v>0</v>
      </c>
      <c r="J79" s="171">
        <f>SUM(D79:I79)</f>
        <v>5</v>
      </c>
    </row>
    <row r="80" spans="1:10" ht="27" x14ac:dyDescent="0.3">
      <c r="A80" s="623"/>
      <c r="B80" s="24" t="s">
        <v>103</v>
      </c>
      <c r="C80" s="5" t="s">
        <v>3</v>
      </c>
      <c r="D80" s="26">
        <f>Bangula!D80+Bangula!E80+Bangula!F80+Bangula!G80+Bangula!H80+Bangula!I80</f>
        <v>0</v>
      </c>
      <c r="E80" s="26">
        <f>Chikwawa!D80+Chikwawa!E80+Chikwawa!F80+Chikwawa!G80+Chikwawa!H80+Chikwawa!I80</f>
        <v>0</v>
      </c>
      <c r="F80" s="26">
        <f>'Miseu Folo'!D80+'Miseu Folo'!E80+'Miseu Folo'!F80+'Miseu Folo'!G80+'Miseu Folo'!H80+'Miseu Folo'!I80</f>
        <v>0</v>
      </c>
      <c r="G80" s="26">
        <f>Nchalo!D80+Nchalo!E80+Nchalo!F80+Nchalo!G80+Nchalo!H80+Nchalo!I80</f>
        <v>1</v>
      </c>
      <c r="H80" s="26">
        <f>Nsanje!D80+Nsanje!E80+Nsanje!F80+Nsanje!G80+Nsanje!H80+Nsanje!I80</f>
        <v>0</v>
      </c>
      <c r="I80" s="26">
        <f>Ngabu!D80+Ngabu!E80+Ngabu!F80+Ngabu!G80+Ngabu!H80+Ngabu!I80</f>
        <v>0</v>
      </c>
      <c r="J80" s="171"/>
    </row>
    <row r="81" spans="1:10" s="2" customFormat="1" ht="27" x14ac:dyDescent="0.3">
      <c r="A81" s="623"/>
      <c r="B81" s="24" t="s">
        <v>102</v>
      </c>
      <c r="C81" s="11" t="s">
        <v>3</v>
      </c>
      <c r="D81" s="26">
        <f>Bangula!D81+Bangula!E81+Bangula!F81+Bangula!G81+Bangula!H81+Bangula!I81</f>
        <v>0</v>
      </c>
      <c r="E81" s="26">
        <f>Chikwawa!D81+Chikwawa!E81+Chikwawa!F81+Chikwawa!G81+Chikwawa!H81+Chikwawa!I81</f>
        <v>0</v>
      </c>
      <c r="F81" s="26">
        <f>'Miseu Folo'!D81+'Miseu Folo'!E81+'Miseu Folo'!F81+'Miseu Folo'!G81+'Miseu Folo'!H81+'Miseu Folo'!I81</f>
        <v>0</v>
      </c>
      <c r="G81" s="26">
        <f>Nchalo!D81+Nchalo!E81+Nchalo!F81+Nchalo!G81+Nchalo!H81+Nchalo!I81</f>
        <v>1</v>
      </c>
      <c r="H81" s="26">
        <f>Nsanje!D81+Nsanje!E81+Nsanje!F81+Nsanje!G81+Nsanje!H81+Nsanje!I81</f>
        <v>0</v>
      </c>
      <c r="I81" s="26">
        <f>Ngabu!D81+Ngabu!E81+Ngabu!F81+Ngabu!G81+Ngabu!H81+Ngabu!I81</f>
        <v>0</v>
      </c>
      <c r="J81" s="157">
        <f>SUM(D81:I81)</f>
        <v>1</v>
      </c>
    </row>
    <row r="82" spans="1:10" s="2" customFormat="1" ht="15.6" x14ac:dyDescent="0.3">
      <c r="A82" s="623"/>
      <c r="B82" s="24" t="s">
        <v>188</v>
      </c>
      <c r="C82" s="11" t="s">
        <v>3</v>
      </c>
      <c r="D82" s="4">
        <f>D81+D80</f>
        <v>0</v>
      </c>
      <c r="E82" s="4">
        <f t="shared" ref="E82:J82" si="22">E81+E80</f>
        <v>0</v>
      </c>
      <c r="F82" s="4">
        <f t="shared" si="22"/>
        <v>0</v>
      </c>
      <c r="G82" s="4">
        <f t="shared" si="22"/>
        <v>2</v>
      </c>
      <c r="H82" s="4">
        <f t="shared" si="22"/>
        <v>0</v>
      </c>
      <c r="I82" s="4">
        <f t="shared" si="22"/>
        <v>0</v>
      </c>
      <c r="J82" s="159">
        <f t="shared" si="22"/>
        <v>1</v>
      </c>
    </row>
    <row r="83" spans="1:10" ht="15.6" x14ac:dyDescent="0.3">
      <c r="A83" s="624"/>
      <c r="B83" s="37" t="s">
        <v>81</v>
      </c>
      <c r="C83" s="5" t="s">
        <v>3</v>
      </c>
      <c r="D83" s="26">
        <f>D78+D79-D82</f>
        <v>1</v>
      </c>
      <c r="E83" s="26">
        <f t="shared" ref="E83:J83" si="23">E78+E79-E82</f>
        <v>0</v>
      </c>
      <c r="F83" s="26">
        <f t="shared" si="23"/>
        <v>0</v>
      </c>
      <c r="G83" s="26">
        <f t="shared" si="23"/>
        <v>2</v>
      </c>
      <c r="H83" s="26">
        <f t="shared" si="23"/>
        <v>0</v>
      </c>
      <c r="I83" s="26">
        <f t="shared" si="23"/>
        <v>0</v>
      </c>
      <c r="J83" s="158">
        <f t="shared" si="23"/>
        <v>4</v>
      </c>
    </row>
    <row r="84" spans="1:10" ht="15.6" x14ac:dyDescent="0.3">
      <c r="A84" s="625" t="s">
        <v>106</v>
      </c>
      <c r="B84" s="37" t="s">
        <v>85</v>
      </c>
      <c r="C84" s="5" t="s">
        <v>3</v>
      </c>
      <c r="D84" s="26">
        <f>Bangula!D84</f>
        <v>0</v>
      </c>
      <c r="E84" s="26">
        <f>Chikwawa!D84</f>
        <v>0</v>
      </c>
      <c r="F84" s="26">
        <f>'Miseu Folo'!D84</f>
        <v>0</v>
      </c>
      <c r="G84" s="26">
        <f>Nchalo!D84</f>
        <v>0</v>
      </c>
      <c r="H84" s="26">
        <f>Nsanje!D84</f>
        <v>0</v>
      </c>
      <c r="I84" s="26">
        <f>Ngabu!D84</f>
        <v>0</v>
      </c>
      <c r="J84" s="171">
        <f>SUM(D84:I84)</f>
        <v>0</v>
      </c>
    </row>
    <row r="85" spans="1:10" ht="15.6" x14ac:dyDescent="0.3">
      <c r="A85" s="626"/>
      <c r="B85" s="37" t="s">
        <v>104</v>
      </c>
      <c r="C85" s="5" t="s">
        <v>3</v>
      </c>
      <c r="D85" s="26">
        <f>Bangula!D85+Bangula!E85+Bangula!F85+Bangula!G85+Bangula!H85+Bangula!I85</f>
        <v>1</v>
      </c>
      <c r="E85" s="26">
        <f>Chikwawa!D85+Chikwawa!E85+Chikwawa!F85+Chikwawa!G85+Chikwawa!H85+Chikwawa!I85</f>
        <v>0</v>
      </c>
      <c r="F85" s="26">
        <f>'Miseu Folo'!D85+'Miseu Folo'!E85+'Miseu Folo'!F85+'Miseu Folo'!G85+'Miseu Folo'!H85+'Miseu Folo'!I85</f>
        <v>0</v>
      </c>
      <c r="G85" s="26">
        <f>Nchalo!D85+Nchalo!E85+Nchalo!F85+Nchalo!G85+Nchalo!H85+Nchalo!I85</f>
        <v>0</v>
      </c>
      <c r="H85" s="26">
        <f>Nsanje!D85+Nsanje!E85+Nsanje!F85+Nsanje!G85+Nsanje!H85+Nsanje!I85</f>
        <v>0</v>
      </c>
      <c r="I85" s="26">
        <f>Ngabu!D85+Ngabu!E85+Ngabu!F85+Ngabu!G85+Ngabu!H85+Ngabu!I85</f>
        <v>0</v>
      </c>
      <c r="J85" s="171">
        <f>SUM(D85:I85)</f>
        <v>1</v>
      </c>
    </row>
    <row r="86" spans="1:10" ht="27" x14ac:dyDescent="0.3">
      <c r="A86" s="626"/>
      <c r="B86" s="37" t="s">
        <v>103</v>
      </c>
      <c r="C86" s="5" t="s">
        <v>3</v>
      </c>
      <c r="D86" s="26">
        <f>Bangula!D86+Bangula!E86+Bangula!F86+Bangula!G86+Bangula!H86+Bangula!I86</f>
        <v>1</v>
      </c>
      <c r="E86" s="26">
        <f>Chikwawa!D86+Chikwawa!E86+Chikwawa!F86+Chikwawa!G86+Chikwawa!H86+Chikwawa!I86</f>
        <v>0</v>
      </c>
      <c r="F86" s="26">
        <f>'Miseu Folo'!D86+'Miseu Folo'!E86+'Miseu Folo'!F86+'Miseu Folo'!G86+'Miseu Folo'!H86+'Miseu Folo'!I86</f>
        <v>0</v>
      </c>
      <c r="G86" s="26">
        <f>Nchalo!D86+Nchalo!E86+Nchalo!F86+Nchalo!G86+Nchalo!H86+Nchalo!I86</f>
        <v>0</v>
      </c>
      <c r="H86" s="26">
        <f>Nsanje!D86+Nsanje!E86+Nsanje!F86+Nsanje!G86+Nsanje!H86+Nsanje!I86</f>
        <v>0</v>
      </c>
      <c r="I86" s="26">
        <f>Ngabu!D86+Ngabu!E86+Ngabu!F86+Ngabu!G86+Ngabu!H86+Ngabu!I86</f>
        <v>0</v>
      </c>
      <c r="J86" s="171"/>
    </row>
    <row r="87" spans="1:10" s="2" customFormat="1" ht="27" x14ac:dyDescent="0.3">
      <c r="A87" s="626"/>
      <c r="B87" s="24" t="s">
        <v>102</v>
      </c>
      <c r="C87" s="11" t="s">
        <v>3</v>
      </c>
      <c r="D87" s="26">
        <f>Bangula!D87+Bangula!E87+Bangula!F87+Bangula!G87+Bangula!H87+Bangula!I87</f>
        <v>0</v>
      </c>
      <c r="E87" s="26">
        <f>Chikwawa!D87+Chikwawa!E87+Chikwawa!F87+Chikwawa!G87+Chikwawa!H87+Chikwawa!I87</f>
        <v>0</v>
      </c>
      <c r="F87" s="26">
        <f>'Miseu Folo'!D87+'Miseu Folo'!E87+'Miseu Folo'!F87+'Miseu Folo'!G87+'Miseu Folo'!H87+'Miseu Folo'!I87</f>
        <v>0</v>
      </c>
      <c r="G87" s="26">
        <f>Nchalo!D87+Nchalo!E87+Nchalo!F87+Nchalo!G87+Nchalo!H87+Nchalo!I87</f>
        <v>0</v>
      </c>
      <c r="H87" s="26">
        <f>Nsanje!D87+Nsanje!E87+Nsanje!F87+Nsanje!G87+Nsanje!H87+Nsanje!I87</f>
        <v>0</v>
      </c>
      <c r="I87" s="26">
        <f>Ngabu!D87+Ngabu!E87+Ngabu!F87+Ngabu!G87+Ngabu!H87+Ngabu!I87</f>
        <v>0</v>
      </c>
      <c r="J87" s="157">
        <f>SUM(D87:I87)</f>
        <v>0</v>
      </c>
    </row>
    <row r="88" spans="1:10" s="2" customFormat="1" ht="15.6" x14ac:dyDescent="0.3">
      <c r="A88" s="626"/>
      <c r="B88" s="24" t="s">
        <v>188</v>
      </c>
      <c r="C88" s="11" t="s">
        <v>3</v>
      </c>
      <c r="D88" s="4">
        <f>D87+D86</f>
        <v>1</v>
      </c>
      <c r="E88" s="4">
        <f t="shared" ref="E88:I88" si="24">E87+E86</f>
        <v>0</v>
      </c>
      <c r="F88" s="4">
        <f t="shared" si="24"/>
        <v>0</v>
      </c>
      <c r="G88" s="4">
        <f t="shared" si="24"/>
        <v>0</v>
      </c>
      <c r="H88" s="4">
        <f t="shared" si="24"/>
        <v>0</v>
      </c>
      <c r="I88" s="4">
        <f t="shared" si="24"/>
        <v>0</v>
      </c>
      <c r="J88" s="157"/>
    </row>
    <row r="89" spans="1:10" ht="15.6" x14ac:dyDescent="0.3">
      <c r="A89" s="627"/>
      <c r="B89" s="36" t="s">
        <v>81</v>
      </c>
      <c r="C89" s="5" t="s">
        <v>3</v>
      </c>
      <c r="D89" s="26">
        <f>D84+D85-D88</f>
        <v>0</v>
      </c>
      <c r="E89" s="26">
        <f t="shared" ref="E89:I89" si="25">E84+E85-E88</f>
        <v>0</v>
      </c>
      <c r="F89" s="26">
        <f t="shared" si="25"/>
        <v>0</v>
      </c>
      <c r="G89" s="26">
        <f t="shared" si="25"/>
        <v>0</v>
      </c>
      <c r="H89" s="26">
        <f t="shared" si="25"/>
        <v>0</v>
      </c>
      <c r="I89" s="26">
        <f t="shared" si="25"/>
        <v>0</v>
      </c>
      <c r="J89" s="158">
        <f t="shared" ref="J89" si="26">J84+J85-J86-J87</f>
        <v>1</v>
      </c>
    </row>
    <row r="90" spans="1:10" ht="15.6" x14ac:dyDescent="0.3">
      <c r="A90" s="628" t="s">
        <v>105</v>
      </c>
      <c r="B90" s="24" t="s">
        <v>85</v>
      </c>
      <c r="C90" s="11" t="s">
        <v>3</v>
      </c>
      <c r="D90" s="136">
        <f>D66+D72+D78+D84</f>
        <v>45</v>
      </c>
      <c r="E90" s="136">
        <f t="shared" ref="E90:I90" si="27">E66+E72+E78+E84</f>
        <v>376</v>
      </c>
      <c r="F90" s="136">
        <f t="shared" si="27"/>
        <v>4</v>
      </c>
      <c r="G90" s="136">
        <f t="shared" si="27"/>
        <v>54</v>
      </c>
      <c r="H90" s="136">
        <f t="shared" si="27"/>
        <v>166</v>
      </c>
      <c r="I90" s="136">
        <f t="shared" si="27"/>
        <v>134</v>
      </c>
      <c r="J90" s="171">
        <f>SUM(D90:I90)</f>
        <v>779</v>
      </c>
    </row>
    <row r="91" spans="1:10" ht="15.6" x14ac:dyDescent="0.3">
      <c r="A91" s="629"/>
      <c r="B91" s="24" t="s">
        <v>104</v>
      </c>
      <c r="C91" s="11" t="s">
        <v>3</v>
      </c>
      <c r="D91" s="136">
        <f t="shared" ref="D91:I93" si="28">D67+D73+D79+D85</f>
        <v>23</v>
      </c>
      <c r="E91" s="136">
        <f t="shared" si="28"/>
        <v>84</v>
      </c>
      <c r="F91" s="136">
        <f t="shared" si="28"/>
        <v>323</v>
      </c>
      <c r="G91" s="136">
        <f t="shared" si="28"/>
        <v>82</v>
      </c>
      <c r="H91" s="136">
        <f t="shared" si="28"/>
        <v>101</v>
      </c>
      <c r="I91" s="136">
        <f t="shared" si="28"/>
        <v>18</v>
      </c>
      <c r="J91" s="171">
        <f>SUM(D91:I91)</f>
        <v>631</v>
      </c>
    </row>
    <row r="92" spans="1:10" ht="27" x14ac:dyDescent="0.3">
      <c r="A92" s="629"/>
      <c r="B92" s="24" t="s">
        <v>103</v>
      </c>
      <c r="C92" s="11" t="s">
        <v>3</v>
      </c>
      <c r="D92" s="136">
        <f t="shared" si="28"/>
        <v>43</v>
      </c>
      <c r="E92" s="136">
        <f t="shared" si="28"/>
        <v>173</v>
      </c>
      <c r="F92" s="136">
        <f t="shared" si="28"/>
        <v>98</v>
      </c>
      <c r="G92" s="136">
        <f t="shared" si="28"/>
        <v>86</v>
      </c>
      <c r="H92" s="136">
        <f t="shared" si="28"/>
        <v>108</v>
      </c>
      <c r="I92" s="136">
        <f t="shared" si="28"/>
        <v>47</v>
      </c>
      <c r="J92" s="171">
        <f>SUM(D92:I92)</f>
        <v>555</v>
      </c>
    </row>
    <row r="93" spans="1:10" s="2" customFormat="1" ht="27" x14ac:dyDescent="0.3">
      <c r="A93" s="629"/>
      <c r="B93" s="24" t="s">
        <v>102</v>
      </c>
      <c r="C93" s="11"/>
      <c r="D93" s="136">
        <f t="shared" si="28"/>
        <v>0</v>
      </c>
      <c r="E93" s="136">
        <f t="shared" si="28"/>
        <v>2</v>
      </c>
      <c r="F93" s="136">
        <f t="shared" si="28"/>
        <v>0</v>
      </c>
      <c r="G93" s="136">
        <f t="shared" si="28"/>
        <v>8</v>
      </c>
      <c r="H93" s="136">
        <f t="shared" si="28"/>
        <v>0</v>
      </c>
      <c r="I93" s="136">
        <f t="shared" si="28"/>
        <v>19</v>
      </c>
      <c r="J93" s="171">
        <f>SUM(D93:I93)</f>
        <v>29</v>
      </c>
    </row>
    <row r="94" spans="1:10" s="2" customFormat="1" ht="15.6" x14ac:dyDescent="0.3">
      <c r="A94" s="629"/>
      <c r="B94" s="24" t="s">
        <v>188</v>
      </c>
      <c r="C94" s="11" t="s">
        <v>3</v>
      </c>
      <c r="D94" s="137">
        <f>D93+D92</f>
        <v>43</v>
      </c>
      <c r="E94" s="137">
        <f t="shared" ref="E94:J94" si="29">E93+E92</f>
        <v>175</v>
      </c>
      <c r="F94" s="137">
        <f t="shared" si="29"/>
        <v>98</v>
      </c>
      <c r="G94" s="137">
        <f t="shared" si="29"/>
        <v>94</v>
      </c>
      <c r="H94" s="137">
        <f t="shared" si="29"/>
        <v>108</v>
      </c>
      <c r="I94" s="137">
        <f t="shared" si="29"/>
        <v>66</v>
      </c>
      <c r="J94" s="172">
        <f t="shared" si="29"/>
        <v>584</v>
      </c>
    </row>
    <row r="95" spans="1:10" ht="16.2" thickBot="1" x14ac:dyDescent="0.35">
      <c r="A95" s="630"/>
      <c r="B95" s="24" t="s">
        <v>81</v>
      </c>
      <c r="C95" s="11" t="s">
        <v>3</v>
      </c>
      <c r="D95" s="138">
        <f>D90+D91-D94</f>
        <v>25</v>
      </c>
      <c r="E95" s="138">
        <f t="shared" ref="E95:J95" si="30">E90+E91-E94</f>
        <v>285</v>
      </c>
      <c r="F95" s="138">
        <f t="shared" si="30"/>
        <v>229</v>
      </c>
      <c r="G95" s="138">
        <f t="shared" si="30"/>
        <v>42</v>
      </c>
      <c r="H95" s="138">
        <f t="shared" si="30"/>
        <v>159</v>
      </c>
      <c r="I95" s="138">
        <f t="shared" si="30"/>
        <v>86</v>
      </c>
      <c r="J95" s="173">
        <f t="shared" si="30"/>
        <v>826</v>
      </c>
    </row>
    <row r="96" spans="1:10" ht="16.2" customHeight="1" thickBot="1" x14ac:dyDescent="0.35">
      <c r="A96" s="677"/>
      <c r="B96" s="678"/>
      <c r="C96" s="678"/>
      <c r="D96" s="678"/>
      <c r="E96" s="678"/>
      <c r="F96" s="678"/>
      <c r="G96" s="678"/>
      <c r="H96" s="678"/>
      <c r="I96" s="678"/>
      <c r="J96" s="679"/>
    </row>
    <row r="97" spans="1:10" s="2" customFormat="1" ht="15.75" customHeight="1" thickBot="1" x14ac:dyDescent="0.35">
      <c r="A97" s="631" t="s">
        <v>189</v>
      </c>
      <c r="B97" s="632"/>
      <c r="C97" s="632"/>
      <c r="D97" s="632"/>
      <c r="E97" s="632"/>
      <c r="F97" s="632"/>
      <c r="G97" s="632"/>
      <c r="H97" s="632"/>
      <c r="I97" s="632"/>
      <c r="J97" s="633"/>
    </row>
    <row r="98" spans="1:10" ht="15.6" x14ac:dyDescent="0.3">
      <c r="A98" s="88" t="s">
        <v>190</v>
      </c>
      <c r="B98" s="69"/>
      <c r="C98" s="11" t="s">
        <v>3</v>
      </c>
      <c r="D98" s="26">
        <f>Bangula!D98+Bangula!E98+Bangula!F98+Bangula!G98+Bangula!H98+Bangula!I98</f>
        <v>0</v>
      </c>
      <c r="E98" s="26">
        <f>Chikwawa!D98+Chikwawa!E98+Chikwawa!F98+Chikwawa!G98+Chikwawa!H98+Chikwawa!I98</f>
        <v>5</v>
      </c>
      <c r="F98" s="26">
        <f>'Miseu Folo'!D98+'Miseu Folo'!E98+'Miseu Folo'!F98+'Miseu Folo'!G98+'Miseu Folo'!H98+'Miseu Folo'!I98</f>
        <v>0</v>
      </c>
      <c r="G98" s="26">
        <f>Nchalo!D98+Nchalo!E98+Nchalo!F98+Nchalo!G98+Nchalo!H98+Nchalo!I98</f>
        <v>0</v>
      </c>
      <c r="H98" s="26">
        <f>Nsanje!D98+Nsanje!E98+Nsanje!F98+Nsanje!G98+Nsanje!H98+Nsanje!I98</f>
        <v>0</v>
      </c>
      <c r="I98" s="26">
        <f>Ngabu!D98+Ngabu!E98+Ngabu!F98+Ngabu!G98+Ngabu!H98+Ngabu!I98</f>
        <v>0</v>
      </c>
      <c r="J98" s="168">
        <f>SUM(D98:I98)</f>
        <v>5</v>
      </c>
    </row>
    <row r="99" spans="1:10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107"/>
    </row>
    <row r="100" spans="1:10" s="2" customFormat="1" x14ac:dyDescent="0.3">
      <c r="A100" s="642" t="s">
        <v>101</v>
      </c>
      <c r="B100" s="643"/>
      <c r="C100" s="643"/>
      <c r="D100" s="643"/>
      <c r="E100" s="643"/>
      <c r="F100" s="643"/>
      <c r="G100" s="643"/>
      <c r="H100" s="643"/>
      <c r="I100" s="643"/>
      <c r="J100" s="644"/>
    </row>
    <row r="101" spans="1:10" ht="15.6" x14ac:dyDescent="0.3">
      <c r="A101" s="591" t="s">
        <v>100</v>
      </c>
      <c r="B101" s="592"/>
      <c r="C101" s="11" t="s">
        <v>3</v>
      </c>
      <c r="D101" s="26">
        <f>Bangula!I101</f>
        <v>219</v>
      </c>
      <c r="E101" s="26">
        <f>Chikwawa!I101</f>
        <v>799</v>
      </c>
      <c r="F101" s="26">
        <f>'Miseu Folo'!I101</f>
        <v>0</v>
      </c>
      <c r="G101" s="26">
        <f>Nchalo!I101</f>
        <v>624</v>
      </c>
      <c r="H101" s="26">
        <f>Nsanje!I101</f>
        <v>487</v>
      </c>
      <c r="I101" s="26">
        <f>Ngabu!I101</f>
        <v>511</v>
      </c>
      <c r="J101" s="32">
        <f>SUM(D101:I101)</f>
        <v>2640</v>
      </c>
    </row>
    <row r="102" spans="1:10" ht="15.6" x14ac:dyDescent="0.3">
      <c r="A102" s="591" t="s">
        <v>99</v>
      </c>
      <c r="B102" s="592"/>
      <c r="C102" s="11" t="s">
        <v>3</v>
      </c>
      <c r="D102" s="26">
        <f>Bangula!I102</f>
        <v>13</v>
      </c>
      <c r="E102" s="26">
        <f>Chikwawa!I102</f>
        <v>11</v>
      </c>
      <c r="F102" s="26">
        <f>'Miseu Folo'!I102</f>
        <v>0</v>
      </c>
      <c r="G102" s="26">
        <f>Nchalo!I102</f>
        <v>17</v>
      </c>
      <c r="H102" s="26">
        <f>Nsanje!I102</f>
        <v>20</v>
      </c>
      <c r="I102" s="26">
        <f>Ngabu!I102</f>
        <v>10</v>
      </c>
      <c r="J102" s="32">
        <f>SUM(D102:I102)</f>
        <v>71</v>
      </c>
    </row>
    <row r="103" spans="1:10" ht="15.6" customHeight="1" x14ac:dyDescent="0.3">
      <c r="A103" s="598" t="s">
        <v>98</v>
      </c>
      <c r="B103" s="599"/>
      <c r="C103" s="11" t="s">
        <v>3</v>
      </c>
      <c r="D103" s="26">
        <f>Bangula!I103</f>
        <v>8</v>
      </c>
      <c r="E103" s="26">
        <f>Chikwawa!I103</f>
        <v>13</v>
      </c>
      <c r="F103" s="26">
        <f>'Miseu Folo'!I103</f>
        <v>0</v>
      </c>
      <c r="G103" s="26">
        <f>Nchalo!I103</f>
        <v>27</v>
      </c>
      <c r="H103" s="26">
        <f>Nsanje!I103</f>
        <v>3</v>
      </c>
      <c r="I103" s="26">
        <f>Ngabu!I103</f>
        <v>12</v>
      </c>
      <c r="J103" s="32">
        <f>SUM(D103:I103)</f>
        <v>63</v>
      </c>
    </row>
    <row r="104" spans="1:10" ht="15.6" x14ac:dyDescent="0.3">
      <c r="A104" s="598" t="s">
        <v>97</v>
      </c>
      <c r="B104" s="599"/>
      <c r="C104" s="11" t="s">
        <v>3</v>
      </c>
      <c r="D104" s="26">
        <f>Bangula!I104</f>
        <v>4</v>
      </c>
      <c r="E104" s="26">
        <f>Chikwawa!I104</f>
        <v>16</v>
      </c>
      <c r="F104" s="26">
        <f>'Miseu Folo'!I104</f>
        <v>0</v>
      </c>
      <c r="G104" s="26">
        <f>Nchalo!I104</f>
        <v>11</v>
      </c>
      <c r="H104" s="26">
        <f>Nsanje!I104</f>
        <v>25</v>
      </c>
      <c r="I104" s="26">
        <f>Ngabu!I104</f>
        <v>20</v>
      </c>
      <c r="J104" s="32">
        <f>SUM(D104:I104)</f>
        <v>76</v>
      </c>
    </row>
    <row r="105" spans="1:10" ht="15.6" x14ac:dyDescent="0.3">
      <c r="A105" s="645" t="s">
        <v>96</v>
      </c>
      <c r="B105" s="646"/>
      <c r="C105" s="11" t="s">
        <v>3</v>
      </c>
      <c r="D105" s="33">
        <f>SUM(D101:D104)</f>
        <v>244</v>
      </c>
      <c r="E105" s="33">
        <f t="shared" ref="E105:J105" si="31">SUM(E101:E104)</f>
        <v>839</v>
      </c>
      <c r="F105" s="33">
        <f t="shared" si="31"/>
        <v>0</v>
      </c>
      <c r="G105" s="33">
        <f t="shared" si="31"/>
        <v>679</v>
      </c>
      <c r="H105" s="33">
        <f t="shared" si="31"/>
        <v>535</v>
      </c>
      <c r="I105" s="33">
        <f t="shared" si="31"/>
        <v>553</v>
      </c>
      <c r="J105" s="55">
        <f t="shared" si="31"/>
        <v>2850</v>
      </c>
    </row>
    <row r="106" spans="1:10" s="2" customFormat="1" ht="15.6" customHeight="1" x14ac:dyDescent="0.3">
      <c r="A106" s="639" t="s">
        <v>210</v>
      </c>
      <c r="B106" s="640"/>
      <c r="C106" s="640"/>
      <c r="D106" s="640"/>
      <c r="E106" s="640"/>
      <c r="F106" s="640"/>
      <c r="G106" s="640"/>
      <c r="H106" s="640"/>
      <c r="I106" s="640"/>
      <c r="J106" s="641"/>
    </row>
    <row r="107" spans="1:10" ht="15.6" x14ac:dyDescent="0.3">
      <c r="A107" s="591" t="s">
        <v>193</v>
      </c>
      <c r="B107" s="592"/>
      <c r="C107" s="11" t="s">
        <v>3</v>
      </c>
      <c r="D107" s="26">
        <f>Bangula!I107</f>
        <v>514</v>
      </c>
      <c r="E107" s="26">
        <f>Chikwawa!I107</f>
        <v>1838</v>
      </c>
      <c r="F107" s="26">
        <f>'Miseu Folo'!I107</f>
        <v>158</v>
      </c>
      <c r="G107" s="26">
        <f>Nchalo!I107</f>
        <v>1378</v>
      </c>
      <c r="H107" s="26">
        <f>Nsanje!I107</f>
        <v>1060</v>
      </c>
      <c r="I107" s="26">
        <f>Ngabu!I107</f>
        <v>741</v>
      </c>
      <c r="J107" s="32">
        <f>SUM(D107:I107)</f>
        <v>5689</v>
      </c>
    </row>
    <row r="108" spans="1:10" ht="15.6" x14ac:dyDescent="0.3">
      <c r="A108" s="591" t="s">
        <v>194</v>
      </c>
      <c r="B108" s="592"/>
      <c r="C108" s="11" t="s">
        <v>3</v>
      </c>
      <c r="D108" s="26">
        <f>Bangula!I108</f>
        <v>5</v>
      </c>
      <c r="E108" s="26">
        <f>Chikwawa!I108</f>
        <v>22</v>
      </c>
      <c r="F108" s="26">
        <f>'Miseu Folo'!I108</f>
        <v>0</v>
      </c>
      <c r="G108" s="26">
        <f>Nchalo!I108</f>
        <v>6</v>
      </c>
      <c r="H108" s="26">
        <f>Nsanje!I108</f>
        <v>7</v>
      </c>
      <c r="I108" s="26">
        <f>Ngabu!I108</f>
        <v>9</v>
      </c>
      <c r="J108" s="32">
        <f>SUM(D108:I108)</f>
        <v>49</v>
      </c>
    </row>
    <row r="109" spans="1:10" ht="15.6" x14ac:dyDescent="0.3">
      <c r="A109" s="591" t="s">
        <v>195</v>
      </c>
      <c r="B109" s="592"/>
      <c r="C109" s="11" t="s">
        <v>3</v>
      </c>
      <c r="D109" s="26">
        <f>Bangula!I109</f>
        <v>2</v>
      </c>
      <c r="E109" s="26">
        <f>Chikwawa!I109</f>
        <v>13</v>
      </c>
      <c r="F109" s="26">
        <f>'Miseu Folo'!I109</f>
        <v>2</v>
      </c>
      <c r="G109" s="26">
        <f>Nchalo!I109</f>
        <v>9</v>
      </c>
      <c r="H109" s="26">
        <f>Nsanje!I109</f>
        <v>1</v>
      </c>
      <c r="I109" s="26">
        <f>Ngabu!I109</f>
        <v>3</v>
      </c>
      <c r="J109" s="32">
        <f>SUM(D109:I109)</f>
        <v>30</v>
      </c>
    </row>
    <row r="110" spans="1:10" ht="15.6" x14ac:dyDescent="0.3">
      <c r="A110" s="591" t="s">
        <v>196</v>
      </c>
      <c r="B110" s="592"/>
      <c r="C110" s="11" t="s">
        <v>3</v>
      </c>
      <c r="D110" s="26">
        <f>Bangula!I110</f>
        <v>18</v>
      </c>
      <c r="E110" s="26">
        <f>Chikwawa!I110</f>
        <v>12</v>
      </c>
      <c r="F110" s="26">
        <f>'Miseu Folo'!I110</f>
        <v>0</v>
      </c>
      <c r="G110" s="26">
        <f>Nchalo!I110</f>
        <v>8</v>
      </c>
      <c r="H110" s="26">
        <f>Nsanje!I110</f>
        <v>9</v>
      </c>
      <c r="I110" s="26">
        <f>Ngabu!I110</f>
        <v>19</v>
      </c>
      <c r="J110" s="32">
        <f>SUM(D110:I110)</f>
        <v>66</v>
      </c>
    </row>
    <row r="111" spans="1:10" ht="15.6" x14ac:dyDescent="0.3">
      <c r="A111" s="593" t="s">
        <v>95</v>
      </c>
      <c r="B111" s="594"/>
      <c r="C111" s="11" t="s">
        <v>3</v>
      </c>
      <c r="D111" s="33">
        <f>SUM(D107:D110)</f>
        <v>539</v>
      </c>
      <c r="E111" s="33">
        <f t="shared" ref="E111:J111" si="32">SUM(E107:E110)</f>
        <v>1885</v>
      </c>
      <c r="F111" s="33">
        <f t="shared" si="32"/>
        <v>160</v>
      </c>
      <c r="G111" s="33">
        <f t="shared" si="32"/>
        <v>1401</v>
      </c>
      <c r="H111" s="33">
        <f t="shared" si="32"/>
        <v>1077</v>
      </c>
      <c r="I111" s="33">
        <f t="shared" si="32"/>
        <v>772</v>
      </c>
      <c r="J111" s="55">
        <f t="shared" si="32"/>
        <v>5834</v>
      </c>
    </row>
    <row r="112" spans="1:10" s="2" customFormat="1" ht="15.6" customHeight="1" x14ac:dyDescent="0.3">
      <c r="A112" s="642" t="s">
        <v>210</v>
      </c>
      <c r="B112" s="643"/>
      <c r="C112" s="643"/>
      <c r="D112" s="643"/>
      <c r="E112" s="643"/>
      <c r="F112" s="643"/>
      <c r="G112" s="643"/>
      <c r="H112" s="643"/>
      <c r="I112" s="643"/>
      <c r="J112" s="644"/>
    </row>
    <row r="113" spans="1:10" ht="15.6" x14ac:dyDescent="0.3">
      <c r="A113" s="591" t="s">
        <v>197</v>
      </c>
      <c r="B113" s="592"/>
      <c r="C113" s="11" t="s">
        <v>3</v>
      </c>
      <c r="D113" s="26">
        <f>Bangula!I113</f>
        <v>181</v>
      </c>
      <c r="E113" s="26">
        <f>Chikwawa!I113</f>
        <v>621</v>
      </c>
      <c r="F113" s="26">
        <f>'Miseu Folo'!I113</f>
        <v>384</v>
      </c>
      <c r="G113" s="26">
        <f>Nchalo!I113</f>
        <v>307</v>
      </c>
      <c r="H113" s="26">
        <f>Nsanje!I113</f>
        <v>508</v>
      </c>
      <c r="I113" s="26">
        <f>Ngabu!I113</f>
        <v>335</v>
      </c>
      <c r="J113" s="32">
        <f>SUM(D113:I113)</f>
        <v>2336</v>
      </c>
    </row>
    <row r="114" spans="1:10" ht="15.6" x14ac:dyDescent="0.3">
      <c r="A114" s="591" t="s">
        <v>198</v>
      </c>
      <c r="B114" s="592"/>
      <c r="C114" s="11" t="s">
        <v>3</v>
      </c>
      <c r="D114" s="26">
        <f>Bangula!I114</f>
        <v>32</v>
      </c>
      <c r="E114" s="26">
        <f>Chikwawa!I114</f>
        <v>42</v>
      </c>
      <c r="F114" s="26">
        <f>'Miseu Folo'!I114</f>
        <v>10</v>
      </c>
      <c r="G114" s="26">
        <f>Nchalo!I114</f>
        <v>27</v>
      </c>
      <c r="H114" s="26">
        <f>Nsanje!I114</f>
        <v>52</v>
      </c>
      <c r="I114" s="26">
        <f>Ngabu!I114</f>
        <v>25</v>
      </c>
      <c r="J114" s="32">
        <f>SUM(D114:I114)</f>
        <v>188</v>
      </c>
    </row>
    <row r="115" spans="1:10" ht="15.6" x14ac:dyDescent="0.3">
      <c r="A115" s="591" t="s">
        <v>199</v>
      </c>
      <c r="B115" s="592"/>
      <c r="C115" s="11" t="s">
        <v>3</v>
      </c>
      <c r="D115" s="26">
        <f>Bangula!I115</f>
        <v>25</v>
      </c>
      <c r="E115" s="26">
        <f>Chikwawa!I115</f>
        <v>56</v>
      </c>
      <c r="F115" s="26">
        <f>'Miseu Folo'!I115</f>
        <v>6</v>
      </c>
      <c r="G115" s="26">
        <f>Nchalo!I115</f>
        <v>62</v>
      </c>
      <c r="H115" s="26">
        <f>Nsanje!I115</f>
        <v>49</v>
      </c>
      <c r="I115" s="26">
        <f>Ngabu!I115</f>
        <v>34</v>
      </c>
      <c r="J115" s="32">
        <f>SUM(D115:I115)</f>
        <v>232</v>
      </c>
    </row>
    <row r="116" spans="1:10" ht="15.6" x14ac:dyDescent="0.3">
      <c r="A116" s="591" t="s">
        <v>200</v>
      </c>
      <c r="B116" s="592"/>
      <c r="C116" s="11" t="s">
        <v>3</v>
      </c>
      <c r="D116" s="26">
        <f>Bangula!I116</f>
        <v>1</v>
      </c>
      <c r="E116" s="26">
        <f>Chikwawa!I116</f>
        <v>3</v>
      </c>
      <c r="F116" s="26">
        <f>'Miseu Folo'!I116</f>
        <v>14</v>
      </c>
      <c r="G116" s="26">
        <f>Nchalo!I116</f>
        <v>1</v>
      </c>
      <c r="H116" s="26">
        <f>Nsanje!I116</f>
        <v>1</v>
      </c>
      <c r="I116" s="26">
        <f>Ngabu!I116</f>
        <v>1</v>
      </c>
      <c r="J116" s="32">
        <f>SUM(D116:I116)</f>
        <v>21</v>
      </c>
    </row>
    <row r="117" spans="1:10" ht="15.6" x14ac:dyDescent="0.3">
      <c r="A117" s="593" t="s">
        <v>94</v>
      </c>
      <c r="B117" s="594"/>
      <c r="C117" s="11" t="s">
        <v>3</v>
      </c>
      <c r="D117" s="33">
        <f>SUM(D113:D116)</f>
        <v>239</v>
      </c>
      <c r="E117" s="33">
        <f t="shared" ref="E117:I117" si="33">SUM(E113:E116)</f>
        <v>722</v>
      </c>
      <c r="F117" s="33">
        <f t="shared" si="33"/>
        <v>414</v>
      </c>
      <c r="G117" s="33">
        <f t="shared" si="33"/>
        <v>397</v>
      </c>
      <c r="H117" s="33">
        <f t="shared" si="33"/>
        <v>610</v>
      </c>
      <c r="I117" s="33">
        <f t="shared" si="33"/>
        <v>395</v>
      </c>
      <c r="J117" s="55">
        <f>SUM(J113:J116)</f>
        <v>2777</v>
      </c>
    </row>
    <row r="118" spans="1:10" s="2" customFormat="1" ht="15.6" x14ac:dyDescent="0.3">
      <c r="A118" s="583" t="s">
        <v>191</v>
      </c>
      <c r="B118" s="584"/>
      <c r="C118" s="11" t="s">
        <v>3</v>
      </c>
      <c r="D118" s="33">
        <f>D111+D117</f>
        <v>778</v>
      </c>
      <c r="E118" s="33">
        <f t="shared" ref="E118:J118" si="34">E111+E117</f>
        <v>2607</v>
      </c>
      <c r="F118" s="33">
        <f t="shared" si="34"/>
        <v>574</v>
      </c>
      <c r="G118" s="33">
        <f t="shared" si="34"/>
        <v>1798</v>
      </c>
      <c r="H118" s="33">
        <f t="shared" si="34"/>
        <v>1687</v>
      </c>
      <c r="I118" s="33">
        <f t="shared" si="34"/>
        <v>1167</v>
      </c>
      <c r="J118" s="55">
        <f t="shared" si="34"/>
        <v>8611</v>
      </c>
    </row>
    <row r="119" spans="1:10" ht="15.6" x14ac:dyDescent="0.3">
      <c r="A119" s="593" t="s">
        <v>192</v>
      </c>
      <c r="B119" s="594"/>
      <c r="C119" s="11" t="s">
        <v>3</v>
      </c>
      <c r="D119" s="33">
        <f>D118+D105</f>
        <v>1022</v>
      </c>
      <c r="E119" s="33">
        <f t="shared" ref="E119:I119" si="35">E118+E105</f>
        <v>3446</v>
      </c>
      <c r="F119" s="33">
        <f t="shared" si="35"/>
        <v>574</v>
      </c>
      <c r="G119" s="33">
        <f t="shared" si="35"/>
        <v>2477</v>
      </c>
      <c r="H119" s="33">
        <f t="shared" si="35"/>
        <v>2222</v>
      </c>
      <c r="I119" s="33">
        <f t="shared" si="35"/>
        <v>1720</v>
      </c>
      <c r="J119" s="55">
        <f>J118+J105</f>
        <v>11461</v>
      </c>
    </row>
    <row r="120" spans="1:10" x14ac:dyDescent="0.3">
      <c r="A120" s="595" t="s">
        <v>201</v>
      </c>
      <c r="B120" s="596"/>
      <c r="C120" s="596"/>
      <c r="D120" s="596"/>
      <c r="E120" s="596"/>
      <c r="F120" s="596"/>
      <c r="G120" s="596"/>
      <c r="H120" s="596"/>
      <c r="I120" s="596"/>
      <c r="J120" s="597"/>
    </row>
    <row r="121" spans="1:10" ht="15.6" x14ac:dyDescent="0.3">
      <c r="A121" s="591" t="s">
        <v>93</v>
      </c>
      <c r="B121" s="592"/>
      <c r="C121" s="5" t="s">
        <v>3</v>
      </c>
      <c r="D121" s="26">
        <f>Bangula!I121</f>
        <v>11519.417657440013</v>
      </c>
      <c r="E121" s="26">
        <f>Chikwawa!I121</f>
        <v>22351.176932091032</v>
      </c>
      <c r="F121" s="26">
        <f>'Miseu Folo'!I121</f>
        <v>7192</v>
      </c>
      <c r="G121" s="26">
        <f>Nchalo!I121</f>
        <v>21199.731240799789</v>
      </c>
      <c r="H121" s="26">
        <f>Nsanje!I121</f>
        <v>25972.353950304681</v>
      </c>
      <c r="I121" s="26">
        <f>Ngabu!I121</f>
        <v>18508.984467466591</v>
      </c>
      <c r="J121" s="32">
        <f>SUM(D121:I121)</f>
        <v>106743.66424810211</v>
      </c>
    </row>
    <row r="122" spans="1:10" ht="15.6" x14ac:dyDescent="0.3">
      <c r="A122" s="591" t="s">
        <v>92</v>
      </c>
      <c r="B122" s="592"/>
      <c r="C122" s="5" t="s">
        <v>3</v>
      </c>
      <c r="D122" s="26">
        <f>Bangula!I122</f>
        <v>7184</v>
      </c>
      <c r="E122" s="26">
        <f>Chikwawa!I122</f>
        <v>16982</v>
      </c>
      <c r="F122" s="26">
        <f>'Miseu Folo'!I122</f>
        <v>5303</v>
      </c>
      <c r="G122" s="26">
        <f>Nchalo!I122</f>
        <v>16503</v>
      </c>
      <c r="H122" s="26">
        <f>Nsanje!I122</f>
        <v>17998</v>
      </c>
      <c r="I122" s="26">
        <f>Ngabu!I122</f>
        <v>11567</v>
      </c>
      <c r="J122" s="32">
        <f>SUM(D122:I122)</f>
        <v>75537</v>
      </c>
    </row>
    <row r="123" spans="1:10" ht="15.6" x14ac:dyDescent="0.3">
      <c r="A123" s="647" t="s">
        <v>91</v>
      </c>
      <c r="B123" s="648"/>
      <c r="C123" s="30" t="s">
        <v>6</v>
      </c>
      <c r="D123" s="29">
        <f t="shared" ref="D123:J123" si="36">D122/D121</f>
        <v>0.62364263660152042</v>
      </c>
      <c r="E123" s="29">
        <f t="shared" si="36"/>
        <v>0.75978101965708322</v>
      </c>
      <c r="F123" s="29">
        <f t="shared" si="36"/>
        <v>0.7373470522803115</v>
      </c>
      <c r="G123" s="29">
        <f t="shared" si="36"/>
        <v>0.77845326492815492</v>
      </c>
      <c r="H123" s="29">
        <f t="shared" si="36"/>
        <v>0.69296760834375071</v>
      </c>
      <c r="I123" s="29">
        <f t="shared" si="36"/>
        <v>0.62493974320046675</v>
      </c>
      <c r="J123" s="109">
        <f t="shared" si="36"/>
        <v>0.7076485572429938</v>
      </c>
    </row>
    <row r="124" spans="1:10" x14ac:dyDescent="0.3">
      <c r="A124" s="649" t="s">
        <v>90</v>
      </c>
      <c r="B124" s="650"/>
      <c r="C124" s="650"/>
      <c r="D124" s="650"/>
      <c r="E124" s="650"/>
      <c r="F124" s="650"/>
      <c r="G124" s="650"/>
      <c r="H124" s="650"/>
      <c r="I124" s="650"/>
      <c r="J124" s="651"/>
    </row>
    <row r="125" spans="1:10" ht="15.6" x14ac:dyDescent="0.3">
      <c r="A125" s="605" t="s">
        <v>227</v>
      </c>
      <c r="B125" s="24" t="s">
        <v>85</v>
      </c>
      <c r="C125" s="11" t="s">
        <v>3</v>
      </c>
      <c r="D125" s="26">
        <f>Bangula!D125</f>
        <v>0</v>
      </c>
      <c r="E125" s="26">
        <f>Chikwawa!D125</f>
        <v>0</v>
      </c>
      <c r="F125" s="26">
        <f>'Miseu Folo'!D125</f>
        <v>0</v>
      </c>
      <c r="G125" s="26">
        <f>Nchalo!D125</f>
        <v>0</v>
      </c>
      <c r="H125" s="26">
        <f>Nsanje!D125</f>
        <v>0</v>
      </c>
      <c r="I125" s="26">
        <f>Ngabu!D125</f>
        <v>1</v>
      </c>
      <c r="J125" s="171">
        <f>SUM(D125:I125)</f>
        <v>1</v>
      </c>
    </row>
    <row r="126" spans="1:10" ht="15.6" x14ac:dyDescent="0.3">
      <c r="A126" s="655"/>
      <c r="B126" s="24" t="s">
        <v>84</v>
      </c>
      <c r="C126" s="11" t="s">
        <v>3</v>
      </c>
      <c r="D126" s="26">
        <f>Bangula!D126+Bangula!E126+Bangula!F126+Bangula!G126+Bangula!H126+Bangula!I126</f>
        <v>0</v>
      </c>
      <c r="E126" s="26">
        <f>Chikwawa!D126+Chikwawa!E126+Chikwawa!F126+Chikwawa!G126+Chikwawa!H126+Chikwawa!I126</f>
        <v>0</v>
      </c>
      <c r="F126" s="26">
        <f>'Miseu Folo'!D126+'Miseu Folo'!E126+'Miseu Folo'!F126+'Miseu Folo'!G126+'Miseu Folo'!H126+'Miseu Folo'!I126</f>
        <v>0</v>
      </c>
      <c r="G126" s="26">
        <f>Nchalo!D126+Nchalo!E126+Nchalo!F126+Nchalo!G126+Nchalo!H126+Nchalo!I126</f>
        <v>0</v>
      </c>
      <c r="H126" s="26">
        <f>Nsanje!D126+Nsanje!E126+Nsanje!F126+Nsanje!G126+Nsanje!H126+Nsanje!I126</f>
        <v>0</v>
      </c>
      <c r="I126" s="26">
        <f>Ngabu!D126+Ngabu!E126+Ngabu!F126+Ngabu!G126+Ngabu!H126+Ngabu!I126</f>
        <v>0</v>
      </c>
      <c r="J126" s="171">
        <f>SUM(D126:I126)</f>
        <v>0</v>
      </c>
    </row>
    <row r="127" spans="1:10" ht="15.6" x14ac:dyDescent="0.3">
      <c r="A127" s="655"/>
      <c r="B127" s="82" t="s">
        <v>88</v>
      </c>
      <c r="C127" s="11" t="s">
        <v>3</v>
      </c>
      <c r="D127" s="26">
        <f>Bangula!D127+Bangula!E127+Bangula!F127+Bangula!G127+Bangula!H127+Bangula!I127</f>
        <v>0</v>
      </c>
      <c r="E127" s="26">
        <f>Chikwawa!D127+Chikwawa!E127+Chikwawa!F127+Chikwawa!G127+Chikwawa!H127+Chikwawa!I127</f>
        <v>0</v>
      </c>
      <c r="F127" s="26">
        <f>'Miseu Folo'!D127+'Miseu Folo'!E127+'Miseu Folo'!F127+'Miseu Folo'!G127+'Miseu Folo'!H127+'Miseu Folo'!I127</f>
        <v>0</v>
      </c>
      <c r="G127" s="26">
        <f>Nchalo!D127+Nchalo!E127+Nchalo!F127+Nchalo!G127+Nchalo!H127+Nchalo!I127</f>
        <v>0</v>
      </c>
      <c r="H127" s="26">
        <f>Nsanje!D127+Nsanje!E127+Nsanje!F127+Nsanje!G127+Nsanje!H127+Nsanje!I127</f>
        <v>0</v>
      </c>
      <c r="I127" s="26">
        <f>Ngabu!D127+Ngabu!E127+Ngabu!F127+Ngabu!G127+Ngabu!H127+Ngabu!I127</f>
        <v>0</v>
      </c>
      <c r="J127" s="171">
        <f>SUM(D127:I127)</f>
        <v>0</v>
      </c>
    </row>
    <row r="128" spans="1:10" ht="15.6" x14ac:dyDescent="0.3">
      <c r="A128" s="655"/>
      <c r="B128" s="24" t="s">
        <v>82</v>
      </c>
      <c r="C128" s="11" t="s">
        <v>3</v>
      </c>
      <c r="D128" s="26">
        <f>Bangula!D128+Bangula!E128+Bangula!F128+Bangula!G128+Bangula!H128+Bangula!I128</f>
        <v>0</v>
      </c>
      <c r="E128" s="26">
        <f>Chikwawa!D128+Chikwawa!E128+Chikwawa!F128+Chikwawa!G128+Chikwawa!H128+Chikwawa!I128</f>
        <v>0</v>
      </c>
      <c r="F128" s="26">
        <f>'Miseu Folo'!D128+'Miseu Folo'!E128+'Miseu Folo'!F128+'Miseu Folo'!G128+'Miseu Folo'!H128+'Miseu Folo'!I128</f>
        <v>0</v>
      </c>
      <c r="G128" s="26">
        <f>Nchalo!D128+Nchalo!E128+Nchalo!F128+Nchalo!G128+Nchalo!H128+Nchalo!I128</f>
        <v>0</v>
      </c>
      <c r="H128" s="26">
        <f>Nsanje!D128+Nsanje!E128+Nsanje!F128+Nsanje!G128+Nsanje!H128+Nsanje!I128</f>
        <v>0</v>
      </c>
      <c r="I128" s="26">
        <f>Ngabu!D128+Ngabu!E128+Ngabu!F128+Ngabu!G128+Ngabu!H128+Ngabu!I128</f>
        <v>0</v>
      </c>
      <c r="J128" s="171">
        <f>SUM(D128:I128)</f>
        <v>0</v>
      </c>
    </row>
    <row r="129" spans="1:10" ht="15.6" x14ac:dyDescent="0.3">
      <c r="A129" s="606"/>
      <c r="B129" s="24" t="s">
        <v>81</v>
      </c>
      <c r="C129" s="11" t="s">
        <v>3</v>
      </c>
      <c r="D129" s="140">
        <f t="shared" ref="D129:J129" si="37">D125+D126-D127-D128</f>
        <v>0</v>
      </c>
      <c r="E129" s="140">
        <f t="shared" si="37"/>
        <v>0</v>
      </c>
      <c r="F129" s="140">
        <f t="shared" si="37"/>
        <v>0</v>
      </c>
      <c r="G129" s="140">
        <f t="shared" si="37"/>
        <v>0</v>
      </c>
      <c r="H129" s="140">
        <f t="shared" si="37"/>
        <v>0</v>
      </c>
      <c r="I129" s="140">
        <f t="shared" si="37"/>
        <v>1</v>
      </c>
      <c r="J129" s="35">
        <f t="shared" si="37"/>
        <v>1</v>
      </c>
    </row>
    <row r="130" spans="1:10" ht="15.6" x14ac:dyDescent="0.3">
      <c r="A130" s="605" t="s">
        <v>228</v>
      </c>
      <c r="B130" s="28" t="s">
        <v>85</v>
      </c>
      <c r="C130" s="27" t="s">
        <v>3</v>
      </c>
      <c r="D130" s="26">
        <f>Bangula!D130</f>
        <v>0</v>
      </c>
      <c r="E130" s="26">
        <f>Chikwawa!D130</f>
        <v>0</v>
      </c>
      <c r="F130" s="26">
        <f>'Miseu Folo'!D130</f>
        <v>0</v>
      </c>
      <c r="G130" s="26">
        <f>Nchalo!D130</f>
        <v>1</v>
      </c>
      <c r="H130" s="26">
        <f>Nsanje!D130</f>
        <v>0</v>
      </c>
      <c r="I130" s="26">
        <f>Ngabu!D130</f>
        <v>0</v>
      </c>
      <c r="J130" s="171">
        <f>SUM(D130:I130)</f>
        <v>1</v>
      </c>
    </row>
    <row r="131" spans="1:10" ht="15.6" x14ac:dyDescent="0.3">
      <c r="A131" s="655"/>
      <c r="B131" s="24" t="s">
        <v>84</v>
      </c>
      <c r="C131" s="11" t="s">
        <v>3</v>
      </c>
      <c r="D131" s="26">
        <f>Bangula!D131+Bangula!E131+Bangula!F131+Bangula!G131+Bangula!H131+Bangula!I131</f>
        <v>0</v>
      </c>
      <c r="E131" s="26">
        <f>Chikwawa!D131+Chikwawa!E131+Chikwawa!F131+Chikwawa!G131+Chikwawa!H131+Chikwawa!I131</f>
        <v>0</v>
      </c>
      <c r="F131" s="26">
        <f>'Miseu Folo'!D131+'Miseu Folo'!E131+'Miseu Folo'!F131+'Miseu Folo'!G131+'Miseu Folo'!H131+'Miseu Folo'!I131</f>
        <v>0</v>
      </c>
      <c r="G131" s="26">
        <f>Nchalo!D131+Nchalo!E131+Nchalo!F131+Nchalo!G131+Nchalo!H131+Nchalo!I131</f>
        <v>0</v>
      </c>
      <c r="H131" s="26">
        <f>Nsanje!D131+Nsanje!E131+Nsanje!F131+Nsanje!G131+Nsanje!H131+Nsanje!I131</f>
        <v>0</v>
      </c>
      <c r="I131" s="26">
        <f>Ngabu!D131+Ngabu!E131+Ngabu!F131+Ngabu!G131+Ngabu!H131+Ngabu!I131</f>
        <v>0</v>
      </c>
      <c r="J131" s="171">
        <f>SUM(D131:I131)</f>
        <v>0</v>
      </c>
    </row>
    <row r="132" spans="1:10" ht="15.6" x14ac:dyDescent="0.3">
      <c r="A132" s="655"/>
      <c r="B132" s="82" t="s">
        <v>88</v>
      </c>
      <c r="C132" s="11" t="s">
        <v>3</v>
      </c>
      <c r="D132" s="26">
        <f>Bangula!D132+Bangula!E132+Bangula!F132+Bangula!G132+Bangula!H132+Bangula!I132</f>
        <v>0</v>
      </c>
      <c r="E132" s="26">
        <f>Chikwawa!D132+Chikwawa!E132+Chikwawa!F132+Chikwawa!G132+Chikwawa!H132+Chikwawa!I132</f>
        <v>0</v>
      </c>
      <c r="F132" s="26">
        <f>'Miseu Folo'!D132+'Miseu Folo'!E132+'Miseu Folo'!F132+'Miseu Folo'!G132+'Miseu Folo'!H132+'Miseu Folo'!I132</f>
        <v>0</v>
      </c>
      <c r="G132" s="26">
        <f>Nchalo!D132+Nchalo!E132+Nchalo!F132+Nchalo!G132+Nchalo!H132+Nchalo!I132</f>
        <v>0</v>
      </c>
      <c r="H132" s="26">
        <f>Nsanje!D132+Nsanje!E132+Nsanje!F132+Nsanje!G132+Nsanje!H132+Nsanje!I132</f>
        <v>0</v>
      </c>
      <c r="I132" s="26">
        <f>Ngabu!D132+Ngabu!E132+Ngabu!F132+Ngabu!G132+Ngabu!H132+Ngabu!I132</f>
        <v>0</v>
      </c>
      <c r="J132" s="171">
        <f>SUM(D132:I132)</f>
        <v>0</v>
      </c>
    </row>
    <row r="133" spans="1:10" ht="15.6" x14ac:dyDescent="0.3">
      <c r="A133" s="655"/>
      <c r="B133" s="24" t="s">
        <v>82</v>
      </c>
      <c r="C133" s="11" t="s">
        <v>3</v>
      </c>
      <c r="D133" s="26">
        <f>Bangula!D133+Bangula!E133+Bangula!F133+Bangula!G133+Bangula!H133+Bangula!I133</f>
        <v>0</v>
      </c>
      <c r="E133" s="26">
        <f>Chikwawa!D133+Chikwawa!E133+Chikwawa!F133+Chikwawa!G133+Chikwawa!H133+Chikwawa!I133</f>
        <v>0</v>
      </c>
      <c r="F133" s="26">
        <f>'Miseu Folo'!D133+'Miseu Folo'!E133+'Miseu Folo'!F133+'Miseu Folo'!G133+'Miseu Folo'!H133+'Miseu Folo'!I133</f>
        <v>0</v>
      </c>
      <c r="G133" s="26">
        <f>Nchalo!D133+Nchalo!E133+Nchalo!F133+Nchalo!G133+Nchalo!H133+Nchalo!I133</f>
        <v>0</v>
      </c>
      <c r="H133" s="26">
        <f>Nsanje!D133+Nsanje!E133+Nsanje!F133+Nsanje!G133+Nsanje!H133+Nsanje!I133</f>
        <v>0</v>
      </c>
      <c r="I133" s="26">
        <f>Ngabu!D133+Ngabu!E133+Ngabu!F133+Ngabu!G133+Ngabu!H133+Ngabu!I133</f>
        <v>0</v>
      </c>
      <c r="J133" s="171">
        <f>SUM(D133:I133)</f>
        <v>0</v>
      </c>
    </row>
    <row r="134" spans="1:10" ht="15.6" x14ac:dyDescent="0.3">
      <c r="A134" s="606"/>
      <c r="B134" s="24" t="s">
        <v>81</v>
      </c>
      <c r="C134" s="11" t="s">
        <v>3</v>
      </c>
      <c r="D134" s="140">
        <f t="shared" ref="D134:J134" si="38">D130+D131-D132-D133</f>
        <v>0</v>
      </c>
      <c r="E134" s="140">
        <f t="shared" si="38"/>
        <v>0</v>
      </c>
      <c r="F134" s="140">
        <f t="shared" si="38"/>
        <v>0</v>
      </c>
      <c r="G134" s="140">
        <f t="shared" si="38"/>
        <v>1</v>
      </c>
      <c r="H134" s="140">
        <f t="shared" si="38"/>
        <v>0</v>
      </c>
      <c r="I134" s="140">
        <f t="shared" si="38"/>
        <v>0</v>
      </c>
      <c r="J134" s="35">
        <f t="shared" si="38"/>
        <v>1</v>
      </c>
    </row>
    <row r="135" spans="1:10" ht="15.6" x14ac:dyDescent="0.3">
      <c r="A135" s="605" t="s">
        <v>89</v>
      </c>
      <c r="B135" s="24" t="s">
        <v>85</v>
      </c>
      <c r="C135" s="11" t="s">
        <v>3</v>
      </c>
      <c r="D135" s="26">
        <f>Bangula!D135</f>
        <v>1</v>
      </c>
      <c r="E135" s="26">
        <f>Chikwawa!D135</f>
        <v>0</v>
      </c>
      <c r="F135" s="26">
        <f>'Miseu Folo'!D135</f>
        <v>0</v>
      </c>
      <c r="G135" s="26">
        <f>Nchalo!D135</f>
        <v>0</v>
      </c>
      <c r="H135" s="26">
        <f>Nsanje!D135</f>
        <v>1</v>
      </c>
      <c r="I135" s="26">
        <f>Ngabu!D135</f>
        <v>1</v>
      </c>
      <c r="J135" s="171">
        <f>SUM(D135:I135)</f>
        <v>3</v>
      </c>
    </row>
    <row r="136" spans="1:10" ht="15.6" x14ac:dyDescent="0.3">
      <c r="A136" s="655"/>
      <c r="B136" s="24" t="s">
        <v>84</v>
      </c>
      <c r="C136" s="11" t="s">
        <v>3</v>
      </c>
      <c r="D136" s="26">
        <f>Bangula!D136+Bangula!E136+Bangula!F136+Bangula!G136+Bangula!H136+Bangula!I136</f>
        <v>1</v>
      </c>
      <c r="E136" s="26">
        <f>Chikwawa!D136+Chikwawa!E136+Chikwawa!F136+Chikwawa!G136+Chikwawa!H136+Chikwawa!I136</f>
        <v>0</v>
      </c>
      <c r="F136" s="26">
        <f>'Miseu Folo'!D136+'Miseu Folo'!E136+'Miseu Folo'!F136+'Miseu Folo'!G136+'Miseu Folo'!H136+'Miseu Folo'!I136</f>
        <v>0</v>
      </c>
      <c r="G136" s="26">
        <f>Nchalo!D136+Nchalo!E136+Nchalo!F136+Nchalo!G136+Nchalo!H136+Nchalo!I136</f>
        <v>0</v>
      </c>
      <c r="H136" s="26">
        <f>Nsanje!D136+Nsanje!E136+Nsanje!F136+Nsanje!G136+Nsanje!H136+Nsanje!I136</f>
        <v>0</v>
      </c>
      <c r="I136" s="26">
        <f>Ngabu!D136+Ngabu!E136+Ngabu!F136+Ngabu!G136+Ngabu!H136+Ngabu!I136</f>
        <v>0</v>
      </c>
      <c r="J136" s="171">
        <f>SUM(D136:I136)</f>
        <v>1</v>
      </c>
    </row>
    <row r="137" spans="1:10" ht="15.6" x14ac:dyDescent="0.3">
      <c r="A137" s="655"/>
      <c r="B137" s="82" t="s">
        <v>88</v>
      </c>
      <c r="C137" s="11" t="s">
        <v>3</v>
      </c>
      <c r="D137" s="26">
        <f>Bangula!D137+Bangula!E137+Bangula!F137+Bangula!G137+Bangula!H137+Bangula!I137</f>
        <v>0</v>
      </c>
      <c r="E137" s="26">
        <f>Chikwawa!D137+Chikwawa!E137+Chikwawa!F137+Chikwawa!G137+Chikwawa!H137+Chikwawa!I137</f>
        <v>0</v>
      </c>
      <c r="F137" s="26">
        <f>'Miseu Folo'!D137+'Miseu Folo'!E137+'Miseu Folo'!F137+'Miseu Folo'!G137+'Miseu Folo'!H137+'Miseu Folo'!I137</f>
        <v>0</v>
      </c>
      <c r="G137" s="26">
        <f>Nchalo!D137+Nchalo!E137+Nchalo!F137+Nchalo!G137+Nchalo!H137+Nchalo!I137</f>
        <v>0</v>
      </c>
      <c r="H137" s="26">
        <f>Nsanje!D137+Nsanje!E137+Nsanje!F137+Nsanje!G137+Nsanje!H137+Nsanje!I137</f>
        <v>1</v>
      </c>
      <c r="I137" s="26">
        <f>Ngabu!D137+Ngabu!E137+Ngabu!F137+Ngabu!G137+Ngabu!H137+Ngabu!I137</f>
        <v>0</v>
      </c>
      <c r="J137" s="171">
        <f>SUM(D137:I137)</f>
        <v>1</v>
      </c>
    </row>
    <row r="138" spans="1:10" ht="15.6" x14ac:dyDescent="0.3">
      <c r="A138" s="655"/>
      <c r="B138" s="24" t="s">
        <v>82</v>
      </c>
      <c r="C138" s="11" t="s">
        <v>3</v>
      </c>
      <c r="D138" s="26">
        <f>Bangula!D138+Bangula!E138+Bangula!F138+Bangula!G138+Bangula!H138+Bangula!I138</f>
        <v>0</v>
      </c>
      <c r="E138" s="26">
        <f>Chikwawa!D138+Chikwawa!E138+Chikwawa!F138+Chikwawa!G138+Chikwawa!H138+Chikwawa!I138</f>
        <v>0</v>
      </c>
      <c r="F138" s="26">
        <f>'Miseu Folo'!D138+'Miseu Folo'!E138+'Miseu Folo'!F138+'Miseu Folo'!G138+'Miseu Folo'!H138+'Miseu Folo'!I138</f>
        <v>0</v>
      </c>
      <c r="G138" s="26">
        <f>Nchalo!D138+Nchalo!E138+Nchalo!F138+Nchalo!G138+Nchalo!H138+Nchalo!I138</f>
        <v>0</v>
      </c>
      <c r="H138" s="26">
        <f>Nsanje!D138+Nsanje!E138+Nsanje!F138+Nsanje!G138+Nsanje!H138+Nsanje!I138</f>
        <v>0</v>
      </c>
      <c r="I138" s="26">
        <f>Ngabu!D138+Ngabu!E138+Ngabu!F138+Ngabu!G138+Ngabu!H138+Ngabu!I138</f>
        <v>0</v>
      </c>
      <c r="J138" s="171">
        <f>SUM(D138:I138)</f>
        <v>0</v>
      </c>
    </row>
    <row r="139" spans="1:10" ht="15.6" x14ac:dyDescent="0.3">
      <c r="A139" s="606"/>
      <c r="B139" s="24" t="s">
        <v>81</v>
      </c>
      <c r="C139" s="11" t="s">
        <v>3</v>
      </c>
      <c r="D139" s="140">
        <f t="shared" ref="D139:J139" si="39">D135+D136-D137-D138</f>
        <v>2</v>
      </c>
      <c r="E139" s="140">
        <f t="shared" si="39"/>
        <v>0</v>
      </c>
      <c r="F139" s="140">
        <f t="shared" si="39"/>
        <v>0</v>
      </c>
      <c r="G139" s="140">
        <f t="shared" si="39"/>
        <v>0</v>
      </c>
      <c r="H139" s="140">
        <f t="shared" si="39"/>
        <v>0</v>
      </c>
      <c r="I139" s="140">
        <f t="shared" si="39"/>
        <v>1</v>
      </c>
      <c r="J139" s="35">
        <f t="shared" si="39"/>
        <v>3</v>
      </c>
    </row>
    <row r="140" spans="1:10" ht="15.6" x14ac:dyDescent="0.3">
      <c r="A140" s="605" t="s">
        <v>87</v>
      </c>
      <c r="B140" s="24" t="s">
        <v>85</v>
      </c>
      <c r="C140" s="11" t="s">
        <v>3</v>
      </c>
      <c r="D140" s="26">
        <f>Bangula!D140</f>
        <v>41</v>
      </c>
      <c r="E140" s="26">
        <f>Chikwawa!D140</f>
        <v>326</v>
      </c>
      <c r="F140" s="26">
        <f>'Miseu Folo'!D140</f>
        <v>2</v>
      </c>
      <c r="G140" s="26">
        <f>Nchalo!D140</f>
        <v>432</v>
      </c>
      <c r="H140" s="26">
        <f>Nsanje!D140</f>
        <v>120</v>
      </c>
      <c r="I140" s="26">
        <f>Ngabu!D140</f>
        <v>72</v>
      </c>
      <c r="J140" s="171">
        <f>SUM(D140:I140)</f>
        <v>993</v>
      </c>
    </row>
    <row r="141" spans="1:10" ht="15.6" x14ac:dyDescent="0.3">
      <c r="A141" s="655"/>
      <c r="B141" s="24" t="s">
        <v>84</v>
      </c>
      <c r="C141" s="11" t="s">
        <v>3</v>
      </c>
      <c r="D141" s="26">
        <f>Bangula!D141+Bangula!E141+Bangula!F141+Bangula!G141+Bangula!H141+Bangula!I141</f>
        <v>28</v>
      </c>
      <c r="E141" s="26">
        <f>Chikwawa!D141+Chikwawa!E141+Chikwawa!F141+Chikwawa!G141+Chikwawa!H141+Chikwawa!I141</f>
        <v>63</v>
      </c>
      <c r="F141" s="26">
        <f>'Miseu Folo'!D141+'Miseu Folo'!E141+'Miseu Folo'!F141+'Miseu Folo'!G141+'Miseu Folo'!H141+'Miseu Folo'!I141</f>
        <v>4</v>
      </c>
      <c r="G141" s="26">
        <f>Nchalo!D141+Nchalo!E141+Nchalo!F141+Nchalo!G141+Nchalo!H141+Nchalo!I141</f>
        <v>18</v>
      </c>
      <c r="H141" s="26">
        <f>Nsanje!D141+Nsanje!E141+Nsanje!F141+Nsanje!G141+Nsanje!H141+Nsanje!I141</f>
        <v>85</v>
      </c>
      <c r="I141" s="26">
        <f>Ngabu!D141+Ngabu!E141+Ngabu!F141+Ngabu!G141+Ngabu!H141+Ngabu!I141</f>
        <v>10</v>
      </c>
      <c r="J141" s="171">
        <f>SUM(D141:I141)</f>
        <v>208</v>
      </c>
    </row>
    <row r="142" spans="1:10" ht="15.6" x14ac:dyDescent="0.3">
      <c r="A142" s="655"/>
      <c r="B142" s="24" t="s">
        <v>83</v>
      </c>
      <c r="C142" s="11" t="s">
        <v>3</v>
      </c>
      <c r="D142" s="26">
        <f>Bangula!D142+Bangula!E142+Bangula!F142+Bangula!G142+Bangula!H142+Bangula!I142</f>
        <v>0</v>
      </c>
      <c r="E142" s="26">
        <f>Chikwawa!D142+Chikwawa!E142+Chikwawa!F142+Chikwawa!G142+Chikwawa!H142+Chikwawa!I142</f>
        <v>59</v>
      </c>
      <c r="F142" s="26">
        <f>'Miseu Folo'!D142+'Miseu Folo'!E142+'Miseu Folo'!F142+'Miseu Folo'!G142+'Miseu Folo'!H142+'Miseu Folo'!I142</f>
        <v>0</v>
      </c>
      <c r="G142" s="26">
        <f>Nchalo!D142+Nchalo!E142+Nchalo!F142+Nchalo!G142+Nchalo!H142+Nchalo!I142</f>
        <v>18</v>
      </c>
      <c r="H142" s="26">
        <f>Nsanje!D142+Nsanje!E142+Nsanje!F142+Nsanje!G142+Nsanje!H142+Nsanje!I142</f>
        <v>85</v>
      </c>
      <c r="I142" s="26">
        <f>Ngabu!D142+Ngabu!E142+Ngabu!F142+Ngabu!G142+Ngabu!H142+Ngabu!I142</f>
        <v>26</v>
      </c>
      <c r="J142" s="171">
        <f>SUM(D142:I142)</f>
        <v>188</v>
      </c>
    </row>
    <row r="143" spans="1:10" ht="15.6" x14ac:dyDescent="0.3">
      <c r="A143" s="655"/>
      <c r="B143" s="24" t="s">
        <v>82</v>
      </c>
      <c r="C143" s="11" t="s">
        <v>3</v>
      </c>
      <c r="D143" s="26">
        <f>Bangula!D143+Bangula!E143+Bangula!F143+Bangula!G143+Bangula!H143+Bangula!I143</f>
        <v>12</v>
      </c>
      <c r="E143" s="26">
        <f>Chikwawa!D143+Chikwawa!E143+Chikwawa!F143+Chikwawa!G143+Chikwawa!H143+Chikwawa!I143</f>
        <v>0</v>
      </c>
      <c r="F143" s="26">
        <f>'Miseu Folo'!D143+'Miseu Folo'!E143+'Miseu Folo'!F143+'Miseu Folo'!G143+'Miseu Folo'!H143+'Miseu Folo'!I143</f>
        <v>1</v>
      </c>
      <c r="G143" s="26">
        <f>Nchalo!D143+Nchalo!E143+Nchalo!F143+Nchalo!G143+Nchalo!H143+Nchalo!I143</f>
        <v>53</v>
      </c>
      <c r="H143" s="26">
        <f>Nsanje!D143+Nsanje!E143+Nsanje!F143+Nsanje!G143+Nsanje!H143+Nsanje!I143</f>
        <v>42</v>
      </c>
      <c r="I143" s="26">
        <f>Ngabu!D143+Ngabu!E143+Ngabu!F143+Ngabu!G143+Ngabu!H143+Ngabu!I143</f>
        <v>18</v>
      </c>
      <c r="J143" s="171">
        <f>SUM(D143:I143)</f>
        <v>126</v>
      </c>
    </row>
    <row r="144" spans="1:10" ht="15.6" x14ac:dyDescent="0.3">
      <c r="A144" s="606"/>
      <c r="B144" s="24" t="s">
        <v>81</v>
      </c>
      <c r="C144" s="11" t="s">
        <v>3</v>
      </c>
      <c r="D144" s="140">
        <f t="shared" ref="D144:J144" si="40">D140+D141-D142-D143</f>
        <v>57</v>
      </c>
      <c r="E144" s="140">
        <f t="shared" si="40"/>
        <v>330</v>
      </c>
      <c r="F144" s="140">
        <f t="shared" si="40"/>
        <v>5</v>
      </c>
      <c r="G144" s="140">
        <f t="shared" si="40"/>
        <v>379</v>
      </c>
      <c r="H144" s="140">
        <f t="shared" si="40"/>
        <v>78</v>
      </c>
      <c r="I144" s="140">
        <f t="shared" si="40"/>
        <v>38</v>
      </c>
      <c r="J144" s="35">
        <f t="shared" si="40"/>
        <v>887</v>
      </c>
    </row>
    <row r="145" spans="1:10" s="2" customFormat="1" ht="15.6" x14ac:dyDescent="0.3">
      <c r="A145" s="605" t="s">
        <v>86</v>
      </c>
      <c r="B145" s="24" t="s">
        <v>85</v>
      </c>
      <c r="C145" s="11" t="s">
        <v>3</v>
      </c>
      <c r="D145" s="141">
        <f t="shared" ref="D145:J149" si="41">D125+D130+D135+D140</f>
        <v>42</v>
      </c>
      <c r="E145" s="141">
        <f t="shared" si="41"/>
        <v>326</v>
      </c>
      <c r="F145" s="141">
        <f t="shared" si="41"/>
        <v>2</v>
      </c>
      <c r="G145" s="141">
        <f t="shared" si="41"/>
        <v>433</v>
      </c>
      <c r="H145" s="141">
        <f t="shared" si="41"/>
        <v>121</v>
      </c>
      <c r="I145" s="141">
        <f t="shared" si="41"/>
        <v>74</v>
      </c>
      <c r="J145" s="110">
        <f t="shared" si="41"/>
        <v>998</v>
      </c>
    </row>
    <row r="146" spans="1:10" ht="15.6" x14ac:dyDescent="0.3">
      <c r="A146" s="655"/>
      <c r="B146" s="24" t="s">
        <v>84</v>
      </c>
      <c r="C146" s="11" t="s">
        <v>3</v>
      </c>
      <c r="D146" s="141">
        <f t="shared" si="41"/>
        <v>29</v>
      </c>
      <c r="E146" s="141">
        <f t="shared" si="41"/>
        <v>63</v>
      </c>
      <c r="F146" s="141">
        <f t="shared" si="41"/>
        <v>4</v>
      </c>
      <c r="G146" s="141">
        <f t="shared" si="41"/>
        <v>18</v>
      </c>
      <c r="H146" s="141">
        <f t="shared" si="41"/>
        <v>85</v>
      </c>
      <c r="I146" s="141">
        <f t="shared" si="41"/>
        <v>10</v>
      </c>
      <c r="J146" s="110">
        <f t="shared" si="41"/>
        <v>209</v>
      </c>
    </row>
    <row r="147" spans="1:10" ht="15.6" x14ac:dyDescent="0.3">
      <c r="A147" s="655"/>
      <c r="B147" s="24" t="s">
        <v>83</v>
      </c>
      <c r="C147" s="11" t="s">
        <v>3</v>
      </c>
      <c r="D147" s="141">
        <f t="shared" si="41"/>
        <v>0</v>
      </c>
      <c r="E147" s="141">
        <f t="shared" si="41"/>
        <v>59</v>
      </c>
      <c r="F147" s="141">
        <f t="shared" si="41"/>
        <v>0</v>
      </c>
      <c r="G147" s="141">
        <f t="shared" si="41"/>
        <v>18</v>
      </c>
      <c r="H147" s="141">
        <f t="shared" si="41"/>
        <v>86</v>
      </c>
      <c r="I147" s="141">
        <f t="shared" si="41"/>
        <v>26</v>
      </c>
      <c r="J147" s="110">
        <f t="shared" si="41"/>
        <v>189</v>
      </c>
    </row>
    <row r="148" spans="1:10" ht="15.6" x14ac:dyDescent="0.3">
      <c r="A148" s="655"/>
      <c r="B148" s="24" t="s">
        <v>82</v>
      </c>
      <c r="C148" s="11" t="s">
        <v>3</v>
      </c>
      <c r="D148" s="141">
        <f t="shared" si="41"/>
        <v>12</v>
      </c>
      <c r="E148" s="141">
        <f t="shared" si="41"/>
        <v>0</v>
      </c>
      <c r="F148" s="141">
        <f t="shared" si="41"/>
        <v>1</v>
      </c>
      <c r="G148" s="141">
        <f t="shared" si="41"/>
        <v>53</v>
      </c>
      <c r="H148" s="141">
        <f t="shared" si="41"/>
        <v>42</v>
      </c>
      <c r="I148" s="141">
        <f t="shared" si="41"/>
        <v>18</v>
      </c>
      <c r="J148" s="110">
        <f t="shared" si="41"/>
        <v>126</v>
      </c>
    </row>
    <row r="149" spans="1:10" ht="15.6" x14ac:dyDescent="0.3">
      <c r="A149" s="606"/>
      <c r="B149" s="24" t="s">
        <v>81</v>
      </c>
      <c r="C149" s="11" t="s">
        <v>3</v>
      </c>
      <c r="D149" s="140">
        <f t="shared" ref="D149:I149" si="42">D145+D146-D147-D148</f>
        <v>59</v>
      </c>
      <c r="E149" s="140">
        <f t="shared" si="42"/>
        <v>330</v>
      </c>
      <c r="F149" s="140">
        <f t="shared" si="42"/>
        <v>5</v>
      </c>
      <c r="G149" s="140">
        <f t="shared" si="42"/>
        <v>380</v>
      </c>
      <c r="H149" s="140">
        <f t="shared" si="42"/>
        <v>78</v>
      </c>
      <c r="I149" s="140">
        <f t="shared" si="42"/>
        <v>40</v>
      </c>
      <c r="J149" s="110">
        <f t="shared" si="41"/>
        <v>892</v>
      </c>
    </row>
    <row r="150" spans="1:10" x14ac:dyDescent="0.3">
      <c r="A150" s="595" t="s">
        <v>80</v>
      </c>
      <c r="B150" s="596"/>
      <c r="C150" s="596"/>
      <c r="D150" s="596"/>
      <c r="E150" s="596"/>
      <c r="F150" s="596"/>
      <c r="G150" s="596"/>
      <c r="H150" s="596"/>
      <c r="I150" s="596"/>
      <c r="J150" s="597"/>
    </row>
    <row r="151" spans="1:10" ht="15.6" customHeight="1" x14ac:dyDescent="0.3">
      <c r="A151" s="682" t="s">
        <v>79</v>
      </c>
      <c r="B151" s="683"/>
      <c r="C151" s="683"/>
      <c r="D151" s="683"/>
      <c r="E151" s="683"/>
      <c r="F151" s="683"/>
      <c r="G151" s="683"/>
      <c r="H151" s="683"/>
      <c r="I151" s="683"/>
      <c r="J151" s="684"/>
    </row>
    <row r="152" spans="1:10" ht="15.6" x14ac:dyDescent="0.3">
      <c r="A152" s="652" t="s">
        <v>78</v>
      </c>
      <c r="B152" s="92" t="s">
        <v>63</v>
      </c>
      <c r="C152" s="11"/>
      <c r="D152" s="15"/>
      <c r="E152" s="15"/>
      <c r="F152" s="15"/>
      <c r="G152" s="15"/>
      <c r="H152" s="15"/>
      <c r="I152" s="15"/>
      <c r="J152" s="9"/>
    </row>
    <row r="153" spans="1:10" ht="15.6" x14ac:dyDescent="0.3">
      <c r="A153" s="653"/>
      <c r="B153" s="19" t="s">
        <v>73</v>
      </c>
      <c r="C153" s="11" t="s">
        <v>57</v>
      </c>
      <c r="D153" s="26">
        <f>Bangula!D153+Bangula!E153+Bangula!F153+Bangula!G153+Bangula!H153+Bangula!I153</f>
        <v>90</v>
      </c>
      <c r="E153" s="26">
        <f>Chikwawa!D153+Chikwawa!E153+Chikwawa!F153+Chikwawa!G153+Chikwawa!H153+Chikwawa!I153</f>
        <v>371</v>
      </c>
      <c r="F153" s="26">
        <f>'Miseu Folo'!D153+'Miseu Folo'!E153+'Miseu Folo'!F153+'Miseu Folo'!G153+'Miseu Folo'!H153+'Miseu Folo'!I153</f>
        <v>30</v>
      </c>
      <c r="G153" s="26">
        <f>Nchalo!D153+Nchalo!E153+Nchalo!F153+Nchalo!G153+Nchalo!H153+Nchalo!I153</f>
        <v>177</v>
      </c>
      <c r="H153" s="26">
        <f>Nsanje!D153+Nsanje!E153+Nsanje!F153+Nsanje!G153+Nsanje!H153+Nsanje!I153</f>
        <v>477</v>
      </c>
      <c r="I153" s="26">
        <f>Ngabu!D153+Ngabu!E153+Ngabu!F153+Ngabu!G153+Ngabu!H153+Ngabu!I153</f>
        <v>112</v>
      </c>
      <c r="J153" s="74">
        <f t="shared" ref="J153:J165" si="43">SUM(D153:I153)</f>
        <v>1257</v>
      </c>
    </row>
    <row r="154" spans="1:10" ht="15.6" x14ac:dyDescent="0.3">
      <c r="A154" s="653"/>
      <c r="B154" s="19" t="s">
        <v>72</v>
      </c>
      <c r="C154" s="11" t="s">
        <v>57</v>
      </c>
      <c r="D154" s="26">
        <f>Bangula!D154+Bangula!E154+Bangula!F154+Bangula!G154+Bangula!H154+Bangula!I154</f>
        <v>87</v>
      </c>
      <c r="E154" s="26">
        <f>Chikwawa!D154+Chikwawa!E154+Chikwawa!F154+Chikwawa!G154+Chikwawa!H154+Chikwawa!I154</f>
        <v>126</v>
      </c>
      <c r="F154" s="26">
        <f>'Miseu Folo'!D154+'Miseu Folo'!E154+'Miseu Folo'!F154+'Miseu Folo'!G154+'Miseu Folo'!H154+'Miseu Folo'!I154</f>
        <v>14</v>
      </c>
      <c r="G154" s="26">
        <f>Nchalo!D154+Nchalo!E154+Nchalo!F154+Nchalo!G154+Nchalo!H154+Nchalo!I154</f>
        <v>145</v>
      </c>
      <c r="H154" s="26">
        <f>Nsanje!D154+Nsanje!E154+Nsanje!F154+Nsanje!G154+Nsanje!H154+Nsanje!I154</f>
        <v>168</v>
      </c>
      <c r="I154" s="26">
        <f>Ngabu!D154+Ngabu!E154+Ngabu!F154+Ngabu!G154+Ngabu!H154+Ngabu!I154</f>
        <v>43</v>
      </c>
      <c r="J154" s="74">
        <f t="shared" si="43"/>
        <v>583</v>
      </c>
    </row>
    <row r="155" spans="1:10" ht="15.6" x14ac:dyDescent="0.3">
      <c r="A155" s="653"/>
      <c r="B155" s="19" t="s">
        <v>53</v>
      </c>
      <c r="C155" s="11" t="s">
        <v>57</v>
      </c>
      <c r="D155" s="26">
        <f>Bangula!D155+Bangula!E155+Bangula!F155+Bangula!G155+Bangula!H155+Bangula!I155</f>
        <v>0</v>
      </c>
      <c r="E155" s="26">
        <f>Chikwawa!D155+Chikwawa!E155+Chikwawa!F155+Chikwawa!G155+Chikwawa!H155+Chikwawa!I155</f>
        <v>20</v>
      </c>
      <c r="F155" s="26">
        <f>'Miseu Folo'!D155+'Miseu Folo'!E155+'Miseu Folo'!F155+'Miseu Folo'!G155+'Miseu Folo'!H155+'Miseu Folo'!I155</f>
        <v>15</v>
      </c>
      <c r="G155" s="26">
        <f>Nchalo!D155+Nchalo!E155+Nchalo!F155+Nchalo!G155+Nchalo!H155+Nchalo!I155</f>
        <v>44</v>
      </c>
      <c r="H155" s="26">
        <f>Nsanje!D155+Nsanje!E155+Nsanje!F155+Nsanje!G155+Nsanje!H155+Nsanje!I155</f>
        <v>126</v>
      </c>
      <c r="I155" s="26">
        <f>Ngabu!D155+Ngabu!E155+Ngabu!F155+Ngabu!G155+Ngabu!H155+Ngabu!I155</f>
        <v>25</v>
      </c>
      <c r="J155" s="74">
        <f t="shared" si="43"/>
        <v>230</v>
      </c>
    </row>
    <row r="156" spans="1:10" ht="15.6" x14ac:dyDescent="0.3">
      <c r="A156" s="653"/>
      <c r="B156" s="19" t="s">
        <v>71</v>
      </c>
      <c r="C156" s="11" t="s">
        <v>57</v>
      </c>
      <c r="D156" s="26">
        <f>Bangula!D156+Bangula!E156+Bangula!F156+Bangula!G156+Bangula!H156+Bangula!I156</f>
        <v>9</v>
      </c>
      <c r="E156" s="26">
        <f>Chikwawa!D156+Chikwawa!E156+Chikwawa!F156+Chikwawa!G156+Chikwawa!H156+Chikwawa!I156</f>
        <v>8</v>
      </c>
      <c r="F156" s="26">
        <f>'Miseu Folo'!D156+'Miseu Folo'!E156+'Miseu Folo'!F156+'Miseu Folo'!G156+'Miseu Folo'!H156+'Miseu Folo'!I156</f>
        <v>4</v>
      </c>
      <c r="G156" s="26">
        <f>Nchalo!D156+Nchalo!E156+Nchalo!F156+Nchalo!G156+Nchalo!H156+Nchalo!I156</f>
        <v>40</v>
      </c>
      <c r="H156" s="26">
        <f>Nsanje!D156+Nsanje!E156+Nsanje!F156+Nsanje!G156+Nsanje!H156+Nsanje!I156</f>
        <v>53</v>
      </c>
      <c r="I156" s="26">
        <f>Ngabu!D156+Ngabu!E156+Ngabu!F156+Ngabu!G156+Ngabu!H156+Ngabu!I156</f>
        <v>11</v>
      </c>
      <c r="J156" s="74">
        <f t="shared" si="43"/>
        <v>125</v>
      </c>
    </row>
    <row r="157" spans="1:10" ht="15.6" x14ac:dyDescent="0.3">
      <c r="A157" s="653"/>
      <c r="B157" s="19" t="s">
        <v>52</v>
      </c>
      <c r="C157" s="11" t="s">
        <v>57</v>
      </c>
      <c r="D157" s="26">
        <f>Bangula!D157+Bangula!E157+Bangula!F157+Bangula!G157+Bangula!H157+Bangula!I157</f>
        <v>1</v>
      </c>
      <c r="E157" s="26">
        <f>Chikwawa!D157+Chikwawa!E157+Chikwawa!F157+Chikwawa!G157+Chikwawa!H157+Chikwawa!I157</f>
        <v>17</v>
      </c>
      <c r="F157" s="26">
        <f>'Miseu Folo'!D157+'Miseu Folo'!E157+'Miseu Folo'!F157+'Miseu Folo'!G157+'Miseu Folo'!H157+'Miseu Folo'!I157</f>
        <v>10</v>
      </c>
      <c r="G157" s="26">
        <f>Nchalo!D157+Nchalo!E157+Nchalo!F157+Nchalo!G157+Nchalo!H157+Nchalo!I157</f>
        <v>14</v>
      </c>
      <c r="H157" s="26">
        <f>Nsanje!D157+Nsanje!E157+Nsanje!F157+Nsanje!G157+Nsanje!H157+Nsanje!I157</f>
        <v>49</v>
      </c>
      <c r="I157" s="26">
        <f>Ngabu!D157+Ngabu!E157+Ngabu!F157+Ngabu!G157+Ngabu!H157+Ngabu!I157</f>
        <v>15</v>
      </c>
      <c r="J157" s="74">
        <f t="shared" si="43"/>
        <v>106</v>
      </c>
    </row>
    <row r="158" spans="1:10" ht="15.6" x14ac:dyDescent="0.3">
      <c r="A158" s="653"/>
      <c r="B158" s="19" t="s">
        <v>51</v>
      </c>
      <c r="C158" s="11" t="s">
        <v>57</v>
      </c>
      <c r="D158" s="26">
        <f>Bangula!D158+Bangula!E158+Bangula!F158+Bangula!G158+Bangula!H158+Bangula!I158</f>
        <v>17</v>
      </c>
      <c r="E158" s="26">
        <f>Chikwawa!D158+Chikwawa!E158+Chikwawa!F158+Chikwawa!G158+Chikwawa!H158+Chikwawa!I158</f>
        <v>14</v>
      </c>
      <c r="F158" s="26">
        <f>'Miseu Folo'!D158+'Miseu Folo'!E158+'Miseu Folo'!F158+'Miseu Folo'!G158+'Miseu Folo'!H158+'Miseu Folo'!I158</f>
        <v>5</v>
      </c>
      <c r="G158" s="26">
        <f>Nchalo!D158+Nchalo!E158+Nchalo!F158+Nchalo!G158+Nchalo!H158+Nchalo!I158</f>
        <v>22</v>
      </c>
      <c r="H158" s="26">
        <f>Nsanje!D158+Nsanje!E158+Nsanje!F158+Nsanje!G158+Nsanje!H158+Nsanje!I158</f>
        <v>24</v>
      </c>
      <c r="I158" s="26">
        <f>Ngabu!D158+Ngabu!E158+Ngabu!F158+Ngabu!G158+Ngabu!H158+Ngabu!I158</f>
        <v>23</v>
      </c>
      <c r="J158" s="74">
        <f t="shared" si="43"/>
        <v>105</v>
      </c>
    </row>
    <row r="159" spans="1:10" ht="15.6" x14ac:dyDescent="0.3">
      <c r="A159" s="653"/>
      <c r="B159" s="19" t="s">
        <v>62</v>
      </c>
      <c r="C159" s="11" t="s">
        <v>57</v>
      </c>
      <c r="D159" s="26">
        <f>Bangula!D159+Bangula!E159+Bangula!F159+Bangula!G159+Bangula!H159+Bangula!I159</f>
        <v>0</v>
      </c>
      <c r="E159" s="26">
        <f>Chikwawa!D159+Chikwawa!E159+Chikwawa!F159+Chikwawa!G159+Chikwawa!H159+Chikwawa!I159</f>
        <v>0</v>
      </c>
      <c r="F159" s="26">
        <f>'Miseu Folo'!D159+'Miseu Folo'!E159+'Miseu Folo'!F159+'Miseu Folo'!G159+'Miseu Folo'!H159+'Miseu Folo'!I159</f>
        <v>1</v>
      </c>
      <c r="G159" s="26">
        <f>Nchalo!D159+Nchalo!E159+Nchalo!F159+Nchalo!G159+Nchalo!H159+Nchalo!I159</f>
        <v>5</v>
      </c>
      <c r="H159" s="26">
        <f>Nsanje!D159+Nsanje!E159+Nsanje!F159+Nsanje!G159+Nsanje!H159+Nsanje!I159</f>
        <v>21</v>
      </c>
      <c r="I159" s="26">
        <f>Ngabu!D159+Ngabu!E159+Ngabu!F159+Ngabu!G159+Ngabu!H159+Ngabu!I159</f>
        <v>0</v>
      </c>
      <c r="J159" s="74">
        <f t="shared" si="43"/>
        <v>27</v>
      </c>
    </row>
    <row r="160" spans="1:10" ht="15.6" x14ac:dyDescent="0.3">
      <c r="A160" s="653"/>
      <c r="B160" s="19" t="s">
        <v>50</v>
      </c>
      <c r="C160" s="11" t="s">
        <v>57</v>
      </c>
      <c r="D160" s="26">
        <f>Bangula!D160+Bangula!E160+Bangula!F160+Bangula!G160+Bangula!H160+Bangula!I160</f>
        <v>0</v>
      </c>
      <c r="E160" s="26">
        <f>Chikwawa!D160+Chikwawa!E160+Chikwawa!F160+Chikwawa!G160+Chikwawa!H160+Chikwawa!I160</f>
        <v>2</v>
      </c>
      <c r="F160" s="26">
        <f>'Miseu Folo'!D160+'Miseu Folo'!E160+'Miseu Folo'!F160+'Miseu Folo'!G160+'Miseu Folo'!H160+'Miseu Folo'!I160</f>
        <v>2</v>
      </c>
      <c r="G160" s="26">
        <f>Nchalo!D160+Nchalo!E160+Nchalo!F160+Nchalo!G160+Nchalo!H160+Nchalo!I160</f>
        <v>3</v>
      </c>
      <c r="H160" s="26">
        <f>Nsanje!D160+Nsanje!E160+Nsanje!F160+Nsanje!G160+Nsanje!H160+Nsanje!I160</f>
        <v>14</v>
      </c>
      <c r="I160" s="26">
        <f>Ngabu!D160+Ngabu!E160+Ngabu!F160+Ngabu!G160+Ngabu!H160+Ngabu!I160</f>
        <v>4</v>
      </c>
      <c r="J160" s="74">
        <f t="shared" si="43"/>
        <v>25</v>
      </c>
    </row>
    <row r="161" spans="1:10" ht="15.6" x14ac:dyDescent="0.3">
      <c r="A161" s="653"/>
      <c r="B161" s="19" t="s">
        <v>49</v>
      </c>
      <c r="C161" s="11" t="s">
        <v>57</v>
      </c>
      <c r="D161" s="26">
        <f>Bangula!D161+Bangula!E161+Bangula!F161+Bangula!G161+Bangula!H161+Bangula!I161</f>
        <v>8</v>
      </c>
      <c r="E161" s="26">
        <f>Chikwawa!D161+Chikwawa!E161+Chikwawa!F161+Chikwawa!G161+Chikwawa!H161+Chikwawa!I161</f>
        <v>3</v>
      </c>
      <c r="F161" s="26">
        <f>'Miseu Folo'!D161+'Miseu Folo'!E161+'Miseu Folo'!F161+'Miseu Folo'!G161+'Miseu Folo'!H161+'Miseu Folo'!I161</f>
        <v>6</v>
      </c>
      <c r="G161" s="26">
        <f>Nchalo!D161+Nchalo!E161+Nchalo!F161+Nchalo!G161+Nchalo!H161+Nchalo!I161</f>
        <v>14</v>
      </c>
      <c r="H161" s="26">
        <f>Nsanje!D161+Nsanje!E161+Nsanje!F161+Nsanje!G161+Nsanje!H161+Nsanje!I161</f>
        <v>19</v>
      </c>
      <c r="I161" s="26">
        <f>Ngabu!D161+Ngabu!E161+Ngabu!F161+Ngabu!G161+Ngabu!H161+Ngabu!I161</f>
        <v>3</v>
      </c>
      <c r="J161" s="74">
        <f t="shared" si="43"/>
        <v>53</v>
      </c>
    </row>
    <row r="162" spans="1:10" ht="15.6" x14ac:dyDescent="0.3">
      <c r="A162" s="653"/>
      <c r="B162" s="19" t="s">
        <v>77</v>
      </c>
      <c r="C162" s="11" t="s">
        <v>57</v>
      </c>
      <c r="D162" s="26">
        <f>Bangula!D162+Bangula!E162+Bangula!F162+Bangula!G162+Bangula!H162+Bangula!I162</f>
        <v>0</v>
      </c>
      <c r="E162" s="26">
        <f>Chikwawa!D162+Chikwawa!E162+Chikwawa!F162+Chikwawa!G162+Chikwawa!H162+Chikwawa!I162</f>
        <v>0</v>
      </c>
      <c r="F162" s="26">
        <f>'Miseu Folo'!D162+'Miseu Folo'!E162+'Miseu Folo'!F162+'Miseu Folo'!G162+'Miseu Folo'!H162+'Miseu Folo'!I162</f>
        <v>0</v>
      </c>
      <c r="G162" s="26">
        <f>Nchalo!D162+Nchalo!E162+Nchalo!F162+Nchalo!G162+Nchalo!H162+Nchalo!I162</f>
        <v>10</v>
      </c>
      <c r="H162" s="26">
        <f>Nsanje!D162+Nsanje!E162+Nsanje!F162+Nsanje!G162+Nsanje!H162+Nsanje!I162</f>
        <v>5</v>
      </c>
      <c r="I162" s="26">
        <f>Ngabu!D162+Ngabu!E162+Ngabu!F162+Ngabu!G162+Ngabu!H162+Ngabu!I162</f>
        <v>1</v>
      </c>
      <c r="J162" s="74">
        <f t="shared" si="43"/>
        <v>16</v>
      </c>
    </row>
    <row r="163" spans="1:10" ht="15.6" x14ac:dyDescent="0.3">
      <c r="A163" s="653"/>
      <c r="B163" s="19" t="s">
        <v>69</v>
      </c>
      <c r="C163" s="11" t="s">
        <v>57</v>
      </c>
      <c r="D163" s="26">
        <f>Bangula!D163+Bangula!E163+Bangula!F163+Bangula!G163+Bangula!H163+Bangula!I163</f>
        <v>0</v>
      </c>
      <c r="E163" s="26">
        <f>Chikwawa!D163+Chikwawa!E163+Chikwawa!F163+Chikwawa!G163+Chikwawa!H163+Chikwawa!I163</f>
        <v>0</v>
      </c>
      <c r="F163" s="26">
        <f>'Miseu Folo'!D163+'Miseu Folo'!E163+'Miseu Folo'!F163+'Miseu Folo'!G163+'Miseu Folo'!H163+'Miseu Folo'!I163</f>
        <v>0</v>
      </c>
      <c r="G163" s="26">
        <f>Nchalo!D163+Nchalo!E163+Nchalo!F163+Nchalo!G163+Nchalo!H163+Nchalo!I163</f>
        <v>0</v>
      </c>
      <c r="H163" s="26">
        <f>Nsanje!D163+Nsanje!E163+Nsanje!F163+Nsanje!G163+Nsanje!H163+Nsanje!I163</f>
        <v>2</v>
      </c>
      <c r="I163" s="26">
        <f>Ngabu!D163+Ngabu!E163+Ngabu!F163+Ngabu!G163+Ngabu!H163+Ngabu!I163</f>
        <v>4</v>
      </c>
      <c r="J163" s="74">
        <f t="shared" si="43"/>
        <v>6</v>
      </c>
    </row>
    <row r="164" spans="1:10" ht="15.6" x14ac:dyDescent="0.3">
      <c r="A164" s="653"/>
      <c r="B164" s="19" t="s">
        <v>68</v>
      </c>
      <c r="C164" s="11" t="s">
        <v>57</v>
      </c>
      <c r="D164" s="26">
        <f>Bangula!D164+Bangula!E164+Bangula!F164+Bangula!G164+Bangula!H164+Bangula!I164</f>
        <v>0</v>
      </c>
      <c r="E164" s="26">
        <f>Chikwawa!D164+Chikwawa!E164+Chikwawa!F164+Chikwawa!G164+Chikwawa!H164+Chikwawa!I164</f>
        <v>0</v>
      </c>
      <c r="F164" s="26">
        <f>'Miseu Folo'!D164+'Miseu Folo'!E164+'Miseu Folo'!F164+'Miseu Folo'!G164+'Miseu Folo'!H164+'Miseu Folo'!I164</f>
        <v>0</v>
      </c>
      <c r="G164" s="26">
        <f>Nchalo!D164+Nchalo!E164+Nchalo!F164+Nchalo!G164+Nchalo!H164+Nchalo!I164</f>
        <v>0</v>
      </c>
      <c r="H164" s="26">
        <f>Nsanje!D164+Nsanje!E164+Nsanje!F164+Nsanje!G164+Nsanje!H164+Nsanje!I164</f>
        <v>0</v>
      </c>
      <c r="I164" s="26">
        <f>Ngabu!D164+Ngabu!E164+Ngabu!F164+Ngabu!G164+Ngabu!H164+Ngabu!I164</f>
        <v>0</v>
      </c>
      <c r="J164" s="74">
        <f t="shared" si="43"/>
        <v>0</v>
      </c>
    </row>
    <row r="165" spans="1:10" ht="15.6" x14ac:dyDescent="0.3">
      <c r="A165" s="654"/>
      <c r="B165" s="19" t="s">
        <v>76</v>
      </c>
      <c r="C165" s="11" t="s">
        <v>57</v>
      </c>
      <c r="D165" s="26">
        <f>Bangula!D165+Bangula!E165+Bangula!F165+Bangula!G165+Bangula!H165+Bangula!I165</f>
        <v>0</v>
      </c>
      <c r="E165" s="26">
        <f>Chikwawa!D165+Chikwawa!E165+Chikwawa!F165+Chikwawa!G165+Chikwawa!H165+Chikwawa!I165</f>
        <v>0</v>
      </c>
      <c r="F165" s="26">
        <f>'Miseu Folo'!D165+'Miseu Folo'!E165+'Miseu Folo'!F165+'Miseu Folo'!G165+'Miseu Folo'!H165+'Miseu Folo'!I165</f>
        <v>0</v>
      </c>
      <c r="G165" s="26">
        <f>Nchalo!D165+Nchalo!E165+Nchalo!F165+Nchalo!G165+Nchalo!H165+Nchalo!I165</f>
        <v>0</v>
      </c>
      <c r="H165" s="26">
        <f>Nsanje!D165+Nsanje!E165+Nsanje!F165+Nsanje!G165+Nsanje!H165+Nsanje!I165</f>
        <v>0</v>
      </c>
      <c r="I165" s="26">
        <f>Ngabu!D165+Ngabu!E165+Ngabu!F165+Ngabu!G165+Ngabu!H165+Ngabu!I165</f>
        <v>0</v>
      </c>
      <c r="J165" s="74">
        <f t="shared" si="43"/>
        <v>0</v>
      </c>
    </row>
    <row r="166" spans="1:10" ht="15.6" x14ac:dyDescent="0.3">
      <c r="A166" s="652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74"/>
    </row>
    <row r="167" spans="1:10" ht="15.6" x14ac:dyDescent="0.3">
      <c r="A167" s="653"/>
      <c r="B167" s="19" t="s">
        <v>74</v>
      </c>
      <c r="C167" s="11" t="s">
        <v>57</v>
      </c>
      <c r="D167" s="26">
        <f>Bangula!D167+Bangula!E167+Bangula!F167+Bangula!G167+Bangula!H167+Bangula!I167</f>
        <v>10</v>
      </c>
      <c r="E167" s="26">
        <f>Chikwawa!D167+Chikwawa!E167+Chikwawa!F167+Chikwawa!G167+Chikwawa!H167+Chikwawa!I167</f>
        <v>3</v>
      </c>
      <c r="F167" s="26">
        <f>'Miseu Folo'!D167+'Miseu Folo'!E167+'Miseu Folo'!F167+'Miseu Folo'!G167+'Miseu Folo'!H167+'Miseu Folo'!I167</f>
        <v>9</v>
      </c>
      <c r="G167" s="26">
        <f>Nchalo!D167+Nchalo!E167+Nchalo!F167+Nchalo!G167+Nchalo!H167+Nchalo!I167</f>
        <v>49</v>
      </c>
      <c r="H167" s="26">
        <f>Nsanje!D167+Nsanje!E167+Nsanje!F167+Nsanje!G167+Nsanje!H167+Nsanje!I167</f>
        <v>41</v>
      </c>
      <c r="I167" s="26">
        <f>Ngabu!D167+Ngabu!E167+Ngabu!F167+Ngabu!G167+Ngabu!H167+Ngabu!I167</f>
        <v>16</v>
      </c>
      <c r="J167" s="74">
        <f t="shared" ref="J167:J175" si="44">SUM(D167:I167)</f>
        <v>128</v>
      </c>
    </row>
    <row r="168" spans="1:10" ht="15.6" x14ac:dyDescent="0.3">
      <c r="A168" s="653"/>
      <c r="B168" s="19" t="s">
        <v>73</v>
      </c>
      <c r="C168" s="11" t="s">
        <v>57</v>
      </c>
      <c r="D168" s="26">
        <f>Bangula!D168+Bangula!E168+Bangula!F168+Bangula!G168+Bangula!H168+Bangula!I168</f>
        <v>0</v>
      </c>
      <c r="E168" s="26">
        <f>Chikwawa!D168+Chikwawa!E168+Chikwawa!F168+Chikwawa!G168+Chikwawa!H168+Chikwawa!I168</f>
        <v>0</v>
      </c>
      <c r="F168" s="26">
        <f>'Miseu Folo'!D168+'Miseu Folo'!E168+'Miseu Folo'!F168+'Miseu Folo'!G168+'Miseu Folo'!H168+'Miseu Folo'!I168</f>
        <v>9</v>
      </c>
      <c r="G168" s="26">
        <f>Nchalo!D168+Nchalo!E168+Nchalo!F168+Nchalo!G168+Nchalo!H168+Nchalo!I168</f>
        <v>23</v>
      </c>
      <c r="H168" s="26">
        <f>Nsanje!D168+Nsanje!E168+Nsanje!F168+Nsanje!G168+Nsanje!H168+Nsanje!I168</f>
        <v>27</v>
      </c>
      <c r="I168" s="26">
        <f>Ngabu!D168+Ngabu!E168+Ngabu!F168+Ngabu!G168+Ngabu!H168+Ngabu!I168</f>
        <v>8</v>
      </c>
      <c r="J168" s="74">
        <f t="shared" si="44"/>
        <v>67</v>
      </c>
    </row>
    <row r="169" spans="1:10" ht="15.6" x14ac:dyDescent="0.3">
      <c r="A169" s="653"/>
      <c r="B169" s="19" t="s">
        <v>72</v>
      </c>
      <c r="C169" s="11" t="s">
        <v>57</v>
      </c>
      <c r="D169" s="26">
        <f>Bangula!D169+Bangula!E169+Bangula!F169+Bangula!G169+Bangula!H169+Bangula!I169</f>
        <v>0</v>
      </c>
      <c r="E169" s="26">
        <f>Chikwawa!D169+Chikwawa!E169+Chikwawa!F169+Chikwawa!G169+Chikwawa!H169+Chikwawa!I169</f>
        <v>0</v>
      </c>
      <c r="F169" s="26">
        <f>'Miseu Folo'!D169+'Miseu Folo'!E169+'Miseu Folo'!F169+'Miseu Folo'!G169+'Miseu Folo'!H169+'Miseu Folo'!I169</f>
        <v>0</v>
      </c>
      <c r="G169" s="26">
        <f>Nchalo!D169+Nchalo!E169+Nchalo!F169+Nchalo!G169+Nchalo!H169+Nchalo!I169</f>
        <v>1</v>
      </c>
      <c r="H169" s="26">
        <f>Nsanje!D169+Nsanje!E169+Nsanje!F169+Nsanje!G169+Nsanje!H169+Nsanje!I169</f>
        <v>0</v>
      </c>
      <c r="I169" s="26">
        <f>Ngabu!D169+Ngabu!E169+Ngabu!F169+Ngabu!G169+Ngabu!H169+Ngabu!I169</f>
        <v>0</v>
      </c>
      <c r="J169" s="74">
        <f t="shared" si="44"/>
        <v>1</v>
      </c>
    </row>
    <row r="170" spans="1:10" ht="15.6" x14ac:dyDescent="0.3">
      <c r="A170" s="653"/>
      <c r="B170" s="19" t="s">
        <v>71</v>
      </c>
      <c r="C170" s="11" t="s">
        <v>57</v>
      </c>
      <c r="D170" s="26">
        <f>Bangula!D170+Bangula!E170+Bangula!F170+Bangula!G170+Bangula!H170+Bangula!I170</f>
        <v>0</v>
      </c>
      <c r="E170" s="26">
        <f>Chikwawa!D170+Chikwawa!E170+Chikwawa!F170+Chikwawa!G170+Chikwawa!H170+Chikwawa!I170</f>
        <v>0</v>
      </c>
      <c r="F170" s="26">
        <f>'Miseu Folo'!D170+'Miseu Folo'!E170+'Miseu Folo'!F170+'Miseu Folo'!G170+'Miseu Folo'!H170+'Miseu Folo'!I170</f>
        <v>0</v>
      </c>
      <c r="G170" s="26">
        <f>Nchalo!D170+Nchalo!E170+Nchalo!F170+Nchalo!G170+Nchalo!H170+Nchalo!I170</f>
        <v>1</v>
      </c>
      <c r="H170" s="26">
        <f>Nsanje!D170+Nsanje!E170+Nsanje!F170+Nsanje!G170+Nsanje!H170+Nsanje!I170</f>
        <v>0</v>
      </c>
      <c r="I170" s="26">
        <f>Ngabu!D170+Ngabu!E170+Ngabu!F170+Ngabu!G170+Ngabu!H170+Ngabu!I170</f>
        <v>0</v>
      </c>
      <c r="J170" s="74">
        <f t="shared" si="44"/>
        <v>1</v>
      </c>
    </row>
    <row r="171" spans="1:10" ht="15.6" x14ac:dyDescent="0.3">
      <c r="A171" s="653"/>
      <c r="B171" s="19" t="s">
        <v>52</v>
      </c>
      <c r="C171" s="11" t="s">
        <v>57</v>
      </c>
      <c r="D171" s="26">
        <f>Bangula!D171+Bangula!E171+Bangula!F171+Bangula!G171+Bangula!H171+Bangula!I171</f>
        <v>0</v>
      </c>
      <c r="E171" s="26">
        <f>Chikwawa!D171+Chikwawa!E171+Chikwawa!F171+Chikwawa!G171+Chikwawa!H171+Chikwawa!I171</f>
        <v>0</v>
      </c>
      <c r="F171" s="26">
        <f>'Miseu Folo'!D171+'Miseu Folo'!E171+'Miseu Folo'!F171+'Miseu Folo'!G171+'Miseu Folo'!H171+'Miseu Folo'!I171</f>
        <v>0</v>
      </c>
      <c r="G171" s="26">
        <f>Nchalo!D171+Nchalo!E171+Nchalo!F171+Nchalo!G171+Nchalo!H171+Nchalo!I171</f>
        <v>2</v>
      </c>
      <c r="H171" s="26">
        <f>Nsanje!D171+Nsanje!E171+Nsanje!F171+Nsanje!G171+Nsanje!H171+Nsanje!I171</f>
        <v>0</v>
      </c>
      <c r="I171" s="26">
        <f>Ngabu!D171+Ngabu!E171+Ngabu!F171+Ngabu!G171+Ngabu!H171+Ngabu!I171</f>
        <v>0</v>
      </c>
      <c r="J171" s="74">
        <f t="shared" si="44"/>
        <v>2</v>
      </c>
    </row>
    <row r="172" spans="1:10" ht="15.6" x14ac:dyDescent="0.3">
      <c r="A172" s="653"/>
      <c r="B172" s="19" t="s">
        <v>62</v>
      </c>
      <c r="C172" s="11" t="s">
        <v>57</v>
      </c>
      <c r="D172" s="26">
        <f>Bangula!D172+Bangula!E172+Bangula!F172+Bangula!G172+Bangula!H172+Bangula!I172</f>
        <v>0</v>
      </c>
      <c r="E172" s="26">
        <f>Chikwawa!D172+Chikwawa!E172+Chikwawa!F172+Chikwawa!G172+Chikwawa!H172+Chikwawa!I172</f>
        <v>0</v>
      </c>
      <c r="F172" s="26">
        <f>'Miseu Folo'!D172+'Miseu Folo'!E172+'Miseu Folo'!F172+'Miseu Folo'!G172+'Miseu Folo'!H172+'Miseu Folo'!I172</f>
        <v>0</v>
      </c>
      <c r="G172" s="26">
        <f>Nchalo!D172+Nchalo!E172+Nchalo!F172+Nchalo!G172+Nchalo!H172+Nchalo!I172</f>
        <v>0</v>
      </c>
      <c r="H172" s="26">
        <f>Nsanje!D172+Nsanje!E172+Nsanje!F172+Nsanje!G172+Nsanje!H172+Nsanje!I172</f>
        <v>0</v>
      </c>
      <c r="I172" s="26">
        <f>Ngabu!D172+Ngabu!E172+Ngabu!F172+Ngabu!G172+Ngabu!H172+Ngabu!I172</f>
        <v>0</v>
      </c>
      <c r="J172" s="74">
        <f t="shared" si="44"/>
        <v>0</v>
      </c>
    </row>
    <row r="173" spans="1:10" ht="15.6" x14ac:dyDescent="0.3">
      <c r="A173" s="653"/>
      <c r="B173" s="19" t="s">
        <v>61</v>
      </c>
      <c r="C173" s="11" t="s">
        <v>57</v>
      </c>
      <c r="D173" s="26">
        <f>Bangula!D173+Bangula!E173+Bangula!F173+Bangula!G173+Bangula!H173+Bangula!I173</f>
        <v>0</v>
      </c>
      <c r="E173" s="26">
        <f>Chikwawa!D173+Chikwawa!E173+Chikwawa!F173+Chikwawa!G173+Chikwawa!H173+Chikwawa!I173</f>
        <v>0</v>
      </c>
      <c r="F173" s="26">
        <f>'Miseu Folo'!D173+'Miseu Folo'!E173+'Miseu Folo'!F173+'Miseu Folo'!G173+'Miseu Folo'!H173+'Miseu Folo'!I173</f>
        <v>0</v>
      </c>
      <c r="G173" s="26">
        <f>Nchalo!D173+Nchalo!E173+Nchalo!F173+Nchalo!G173+Nchalo!H173+Nchalo!I173</f>
        <v>0</v>
      </c>
      <c r="H173" s="26">
        <f>Nsanje!D173+Nsanje!E173+Nsanje!F173+Nsanje!G173+Nsanje!H173+Nsanje!I173</f>
        <v>0</v>
      </c>
      <c r="I173" s="26">
        <f>Ngabu!D173+Ngabu!E173+Ngabu!F173+Ngabu!G173+Ngabu!H173+Ngabu!I173</f>
        <v>0</v>
      </c>
      <c r="J173" s="74">
        <f t="shared" si="44"/>
        <v>0</v>
      </c>
    </row>
    <row r="174" spans="1:10" ht="15.6" x14ac:dyDescent="0.3">
      <c r="A174" s="653"/>
      <c r="B174" s="19" t="s">
        <v>60</v>
      </c>
      <c r="C174" s="11" t="s">
        <v>57</v>
      </c>
      <c r="D174" s="26">
        <f>Bangula!D174+Bangula!E174+Bangula!F174+Bangula!G174+Bangula!H174+Bangula!I174</f>
        <v>0</v>
      </c>
      <c r="E174" s="26">
        <f>Chikwawa!D174+Chikwawa!E174+Chikwawa!F174+Chikwawa!G174+Chikwawa!H174+Chikwawa!I174</f>
        <v>0</v>
      </c>
      <c r="F174" s="26">
        <f>'Miseu Folo'!D174+'Miseu Folo'!E174+'Miseu Folo'!F174+'Miseu Folo'!G174+'Miseu Folo'!H174+'Miseu Folo'!I174</f>
        <v>0</v>
      </c>
      <c r="G174" s="26">
        <f>Nchalo!D174+Nchalo!E174+Nchalo!F174+Nchalo!G174+Nchalo!H174+Nchalo!I174</f>
        <v>0</v>
      </c>
      <c r="H174" s="26">
        <f>Nsanje!D174+Nsanje!E174+Nsanje!F174+Nsanje!G174+Nsanje!H174+Nsanje!I174</f>
        <v>0</v>
      </c>
      <c r="I174" s="26">
        <f>Ngabu!D174+Ngabu!E174+Ngabu!F174+Ngabu!G174+Ngabu!H174+Ngabu!I174</f>
        <v>0</v>
      </c>
      <c r="J174" s="74">
        <f t="shared" si="44"/>
        <v>0</v>
      </c>
    </row>
    <row r="175" spans="1:10" ht="15.6" x14ac:dyDescent="0.3">
      <c r="A175" s="654"/>
      <c r="B175" s="19" t="s">
        <v>69</v>
      </c>
      <c r="C175" s="11" t="s">
        <v>57</v>
      </c>
      <c r="D175" s="26">
        <f>Bangula!D175+Bangula!E175+Bangula!F175+Bangula!G175+Bangula!H175+Bangula!I175</f>
        <v>0</v>
      </c>
      <c r="E175" s="26">
        <f>Chikwawa!D175+Chikwawa!E175+Chikwawa!F175+Chikwawa!G175+Chikwawa!H175+Chikwawa!I175</f>
        <v>0</v>
      </c>
      <c r="F175" s="26">
        <f>'Miseu Folo'!D175+'Miseu Folo'!E175+'Miseu Folo'!F175+'Miseu Folo'!G175+'Miseu Folo'!H175+'Miseu Folo'!I175</f>
        <v>0</v>
      </c>
      <c r="G175" s="26">
        <f>Nchalo!D175+Nchalo!E175+Nchalo!F175+Nchalo!G175+Nchalo!H175+Nchalo!I175</f>
        <v>0</v>
      </c>
      <c r="H175" s="26">
        <f>Nsanje!D175+Nsanje!E175+Nsanje!F175+Nsanje!G175+Nsanje!H175+Nsanje!I175</f>
        <v>0</v>
      </c>
      <c r="I175" s="26">
        <f>Ngabu!D175+Ngabu!E175+Ngabu!F175+Ngabu!G175+Ngabu!H175+Ngabu!I175</f>
        <v>0</v>
      </c>
      <c r="J175" s="74">
        <f t="shared" si="44"/>
        <v>0</v>
      </c>
    </row>
    <row r="176" spans="1:10" ht="15.6" x14ac:dyDescent="0.3">
      <c r="A176" s="652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74"/>
    </row>
    <row r="177" spans="1:10" ht="15.6" x14ac:dyDescent="0.3">
      <c r="A177" s="653"/>
      <c r="B177" s="19" t="s">
        <v>60</v>
      </c>
      <c r="C177" s="11" t="s">
        <v>57</v>
      </c>
      <c r="D177" s="26">
        <f>Bangula!D177+Bangula!E177+Bangula!F177+Bangula!G177+Bangula!H177+Bangula!I177</f>
        <v>0</v>
      </c>
      <c r="E177" s="26">
        <f>Chikwawa!D177+Chikwawa!E177+Chikwawa!F177+Chikwawa!G177+Chikwawa!H177+Chikwawa!I177</f>
        <v>0</v>
      </c>
      <c r="F177" s="26">
        <f>'Miseu Folo'!D177+'Miseu Folo'!E177+'Miseu Folo'!F177+'Miseu Folo'!G177+'Miseu Folo'!H177+'Miseu Folo'!I177</f>
        <v>0</v>
      </c>
      <c r="G177" s="26">
        <f>Nchalo!D177+Nchalo!E177+Nchalo!F177+Nchalo!G177+Nchalo!H177+Nchalo!I177</f>
        <v>0</v>
      </c>
      <c r="H177" s="26">
        <f>Nsanje!D177+Nsanje!E177+Nsanje!F177+Nsanje!G177+Nsanje!H177+Nsanje!I177</f>
        <v>0</v>
      </c>
      <c r="I177" s="26">
        <f>Ngabu!D177+Ngabu!E177+Ngabu!F177+Ngabu!G177+Ngabu!H177+Ngabu!I177</f>
        <v>0</v>
      </c>
      <c r="J177" s="74">
        <f t="shared" ref="J177:J182" si="45">SUM(D177:I177)</f>
        <v>0</v>
      </c>
    </row>
    <row r="178" spans="1:10" ht="15.6" x14ac:dyDescent="0.3">
      <c r="A178" s="653"/>
      <c r="B178" s="19" t="s">
        <v>69</v>
      </c>
      <c r="C178" s="11" t="s">
        <v>57</v>
      </c>
      <c r="D178" s="26">
        <f>Bangula!D178+Bangula!E178+Bangula!F178+Bangula!G178+Bangula!H178+Bangula!I178</f>
        <v>0</v>
      </c>
      <c r="E178" s="26">
        <f>Chikwawa!D178+Chikwawa!E178+Chikwawa!F178+Chikwawa!G178+Chikwawa!H178+Chikwawa!I178</f>
        <v>0</v>
      </c>
      <c r="F178" s="26">
        <f>'Miseu Folo'!D178+'Miseu Folo'!E178+'Miseu Folo'!F178+'Miseu Folo'!G178+'Miseu Folo'!H178+'Miseu Folo'!I178</f>
        <v>0</v>
      </c>
      <c r="G178" s="26">
        <f>Nchalo!D178+Nchalo!E178+Nchalo!F178+Nchalo!G178+Nchalo!H178+Nchalo!I178</f>
        <v>0</v>
      </c>
      <c r="H178" s="26">
        <f>Nsanje!D178+Nsanje!E178+Nsanje!F178+Nsanje!G178+Nsanje!H178+Nsanje!I178</f>
        <v>0</v>
      </c>
      <c r="I178" s="26">
        <f>Ngabu!D178+Ngabu!E178+Ngabu!F178+Ngabu!G178+Ngabu!H178+Ngabu!I178</f>
        <v>0</v>
      </c>
      <c r="J178" s="74">
        <f t="shared" si="45"/>
        <v>0</v>
      </c>
    </row>
    <row r="179" spans="1:10" ht="15.6" x14ac:dyDescent="0.3">
      <c r="A179" s="653"/>
      <c r="B179" s="19" t="s">
        <v>68</v>
      </c>
      <c r="C179" s="11" t="s">
        <v>57</v>
      </c>
      <c r="D179" s="26">
        <f>Bangula!D179+Bangula!E179+Bangula!F179+Bangula!G179+Bangula!H179+Bangula!I179</f>
        <v>0</v>
      </c>
      <c r="E179" s="26">
        <f>Chikwawa!D179+Chikwawa!E179+Chikwawa!F179+Chikwawa!G179+Chikwawa!H179+Chikwawa!I179</f>
        <v>0</v>
      </c>
      <c r="F179" s="26">
        <f>'Miseu Folo'!D179+'Miseu Folo'!E179+'Miseu Folo'!F179+'Miseu Folo'!G179+'Miseu Folo'!H179+'Miseu Folo'!I179</f>
        <v>0</v>
      </c>
      <c r="G179" s="26">
        <f>Nchalo!D179+Nchalo!E179+Nchalo!F179+Nchalo!G179+Nchalo!H179+Nchalo!I179</f>
        <v>0</v>
      </c>
      <c r="H179" s="26">
        <f>Nsanje!D179+Nsanje!E179+Nsanje!F179+Nsanje!G179+Nsanje!H179+Nsanje!I179</f>
        <v>0</v>
      </c>
      <c r="I179" s="26">
        <f>Ngabu!D179+Ngabu!E179+Ngabu!F179+Ngabu!G179+Ngabu!H179+Ngabu!I179</f>
        <v>0</v>
      </c>
      <c r="J179" s="74">
        <f t="shared" si="45"/>
        <v>0</v>
      </c>
    </row>
    <row r="180" spans="1:10" ht="15.6" x14ac:dyDescent="0.3">
      <c r="A180" s="653"/>
      <c r="B180" s="19" t="s">
        <v>67</v>
      </c>
      <c r="C180" s="11" t="s">
        <v>57</v>
      </c>
      <c r="D180" s="26">
        <f>Bangula!D180+Bangula!E180+Bangula!F180+Bangula!G180+Bangula!H180+Bangula!I180</f>
        <v>0</v>
      </c>
      <c r="E180" s="26">
        <f>Chikwawa!D180+Chikwawa!E180+Chikwawa!F180+Chikwawa!G180+Chikwawa!H180+Chikwawa!I180</f>
        <v>0</v>
      </c>
      <c r="F180" s="26">
        <f>'Miseu Folo'!D180+'Miseu Folo'!E180+'Miseu Folo'!F180+'Miseu Folo'!G180+'Miseu Folo'!H180+'Miseu Folo'!I180</f>
        <v>0</v>
      </c>
      <c r="G180" s="26">
        <f>Nchalo!D180+Nchalo!E180+Nchalo!F180+Nchalo!G180+Nchalo!H180+Nchalo!I180</f>
        <v>0</v>
      </c>
      <c r="H180" s="26">
        <f>Nsanje!D180+Nsanje!E180+Nsanje!F180+Nsanje!G180+Nsanje!H180+Nsanje!I180</f>
        <v>0</v>
      </c>
      <c r="I180" s="26">
        <f>Ngabu!D180+Ngabu!E180+Ngabu!F180+Ngabu!G180+Ngabu!H180+Ngabu!I180</f>
        <v>0</v>
      </c>
      <c r="J180" s="74">
        <f t="shared" si="45"/>
        <v>0</v>
      </c>
    </row>
    <row r="181" spans="1:10" ht="15.6" x14ac:dyDescent="0.3">
      <c r="A181" s="653"/>
      <c r="B181" s="19" t="s">
        <v>66</v>
      </c>
      <c r="C181" s="11" t="s">
        <v>57</v>
      </c>
      <c r="D181" s="26">
        <f>Bangula!D181+Bangula!E181+Bangula!F181+Bangula!G181+Bangula!H181+Bangula!I181</f>
        <v>0</v>
      </c>
      <c r="E181" s="26">
        <f>Chikwawa!D181+Chikwawa!E181+Chikwawa!F181+Chikwawa!G181+Chikwawa!H181+Chikwawa!I181</f>
        <v>0</v>
      </c>
      <c r="F181" s="26">
        <f>'Miseu Folo'!D181+'Miseu Folo'!E181+'Miseu Folo'!F181+'Miseu Folo'!G181+'Miseu Folo'!H181+'Miseu Folo'!I181</f>
        <v>0</v>
      </c>
      <c r="G181" s="26">
        <f>Nchalo!D181+Nchalo!E181+Nchalo!F181+Nchalo!G181+Nchalo!H181+Nchalo!I181</f>
        <v>0</v>
      </c>
      <c r="H181" s="26">
        <f>Nsanje!D181+Nsanje!E181+Nsanje!F181+Nsanje!G181+Nsanje!H181+Nsanje!I181</f>
        <v>0</v>
      </c>
      <c r="I181" s="26">
        <f>Ngabu!D181+Ngabu!E181+Ngabu!F181+Ngabu!G181+Ngabu!H181+Ngabu!I181</f>
        <v>0</v>
      </c>
      <c r="J181" s="74">
        <f t="shared" si="45"/>
        <v>0</v>
      </c>
    </row>
    <row r="182" spans="1:10" ht="15.6" x14ac:dyDescent="0.3">
      <c r="A182" s="654"/>
      <c r="B182" s="19" t="s">
        <v>65</v>
      </c>
      <c r="C182" s="11" t="s">
        <v>57</v>
      </c>
      <c r="D182" s="26">
        <f>Bangula!D182+Bangula!E182+Bangula!F182+Bangula!G182+Bangula!H182+Bangula!I182</f>
        <v>0</v>
      </c>
      <c r="E182" s="26">
        <f>Chikwawa!D182+Chikwawa!E182+Chikwawa!F182+Chikwawa!G182+Chikwawa!H182+Chikwawa!I182</f>
        <v>0</v>
      </c>
      <c r="F182" s="26">
        <f>'Miseu Folo'!D182+'Miseu Folo'!E182+'Miseu Folo'!F182+'Miseu Folo'!G182+'Miseu Folo'!H182+'Miseu Folo'!I182</f>
        <v>0</v>
      </c>
      <c r="G182" s="26">
        <f>Nchalo!D182+Nchalo!E182+Nchalo!F182+Nchalo!G182+Nchalo!H182+Nchalo!I182</f>
        <v>0</v>
      </c>
      <c r="H182" s="26">
        <f>Nsanje!D182+Nsanje!E182+Nsanje!F182+Nsanje!G182+Nsanje!H182+Nsanje!I182</f>
        <v>0</v>
      </c>
      <c r="I182" s="26">
        <f>Ngabu!D182+Ngabu!E182+Ngabu!F182+Ngabu!G182+Ngabu!H182+Ngabu!I182</f>
        <v>0</v>
      </c>
      <c r="J182" s="74">
        <f t="shared" si="45"/>
        <v>0</v>
      </c>
    </row>
    <row r="183" spans="1:10" ht="15.6" x14ac:dyDescent="0.3">
      <c r="A183" s="652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74"/>
    </row>
    <row r="184" spans="1:10" ht="15.6" x14ac:dyDescent="0.3">
      <c r="A184" s="653"/>
      <c r="B184" s="19" t="s">
        <v>73</v>
      </c>
      <c r="C184" s="11" t="s">
        <v>57</v>
      </c>
      <c r="D184" s="26">
        <f>Bangula!D184+Bangula!E184+Bangula!F184+Bangula!G184+Bangula!H184+Bangula!I184</f>
        <v>0</v>
      </c>
      <c r="E184" s="26">
        <f>Chikwawa!D184+Chikwawa!E184+Chikwawa!F184+Chikwawa!G184+Chikwawa!H184+Chikwawa!I184</f>
        <v>0</v>
      </c>
      <c r="F184" s="26">
        <f>'Miseu Folo'!D184+'Miseu Folo'!E184+'Miseu Folo'!F184+'Miseu Folo'!G184+'Miseu Folo'!H184+'Miseu Folo'!I184</f>
        <v>0</v>
      </c>
      <c r="G184" s="26">
        <f>Nchalo!D184+Nchalo!E184+Nchalo!F184+Nchalo!G184+Nchalo!H184+Nchalo!I184</f>
        <v>0</v>
      </c>
      <c r="H184" s="26">
        <f>Nsanje!D184+Nsanje!E184+Nsanje!F184+Nsanje!G184+Nsanje!H184+Nsanje!I184</f>
        <v>0</v>
      </c>
      <c r="I184" s="26">
        <f>Ngabu!D184+Ngabu!E184+Ngabu!F184+Ngabu!G184+Ngabu!H184+Ngabu!I184</f>
        <v>0</v>
      </c>
      <c r="J184" s="74">
        <f>SUM(D184:I184)</f>
        <v>0</v>
      </c>
    </row>
    <row r="185" spans="1:10" ht="15.6" x14ac:dyDescent="0.3">
      <c r="A185" s="653"/>
      <c r="B185" s="19" t="s">
        <v>72</v>
      </c>
      <c r="C185" s="11" t="s">
        <v>57</v>
      </c>
      <c r="D185" s="26">
        <f>Bangula!D185+Bangula!E185+Bangula!F185+Bangula!G185+Bangula!H185+Bangula!I185</f>
        <v>0</v>
      </c>
      <c r="E185" s="26">
        <f>Chikwawa!D185+Chikwawa!E185+Chikwawa!F185+Chikwawa!G185+Chikwawa!H185+Chikwawa!I185</f>
        <v>0</v>
      </c>
      <c r="F185" s="26">
        <f>'Miseu Folo'!D185+'Miseu Folo'!E185+'Miseu Folo'!F185+'Miseu Folo'!G185+'Miseu Folo'!H185+'Miseu Folo'!I185</f>
        <v>0</v>
      </c>
      <c r="G185" s="26">
        <f>Nchalo!D185+Nchalo!E185+Nchalo!F185+Nchalo!G185+Nchalo!H185+Nchalo!I185</f>
        <v>0</v>
      </c>
      <c r="H185" s="26">
        <f>Nsanje!D185+Nsanje!E185+Nsanje!F185+Nsanje!G185+Nsanje!H185+Nsanje!I185</f>
        <v>0</v>
      </c>
      <c r="I185" s="26">
        <f>Ngabu!D185+Ngabu!E185+Ngabu!F185+Ngabu!G185+Ngabu!H185+Ngabu!I185</f>
        <v>0</v>
      </c>
      <c r="J185" s="74">
        <f>SUM(D185:I185)</f>
        <v>0</v>
      </c>
    </row>
    <row r="186" spans="1:10" ht="15.6" x14ac:dyDescent="0.3">
      <c r="A186" s="653"/>
      <c r="B186" s="19" t="s">
        <v>53</v>
      </c>
      <c r="C186" s="11" t="s">
        <v>57</v>
      </c>
      <c r="D186" s="26">
        <f>Bangula!D186+Bangula!E186+Bangula!F186+Bangula!G186+Bangula!H186+Bangula!I186</f>
        <v>0</v>
      </c>
      <c r="E186" s="26">
        <f>Chikwawa!D186+Chikwawa!E186+Chikwawa!F186+Chikwawa!G186+Chikwawa!H186+Chikwawa!I186</f>
        <v>0</v>
      </c>
      <c r="F186" s="26">
        <f>'Miseu Folo'!D186+'Miseu Folo'!E186+'Miseu Folo'!F186+'Miseu Folo'!G186+'Miseu Folo'!H186+'Miseu Folo'!I186</f>
        <v>0</v>
      </c>
      <c r="G186" s="26">
        <f>Nchalo!D186+Nchalo!E186+Nchalo!F186+Nchalo!G186+Nchalo!H186+Nchalo!I186</f>
        <v>0</v>
      </c>
      <c r="H186" s="26">
        <f>Nsanje!D186+Nsanje!E186+Nsanje!F186+Nsanje!G186+Nsanje!H186+Nsanje!I186</f>
        <v>0</v>
      </c>
      <c r="I186" s="26">
        <f>Ngabu!D186+Ngabu!E186+Ngabu!F186+Ngabu!G186+Ngabu!H186+Ngabu!I186</f>
        <v>0</v>
      </c>
      <c r="J186" s="74">
        <f>SUM(D186:I186)</f>
        <v>0</v>
      </c>
    </row>
    <row r="187" spans="1:10" ht="15.6" x14ac:dyDescent="0.3">
      <c r="A187" s="654"/>
      <c r="B187" s="19" t="s">
        <v>52</v>
      </c>
      <c r="C187" s="11" t="s">
        <v>57</v>
      </c>
      <c r="D187" s="26">
        <f>Bangula!D187+Bangula!E187+Bangula!F187+Bangula!G187+Bangula!H187+Bangula!I187</f>
        <v>0</v>
      </c>
      <c r="E187" s="26">
        <f>Chikwawa!D187+Chikwawa!E187+Chikwawa!F187+Chikwawa!G187+Chikwawa!H187+Chikwawa!I187</f>
        <v>0</v>
      </c>
      <c r="F187" s="26">
        <f>'Miseu Folo'!D187+'Miseu Folo'!E187+'Miseu Folo'!F187+'Miseu Folo'!G187+'Miseu Folo'!H187+'Miseu Folo'!I187</f>
        <v>0</v>
      </c>
      <c r="G187" s="26">
        <f>Nchalo!D187+Nchalo!E187+Nchalo!F187+Nchalo!G187+Nchalo!H187+Nchalo!I187</f>
        <v>0</v>
      </c>
      <c r="H187" s="26">
        <f>Nsanje!D187+Nsanje!E187+Nsanje!F187+Nsanje!G187+Nsanje!H187+Nsanje!I187</f>
        <v>0</v>
      </c>
      <c r="I187" s="26">
        <f>Ngabu!D187+Ngabu!E187+Ngabu!F187+Ngabu!G187+Ngabu!H187+Ngabu!I187</f>
        <v>0</v>
      </c>
      <c r="J187" s="74">
        <f>SUM(D187:I187)</f>
        <v>0</v>
      </c>
    </row>
    <row r="188" spans="1:10" ht="15.6" x14ac:dyDescent="0.3">
      <c r="A188" s="652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74"/>
    </row>
    <row r="189" spans="1:10" ht="15.6" x14ac:dyDescent="0.3">
      <c r="A189" s="653"/>
      <c r="B189" s="20" t="s">
        <v>52</v>
      </c>
      <c r="C189" s="11" t="s">
        <v>57</v>
      </c>
      <c r="D189" s="26">
        <f>Bangula!D189+Bangula!E189+Bangula!F189+Bangula!G189+Bangula!H189+Bangula!I189</f>
        <v>0</v>
      </c>
      <c r="E189" s="26">
        <f>Chikwawa!D189+Chikwawa!E189+Chikwawa!F189+Chikwawa!G189+Chikwawa!H189+Chikwawa!I189</f>
        <v>0</v>
      </c>
      <c r="F189" s="26">
        <f>'Miseu Folo'!D189+'Miseu Folo'!E189+'Miseu Folo'!F189+'Miseu Folo'!G189+'Miseu Folo'!H189+'Miseu Folo'!I189</f>
        <v>0</v>
      </c>
      <c r="G189" s="26">
        <f>Nchalo!D189+Nchalo!E189+Nchalo!F189+Nchalo!G189+Nchalo!H189+Nchalo!I189</f>
        <v>0</v>
      </c>
      <c r="H189" s="26">
        <f>Nsanje!D189+Nsanje!E189+Nsanje!F189+Nsanje!G189+Nsanje!H189+Nsanje!I189</f>
        <v>0</v>
      </c>
      <c r="I189" s="26">
        <f>Ngabu!D189+Ngabu!E189+Ngabu!F189+Ngabu!G189+Ngabu!H189+Ngabu!I189</f>
        <v>0</v>
      </c>
      <c r="J189" s="74">
        <f>SUM(D189:I189)</f>
        <v>0</v>
      </c>
    </row>
    <row r="190" spans="1:10" ht="15.6" x14ac:dyDescent="0.3">
      <c r="A190" s="653"/>
      <c r="B190" s="19" t="s">
        <v>62</v>
      </c>
      <c r="C190" s="11" t="s">
        <v>57</v>
      </c>
      <c r="D190" s="26">
        <f>Bangula!D190+Bangula!E190+Bangula!F190+Bangula!G190+Bangula!H190+Bangula!I190</f>
        <v>0</v>
      </c>
      <c r="E190" s="26">
        <f>Chikwawa!D190+Chikwawa!E190+Chikwawa!F190+Chikwawa!G190+Chikwawa!H190+Chikwawa!I190</f>
        <v>0</v>
      </c>
      <c r="F190" s="26">
        <f>'Miseu Folo'!D190+'Miseu Folo'!E190+'Miseu Folo'!F190+'Miseu Folo'!G190+'Miseu Folo'!H190+'Miseu Folo'!I190</f>
        <v>0</v>
      </c>
      <c r="G190" s="26">
        <f>Nchalo!D190+Nchalo!E190+Nchalo!F190+Nchalo!G190+Nchalo!H190+Nchalo!I190</f>
        <v>0</v>
      </c>
      <c r="H190" s="26">
        <f>Nsanje!D190+Nsanje!E190+Nsanje!F190+Nsanje!G190+Nsanje!H190+Nsanje!I190</f>
        <v>0</v>
      </c>
      <c r="I190" s="26">
        <f>Ngabu!D190+Ngabu!E190+Ngabu!F190+Ngabu!G190+Ngabu!H190+Ngabu!I190</f>
        <v>0</v>
      </c>
      <c r="J190" s="74">
        <f>SUM(D190:I190)</f>
        <v>0</v>
      </c>
    </row>
    <row r="191" spans="1:10" ht="15.6" x14ac:dyDescent="0.3">
      <c r="A191" s="653"/>
      <c r="B191" s="19" t="s">
        <v>61</v>
      </c>
      <c r="C191" s="11" t="s">
        <v>57</v>
      </c>
      <c r="D191" s="26">
        <f>Bangula!D191+Bangula!E191+Bangula!F191+Bangula!G191+Bangula!H191+Bangula!I191</f>
        <v>0</v>
      </c>
      <c r="E191" s="26">
        <f>Chikwawa!D191+Chikwawa!E191+Chikwawa!F191+Chikwawa!G191+Chikwawa!H191+Chikwawa!I191</f>
        <v>0</v>
      </c>
      <c r="F191" s="26">
        <f>'Miseu Folo'!D191+'Miseu Folo'!E191+'Miseu Folo'!F191+'Miseu Folo'!G191+'Miseu Folo'!H191+'Miseu Folo'!I191</f>
        <v>0</v>
      </c>
      <c r="G191" s="26">
        <f>Nchalo!D191+Nchalo!E191+Nchalo!F191+Nchalo!G191+Nchalo!H191+Nchalo!I191</f>
        <v>0</v>
      </c>
      <c r="H191" s="26">
        <f>Nsanje!D191+Nsanje!E191+Nsanje!F191+Nsanje!G191+Nsanje!H191+Nsanje!I191</f>
        <v>0</v>
      </c>
      <c r="I191" s="26">
        <f>Ngabu!D191+Ngabu!E191+Ngabu!F191+Ngabu!G191+Ngabu!H191+Ngabu!I191</f>
        <v>0</v>
      </c>
      <c r="J191" s="74">
        <f>SUM(D191:I191)</f>
        <v>0</v>
      </c>
    </row>
    <row r="192" spans="1:10" ht="15.6" x14ac:dyDescent="0.3">
      <c r="A192" s="654"/>
      <c r="B192" s="19" t="s">
        <v>60</v>
      </c>
      <c r="C192" s="11" t="s">
        <v>57</v>
      </c>
      <c r="D192" s="26">
        <f>Bangula!D192+Bangula!E192+Bangula!F192+Bangula!G192+Bangula!H192+Bangula!I192</f>
        <v>0</v>
      </c>
      <c r="E192" s="26">
        <f>Chikwawa!D192+Chikwawa!E192+Chikwawa!F192+Chikwawa!G192+Chikwawa!H192+Chikwawa!I192</f>
        <v>0</v>
      </c>
      <c r="F192" s="26">
        <f>'Miseu Folo'!D192+'Miseu Folo'!E192+'Miseu Folo'!F192+'Miseu Folo'!G192+'Miseu Folo'!H192+'Miseu Folo'!I192</f>
        <v>0</v>
      </c>
      <c r="G192" s="26">
        <f>Nchalo!D192+Nchalo!E192+Nchalo!F192+Nchalo!G192+Nchalo!H192+Nchalo!I192</f>
        <v>0</v>
      </c>
      <c r="H192" s="26">
        <f>Nsanje!D192+Nsanje!E192+Nsanje!F192+Nsanje!G192+Nsanje!H192+Nsanje!I192</f>
        <v>0</v>
      </c>
      <c r="I192" s="26">
        <f>Ngabu!D192+Ngabu!E192+Ngabu!F192+Ngabu!G192+Ngabu!H192+Ngabu!I192</f>
        <v>0</v>
      </c>
      <c r="J192" s="74">
        <f>SUM(D192:I192)</f>
        <v>0</v>
      </c>
    </row>
    <row r="193" spans="1:10" ht="15.6" x14ac:dyDescent="0.3">
      <c r="A193" s="680" t="s">
        <v>59</v>
      </c>
      <c r="B193" s="681"/>
      <c r="C193" s="11"/>
      <c r="D193" s="10">
        <f>SUM(D153:D192)</f>
        <v>222</v>
      </c>
      <c r="E193" s="10">
        <f t="shared" ref="E193:J193" si="46">SUM(E153:E192)</f>
        <v>564</v>
      </c>
      <c r="F193" s="10">
        <f t="shared" si="46"/>
        <v>105</v>
      </c>
      <c r="G193" s="10">
        <f t="shared" si="46"/>
        <v>550</v>
      </c>
      <c r="H193" s="10">
        <f t="shared" si="46"/>
        <v>1026</v>
      </c>
      <c r="I193" s="10">
        <f t="shared" si="46"/>
        <v>265</v>
      </c>
      <c r="J193" s="158">
        <f t="shared" si="46"/>
        <v>2732</v>
      </c>
    </row>
    <row r="194" spans="1:10" ht="15.6" x14ac:dyDescent="0.3">
      <c r="A194" s="658" t="s">
        <v>58</v>
      </c>
      <c r="B194" s="659"/>
      <c r="C194" s="11" t="s">
        <v>57</v>
      </c>
      <c r="D194" s="26">
        <f>Bangula!D194+Bangula!E194+Bangula!F194+Bangula!G194+Bangula!H194+Bangula!I194</f>
        <v>70</v>
      </c>
      <c r="E194" s="26">
        <f>Chikwawa!D194+Chikwawa!E194+Chikwawa!F194+Chikwawa!G194+Chikwawa!H194+Chikwawa!I194</f>
        <v>134</v>
      </c>
      <c r="F194" s="26">
        <f>'Miseu Folo'!D194+'Miseu Folo'!E194+'Miseu Folo'!F194+'Miseu Folo'!G194+'Miseu Folo'!H194+'Miseu Folo'!I194</f>
        <v>0</v>
      </c>
      <c r="G194" s="26">
        <f>Nchalo!D194+Nchalo!E194+Nchalo!F194+Nchalo!G194+Nchalo!H194+Nchalo!I194</f>
        <v>140</v>
      </c>
      <c r="H194" s="26">
        <f>Nsanje!D194+Nsanje!E194+Nsanje!F194+Nsanje!G194+Nsanje!H194+Nsanje!I194</f>
        <v>38</v>
      </c>
      <c r="I194" s="26">
        <f>Ngabu!D194+Ngabu!E194+Ngabu!F194+Ngabu!G194+Ngabu!H194+Ngabu!I194</f>
        <v>284</v>
      </c>
      <c r="J194" s="74">
        <f>SUM(D194:I194)</f>
        <v>666</v>
      </c>
    </row>
    <row r="195" spans="1:10" ht="15.6" x14ac:dyDescent="0.3">
      <c r="A195" s="660"/>
      <c r="B195" s="661"/>
      <c r="C195" s="16" t="s">
        <v>55</v>
      </c>
      <c r="D195" s="26">
        <f>Bangula!D195+Bangula!E195+Bangula!F195+Bangula!G195+Bangula!H195+Bangula!I195</f>
        <v>0</v>
      </c>
      <c r="E195" s="26">
        <f>Chikwawa!D195+Chikwawa!E195+Chikwawa!F195+Chikwawa!G195+Chikwawa!H195+Chikwawa!I195</f>
        <v>0</v>
      </c>
      <c r="F195" s="26">
        <f>'Miseu Folo'!D195+'Miseu Folo'!E195+'Miseu Folo'!F195+'Miseu Folo'!G195+'Miseu Folo'!H195+'Miseu Folo'!I195</f>
        <v>0</v>
      </c>
      <c r="G195" s="26">
        <f>Nchalo!D195+Nchalo!E195+Nchalo!F195+Nchalo!G195+Nchalo!H195+Nchalo!I195</f>
        <v>0</v>
      </c>
      <c r="H195" s="26">
        <f>Nsanje!D195+Nsanje!E195+Nsanje!F195+Nsanje!G195+Nsanje!H195+Nsanje!I195</f>
        <v>0</v>
      </c>
      <c r="I195" s="26">
        <f>Ngabu!D195+Ngabu!E195+Ngabu!F195+Ngabu!G195+Ngabu!H195+Ngabu!I195</f>
        <v>0</v>
      </c>
      <c r="J195" s="74">
        <f>SUM(D195:I195)</f>
        <v>0</v>
      </c>
    </row>
    <row r="196" spans="1:10" ht="15.6" x14ac:dyDescent="0.3">
      <c r="A196" s="581" t="s">
        <v>202</v>
      </c>
      <c r="B196" s="582"/>
      <c r="C196" s="16" t="s">
        <v>55</v>
      </c>
      <c r="D196" s="26">
        <f>Bangula!I196</f>
        <v>24</v>
      </c>
      <c r="E196" s="26">
        <f>Chikwawa!I196</f>
        <v>22</v>
      </c>
      <c r="F196" s="26">
        <f>'Miseu Folo'!I196</f>
        <v>24</v>
      </c>
      <c r="G196" s="26">
        <f>Nchalo!I196</f>
        <v>23</v>
      </c>
      <c r="H196" s="26">
        <f>Nsanje!I196</f>
        <v>15</v>
      </c>
      <c r="I196" s="26">
        <f>Ngabu!I196</f>
        <v>0</v>
      </c>
      <c r="J196" s="74">
        <f>SUM(D196:I196)/10</f>
        <v>10.8</v>
      </c>
    </row>
    <row r="197" spans="1:10" ht="15.6" x14ac:dyDescent="0.3">
      <c r="A197" s="591" t="s">
        <v>56</v>
      </c>
      <c r="B197" s="592"/>
      <c r="C197" s="16" t="s">
        <v>55</v>
      </c>
      <c r="D197" s="26">
        <f>Bangula!D197+Bangula!E197+Bangula!F197+Bangula!G197+Bangula!H197+Bangula!I197</f>
        <v>166</v>
      </c>
      <c r="E197" s="26">
        <f>Chikwawa!D197+Chikwawa!E197+Chikwawa!F197+Chikwawa!G197+Chikwawa!H197+Chikwawa!I197</f>
        <v>0</v>
      </c>
      <c r="F197" s="26">
        <f>'Miseu Folo'!D197+'Miseu Folo'!E197+'Miseu Folo'!F197+'Miseu Folo'!G197+'Miseu Folo'!H197+'Miseu Folo'!I197</f>
        <v>0</v>
      </c>
      <c r="G197" s="26">
        <f>Nchalo!D197+Nchalo!E197+Nchalo!F197+Nchalo!G197+Nchalo!H197+Nchalo!I197</f>
        <v>43</v>
      </c>
      <c r="H197" s="26">
        <f>Nsanje!D197+Nsanje!E197+Nsanje!F197+Nsanje!G197+Nsanje!H197+Nsanje!I197</f>
        <v>432</v>
      </c>
      <c r="I197" s="26">
        <f>Ngabu!D197+Ngabu!E197+Ngabu!F197+Ngabu!G197+Ngabu!H197+Ngabu!I197</f>
        <v>18</v>
      </c>
      <c r="J197" s="74">
        <f>SUM(D197:I197)</f>
        <v>659</v>
      </c>
    </row>
    <row r="198" spans="1:10" x14ac:dyDescent="0.3">
      <c r="A198" s="595" t="s">
        <v>203</v>
      </c>
      <c r="B198" s="596"/>
      <c r="C198" s="596"/>
      <c r="D198" s="596"/>
      <c r="E198" s="596"/>
      <c r="F198" s="596"/>
      <c r="G198" s="596"/>
      <c r="H198" s="596"/>
      <c r="I198" s="596"/>
      <c r="J198" s="597"/>
    </row>
    <row r="199" spans="1:10" ht="15.6" x14ac:dyDescent="0.3">
      <c r="A199" s="658" t="s">
        <v>54</v>
      </c>
      <c r="B199" s="580" t="s">
        <v>53</v>
      </c>
      <c r="C199" s="11" t="s">
        <v>47</v>
      </c>
      <c r="D199" s="26">
        <f>Bangula!D199+Bangula!E199+Bangula!F199+Bangula!G199+Bangula!H199+Bangula!I199</f>
        <v>0</v>
      </c>
      <c r="E199" s="26">
        <f>Chikwawa!D199+Chikwawa!E199+Chikwawa!F199+Chikwawa!G199+Chikwawa!H199+Chikwawa!I199</f>
        <v>0</v>
      </c>
      <c r="F199" s="26">
        <f>'Miseu Folo'!D199+'Miseu Folo'!E199+'Miseu Folo'!F199+'Miseu Folo'!G199+'Miseu Folo'!H199+'Miseu Folo'!I199</f>
        <v>72</v>
      </c>
      <c r="G199" s="26">
        <f>Nchalo!D199+Nchalo!E199+Nchalo!F199+Nchalo!G199+Nchalo!H199+Nchalo!I199</f>
        <v>0</v>
      </c>
      <c r="H199" s="26">
        <f>Nsanje!D199+Nsanje!E199+Nsanje!F199+Nsanje!G199+Nsanje!H199+Nsanje!I199</f>
        <v>0</v>
      </c>
      <c r="I199" s="26">
        <f>Ngabu!D199+Ngabu!E199+Ngabu!F199+Ngabu!G199+Ngabu!H199+Ngabu!I199</f>
        <v>0</v>
      </c>
      <c r="J199" s="163">
        <f t="shared" ref="J199:J204" si="47">SUM(D199:I199)</f>
        <v>72</v>
      </c>
    </row>
    <row r="200" spans="1:10" ht="15.6" x14ac:dyDescent="0.3">
      <c r="A200" s="662"/>
      <c r="B200" s="580" t="s">
        <v>52</v>
      </c>
      <c r="C200" s="11" t="s">
        <v>47</v>
      </c>
      <c r="D200" s="26">
        <f>Bangula!D200+Bangula!E200+Bangula!F200+Bangula!G200+Bangula!H200+Bangula!I200</f>
        <v>0</v>
      </c>
      <c r="E200" s="26">
        <f>Chikwawa!D200+Chikwawa!E200+Chikwawa!F200+Chikwawa!G200+Chikwawa!H200+Chikwawa!I200</f>
        <v>0</v>
      </c>
      <c r="F200" s="26">
        <f>'Miseu Folo'!D200+'Miseu Folo'!E200+'Miseu Folo'!F200+'Miseu Folo'!G200+'Miseu Folo'!H200+'Miseu Folo'!I200</f>
        <v>0</v>
      </c>
      <c r="G200" s="26">
        <f>Nchalo!D200+Nchalo!E200+Nchalo!F200+Nchalo!G200+Nchalo!H200+Nchalo!I200</f>
        <v>0</v>
      </c>
      <c r="H200" s="26">
        <f>Nsanje!D200+Nsanje!E200+Nsanje!F200+Nsanje!G200+Nsanje!H200+Nsanje!I200</f>
        <v>0</v>
      </c>
      <c r="I200" s="26">
        <f>Ngabu!D200+Ngabu!E200+Ngabu!F200+Ngabu!G200+Ngabu!H200+Ngabu!I200</f>
        <v>0</v>
      </c>
      <c r="J200" s="163">
        <f t="shared" si="47"/>
        <v>0</v>
      </c>
    </row>
    <row r="201" spans="1:10" ht="15.6" x14ac:dyDescent="0.3">
      <c r="A201" s="662"/>
      <c r="B201" s="580" t="s">
        <v>51</v>
      </c>
      <c r="C201" s="11" t="s">
        <v>47</v>
      </c>
      <c r="D201" s="26">
        <f>Bangula!D201+Bangula!E201+Bangula!F201+Bangula!G201+Bangula!H201+Bangula!I201</f>
        <v>0</v>
      </c>
      <c r="E201" s="26">
        <f>Chikwawa!D201+Chikwawa!E201+Chikwawa!F201+Chikwawa!G201+Chikwawa!H201+Chikwawa!I201</f>
        <v>0</v>
      </c>
      <c r="F201" s="26">
        <f>'Miseu Folo'!D201+'Miseu Folo'!E201+'Miseu Folo'!F201+'Miseu Folo'!G201+'Miseu Folo'!H201+'Miseu Folo'!I201</f>
        <v>162</v>
      </c>
      <c r="G201" s="26">
        <f>Nchalo!D201+Nchalo!E201+Nchalo!F201+Nchalo!G201+Nchalo!H201+Nchalo!I201</f>
        <v>0</v>
      </c>
      <c r="H201" s="26">
        <f>Nsanje!D201+Nsanje!E201+Nsanje!F201+Nsanje!G201+Nsanje!H201+Nsanje!I201</f>
        <v>0</v>
      </c>
      <c r="I201" s="26">
        <f>Ngabu!D201+Ngabu!E201+Ngabu!F201+Ngabu!G201+Ngabu!H201+Ngabu!I201</f>
        <v>0</v>
      </c>
      <c r="J201" s="163">
        <f t="shared" si="47"/>
        <v>162</v>
      </c>
    </row>
    <row r="202" spans="1:10" ht="15.6" x14ac:dyDescent="0.3">
      <c r="A202" s="662"/>
      <c r="B202" s="580" t="s">
        <v>50</v>
      </c>
      <c r="C202" s="11" t="s">
        <v>47</v>
      </c>
      <c r="D202" s="26">
        <f>Bangula!D202+Bangula!E202+Bangula!F202+Bangula!G202+Bangula!H202+Bangula!I202</f>
        <v>0</v>
      </c>
      <c r="E202" s="26">
        <f>Chikwawa!D202+Chikwawa!E202+Chikwawa!F202+Chikwawa!G202+Chikwawa!H202+Chikwawa!I202</f>
        <v>0</v>
      </c>
      <c r="F202" s="26">
        <f>'Miseu Folo'!D202+'Miseu Folo'!E202+'Miseu Folo'!F202+'Miseu Folo'!G202+'Miseu Folo'!H202+'Miseu Folo'!I202</f>
        <v>0</v>
      </c>
      <c r="G202" s="26">
        <f>Nchalo!D202+Nchalo!E202+Nchalo!F202+Nchalo!G202+Nchalo!H202+Nchalo!I202</f>
        <v>0</v>
      </c>
      <c r="H202" s="26">
        <f>Nsanje!D202+Nsanje!E202+Nsanje!F202+Nsanje!G202+Nsanje!H202+Nsanje!I202</f>
        <v>0</v>
      </c>
      <c r="I202" s="26">
        <f>Ngabu!D202+Ngabu!E202+Ngabu!F202+Ngabu!G202+Ngabu!H202+Ngabu!I202</f>
        <v>0</v>
      </c>
      <c r="J202" s="163">
        <f t="shared" si="47"/>
        <v>0</v>
      </c>
    </row>
    <row r="203" spans="1:10" ht="15.6" x14ac:dyDescent="0.3">
      <c r="A203" s="660"/>
      <c r="B203" s="580" t="s">
        <v>49</v>
      </c>
      <c r="C203" s="11" t="s">
        <v>47</v>
      </c>
      <c r="D203" s="26">
        <f>Bangula!D203+Bangula!E203+Bangula!F203+Bangula!G203+Bangula!H203+Bangula!I203</f>
        <v>0</v>
      </c>
      <c r="E203" s="26">
        <f>Chikwawa!D203+Chikwawa!E203+Chikwawa!F203+Chikwawa!G203+Chikwawa!H203+Chikwawa!I203</f>
        <v>0</v>
      </c>
      <c r="F203" s="26">
        <f>'Miseu Folo'!D203+'Miseu Folo'!E203+'Miseu Folo'!F203+'Miseu Folo'!G203+'Miseu Folo'!H203+'Miseu Folo'!I203</f>
        <v>0</v>
      </c>
      <c r="G203" s="26">
        <f>Nchalo!D203+Nchalo!E203+Nchalo!F203+Nchalo!G203+Nchalo!H203+Nchalo!I203</f>
        <v>0</v>
      </c>
      <c r="H203" s="26">
        <f>Nsanje!D203+Nsanje!E203+Nsanje!F203+Nsanje!G203+Nsanje!H203+Nsanje!I203</f>
        <v>0</v>
      </c>
      <c r="I203" s="26">
        <f>Ngabu!D203+Ngabu!E203+Ngabu!F203+Ngabu!G203+Ngabu!H203+Ngabu!I203</f>
        <v>0</v>
      </c>
      <c r="J203" s="163">
        <f t="shared" si="47"/>
        <v>0</v>
      </c>
    </row>
    <row r="204" spans="1:10" ht="15.6" x14ac:dyDescent="0.3">
      <c r="A204" s="83" t="s">
        <v>48</v>
      </c>
      <c r="B204" s="580"/>
      <c r="C204" s="11" t="s">
        <v>47</v>
      </c>
      <c r="D204" s="15">
        <f t="shared" ref="D204:I204" si="48">SUM(D199:D203)</f>
        <v>0</v>
      </c>
      <c r="E204" s="15">
        <f t="shared" si="48"/>
        <v>0</v>
      </c>
      <c r="F204" s="15">
        <f t="shared" si="48"/>
        <v>234</v>
      </c>
      <c r="G204" s="15">
        <f t="shared" si="48"/>
        <v>0</v>
      </c>
      <c r="H204" s="15">
        <f t="shared" si="48"/>
        <v>0</v>
      </c>
      <c r="I204" s="15">
        <f t="shared" si="48"/>
        <v>0</v>
      </c>
      <c r="J204" s="163">
        <f t="shared" si="47"/>
        <v>234</v>
      </c>
    </row>
    <row r="205" spans="1:10" s="2" customFormat="1" x14ac:dyDescent="0.3">
      <c r="A205" s="595" t="s">
        <v>46</v>
      </c>
      <c r="B205" s="596"/>
      <c r="C205" s="596"/>
      <c r="D205" s="596"/>
      <c r="E205" s="596"/>
      <c r="F205" s="596"/>
      <c r="G205" s="596"/>
      <c r="H205" s="596"/>
      <c r="I205" s="596"/>
      <c r="J205" s="597"/>
    </row>
    <row r="206" spans="1:10" ht="15.6" x14ac:dyDescent="0.3">
      <c r="A206" s="591" t="s">
        <v>43</v>
      </c>
      <c r="B206" s="592"/>
      <c r="C206" s="11" t="s">
        <v>31</v>
      </c>
      <c r="D206" s="15">
        <f>Bangula!D206+Bangula!E206+Bangula!F206+Bangula!G206+Bangula!H206+Bangula!I206</f>
        <v>23292016.350000001</v>
      </c>
      <c r="E206" s="15">
        <f>Chikwawa!D206+Chikwawa!E206+Chikwawa!F206+Chikwawa!G206+Chikwawa!H206+Chikwawa!I206</f>
        <v>71315417.579999998</v>
      </c>
      <c r="F206" s="15">
        <f>'Miseu Folo'!D206+'Miseu Folo'!E206+'Miseu Folo'!F206+'Miseu Folo'!G206+'Miseu Folo'!H206+'Miseu Folo'!I206</f>
        <v>1960270</v>
      </c>
      <c r="G206" s="15">
        <f>Nchalo!D206+Nchalo!E206+Nchalo!F206+Nchalo!G206+Nchalo!H206+Nchalo!I206</f>
        <v>61803413.870000005</v>
      </c>
      <c r="H206" s="15">
        <f>Nsanje!D206+Nsanje!E206+Nsanje!F206+Nsanje!G206+Nsanje!H206+Nsanje!I206</f>
        <v>37064015.07</v>
      </c>
      <c r="I206" s="15">
        <f>Ngabu!D206+Ngabu!E206+Ngabu!F206+Ngabu!G206+Ngabu!H206+Ngabu!I206</f>
        <v>24296424.960000001</v>
      </c>
      <c r="J206" s="39">
        <f>SUM(D206:I206)</f>
        <v>219731557.83000001</v>
      </c>
    </row>
    <row r="207" spans="1:10" ht="15.6" x14ac:dyDescent="0.3">
      <c r="A207" s="591" t="s">
        <v>42</v>
      </c>
      <c r="B207" s="592"/>
      <c r="C207" s="11" t="s">
        <v>31</v>
      </c>
      <c r="D207" s="15">
        <f>Bangula!D207+Bangula!E207+Bangula!F207+Bangula!G207+Bangula!H207+Bangula!I207</f>
        <v>1899033</v>
      </c>
      <c r="E207" s="15">
        <f>Chikwawa!D207+Chikwawa!E207+Chikwawa!F207+Chikwawa!G207+Chikwawa!H207+Chikwawa!I207</f>
        <v>867907</v>
      </c>
      <c r="F207" s="15">
        <f>'Miseu Folo'!D207+'Miseu Folo'!E207+'Miseu Folo'!F207+'Miseu Folo'!G207+'Miseu Folo'!H207+'Miseu Folo'!I207</f>
        <v>0</v>
      </c>
      <c r="G207" s="15">
        <f>Nchalo!D207+Nchalo!E207+Nchalo!F207+Nchalo!G207+Nchalo!H207+Nchalo!I207</f>
        <v>696100</v>
      </c>
      <c r="H207" s="15">
        <f>Nsanje!D207+Nsanje!E207+Nsanje!F207+Nsanje!G207+Nsanje!H207+Nsanje!I207</f>
        <v>729500</v>
      </c>
      <c r="I207" s="15">
        <f>Ngabu!D207+Ngabu!E207+Ngabu!F207+Ngabu!G207+Ngabu!H207+Ngabu!I207</f>
        <v>1252660</v>
      </c>
      <c r="J207" s="39">
        <f>SUM(D207:I207)</f>
        <v>5445200</v>
      </c>
    </row>
    <row r="208" spans="1:10" ht="15.6" x14ac:dyDescent="0.3">
      <c r="A208" s="598" t="s">
        <v>41</v>
      </c>
      <c r="B208" s="599"/>
      <c r="C208" s="11" t="s">
        <v>31</v>
      </c>
      <c r="D208" s="15">
        <f>Bangula!D208+Bangula!E208+Bangula!F208+Bangula!G208+Bangula!H208+Bangula!I208</f>
        <v>106100</v>
      </c>
      <c r="E208" s="15">
        <f>Chikwawa!D208+Chikwawa!E208+Chikwawa!F208+Chikwawa!G208+Chikwawa!H208+Chikwawa!I208</f>
        <v>986740</v>
      </c>
      <c r="F208" s="15">
        <f>'Miseu Folo'!D208+'Miseu Folo'!E208+'Miseu Folo'!F208+'Miseu Folo'!G208+'Miseu Folo'!H208+'Miseu Folo'!I208</f>
        <v>120000</v>
      </c>
      <c r="G208" s="15">
        <f>Nchalo!D208+Nchalo!E208+Nchalo!F208+Nchalo!G208+Nchalo!H208+Nchalo!I208</f>
        <v>1324716.4099999999</v>
      </c>
      <c r="H208" s="15">
        <f>Nsanje!D208+Nsanje!E208+Nsanje!F208+Nsanje!G208+Nsanje!H208+Nsanje!I208</f>
        <v>25000</v>
      </c>
      <c r="I208" s="15">
        <f>Ngabu!D208+Ngabu!E208+Ngabu!F208+Ngabu!G208+Ngabu!H208+Ngabu!I208</f>
        <v>293257.62</v>
      </c>
      <c r="J208" s="39">
        <f>SUM(D208:I208)</f>
        <v>2855814.0300000003</v>
      </c>
    </row>
    <row r="209" spans="1:10" ht="15.6" x14ac:dyDescent="0.3">
      <c r="A209" s="591" t="s">
        <v>40</v>
      </c>
      <c r="B209" s="592"/>
      <c r="C209" s="11" t="s">
        <v>31</v>
      </c>
      <c r="D209" s="15">
        <f>Bangula!D209+Bangula!E209+Bangula!F209+Bangula!G209+Bangula!H209+Bangula!I209</f>
        <v>130422</v>
      </c>
      <c r="E209" s="15">
        <f>Chikwawa!D209+Chikwawa!E209+Chikwawa!F209+Chikwawa!G209+Chikwawa!H209+Chikwawa!I209</f>
        <v>4116397.48</v>
      </c>
      <c r="F209" s="15">
        <f>'Miseu Folo'!D209+'Miseu Folo'!E209+'Miseu Folo'!F209+'Miseu Folo'!G209+'Miseu Folo'!H209+'Miseu Folo'!I209</f>
        <v>16143</v>
      </c>
      <c r="G209" s="15">
        <f>Nchalo!D209+Nchalo!E209+Nchalo!F209+Nchalo!G209+Nchalo!H209+Nchalo!I209</f>
        <v>306600</v>
      </c>
      <c r="H209" s="15">
        <f>Nsanje!D209+Nsanje!E209+Nsanje!F209+Nsanje!G209+Nsanje!H209+Nsanje!I209</f>
        <v>268600</v>
      </c>
      <c r="I209" s="15">
        <f>Ngabu!D209+Ngabu!E209+Ngabu!F209+Ngabu!G209+Ngabu!H209+Ngabu!I209</f>
        <v>829983</v>
      </c>
      <c r="J209" s="39">
        <f>SUM(D209:I209)</f>
        <v>5668145.4800000004</v>
      </c>
    </row>
    <row r="210" spans="1:10" ht="15.6" x14ac:dyDescent="0.3">
      <c r="A210" s="656" t="s">
        <v>45</v>
      </c>
      <c r="B210" s="657"/>
      <c r="C210" s="11" t="s">
        <v>31</v>
      </c>
      <c r="D210" s="10">
        <f t="shared" ref="D210:I210" si="49">SUM(D206:D209)</f>
        <v>25427571.350000001</v>
      </c>
      <c r="E210" s="10">
        <f t="shared" si="49"/>
        <v>77286462.060000002</v>
      </c>
      <c r="F210" s="10">
        <f t="shared" si="49"/>
        <v>2096413</v>
      </c>
      <c r="G210" s="10">
        <f t="shared" si="49"/>
        <v>64130830.280000001</v>
      </c>
      <c r="H210" s="10">
        <f t="shared" si="49"/>
        <v>38087115.07</v>
      </c>
      <c r="I210" s="10">
        <f t="shared" si="49"/>
        <v>26672325.580000002</v>
      </c>
      <c r="J210" s="39">
        <f>SUM(D210:I210)</f>
        <v>233700717.34</v>
      </c>
    </row>
    <row r="211" spans="1:10" s="2" customFormat="1" x14ac:dyDescent="0.3">
      <c r="A211" s="595" t="s">
        <v>44</v>
      </c>
      <c r="B211" s="596"/>
      <c r="C211" s="596"/>
      <c r="D211" s="596"/>
      <c r="E211" s="596"/>
      <c r="F211" s="596"/>
      <c r="G211" s="596"/>
      <c r="H211" s="596"/>
      <c r="I211" s="596"/>
      <c r="J211" s="597"/>
    </row>
    <row r="212" spans="1:10" ht="15.6" x14ac:dyDescent="0.3">
      <c r="A212" s="591" t="s">
        <v>43</v>
      </c>
      <c r="B212" s="592"/>
      <c r="C212" s="11" t="s">
        <v>31</v>
      </c>
      <c r="D212" s="15">
        <f>Bangula!D212+Bangula!E212+Bangula!F212+Bangula!G212+Bangula!H212+Bangula!I212</f>
        <v>0</v>
      </c>
      <c r="E212" s="15">
        <f>Chikwawa!D212+Chikwawa!E212+Chikwawa!F212+Chikwawa!G212+Chikwawa!H212+Chikwawa!I212</f>
        <v>0</v>
      </c>
      <c r="F212" s="15">
        <f>'Miseu Folo'!D212+'Miseu Folo'!E212+'Miseu Folo'!F212+'Miseu Folo'!G212+'Miseu Folo'!H212+'Miseu Folo'!I212</f>
        <v>0</v>
      </c>
      <c r="G212" s="15">
        <f>Nchalo!D212+Nchalo!E212+Nchalo!F212+Nchalo!G212+Nchalo!H212+Nchalo!I212</f>
        <v>0</v>
      </c>
      <c r="H212" s="15">
        <f>Nsanje!D212+Nsanje!E212+Nsanje!F212+Nsanje!G212+Nsanje!H212+Nsanje!I212</f>
        <v>0</v>
      </c>
      <c r="I212" s="15">
        <f>Ngabu!D212+Ngabu!E212+Ngabu!F212+Ngabu!G212+Ngabu!H212+Ngabu!I212</f>
        <v>0</v>
      </c>
      <c r="J212" s="39">
        <f>SUM(D212:I212)</f>
        <v>0</v>
      </c>
    </row>
    <row r="213" spans="1:10" ht="15.6" x14ac:dyDescent="0.3">
      <c r="A213" s="591" t="s">
        <v>42</v>
      </c>
      <c r="B213" s="592"/>
      <c r="C213" s="11" t="s">
        <v>31</v>
      </c>
      <c r="D213" s="15">
        <f>Bangula!D213+Bangula!E213+Bangula!F213+Bangula!G213+Bangula!H213+Bangula!I213</f>
        <v>0</v>
      </c>
      <c r="E213" s="15">
        <f>Chikwawa!D213+Chikwawa!E213+Chikwawa!F213+Chikwawa!G213+Chikwawa!H213+Chikwawa!I213</f>
        <v>0</v>
      </c>
      <c r="F213" s="15">
        <f>'Miseu Folo'!D213+'Miseu Folo'!E213+'Miseu Folo'!F213+'Miseu Folo'!G213+'Miseu Folo'!H213+'Miseu Folo'!I213</f>
        <v>0</v>
      </c>
      <c r="G213" s="15">
        <f>Nchalo!D213+Nchalo!E213+Nchalo!F213+Nchalo!G213+Nchalo!H213+Nchalo!I213</f>
        <v>0</v>
      </c>
      <c r="H213" s="15">
        <f>Nsanje!D213+Nsanje!E213+Nsanje!F213+Nsanje!G213+Nsanje!H213+Nsanje!I213</f>
        <v>0</v>
      </c>
      <c r="I213" s="15">
        <f>Ngabu!D213+Ngabu!E213+Ngabu!F213+Ngabu!G213+Ngabu!H213+Ngabu!I213</f>
        <v>0</v>
      </c>
      <c r="J213" s="39">
        <f>SUM(D213:I213)</f>
        <v>0</v>
      </c>
    </row>
    <row r="214" spans="1:10" ht="15.6" x14ac:dyDescent="0.3">
      <c r="A214" s="598" t="s">
        <v>41</v>
      </c>
      <c r="B214" s="599"/>
      <c r="C214" s="11" t="s">
        <v>31</v>
      </c>
      <c r="D214" s="15">
        <f>Bangula!D214+Bangula!E214+Bangula!F214+Bangula!G214+Bangula!H214+Bangula!I214</f>
        <v>0</v>
      </c>
      <c r="E214" s="15">
        <f>Chikwawa!D214+Chikwawa!E214+Chikwawa!F214+Chikwawa!G214+Chikwawa!H214+Chikwawa!I214</f>
        <v>0</v>
      </c>
      <c r="F214" s="15">
        <f>'Miseu Folo'!D214+'Miseu Folo'!E214+'Miseu Folo'!F214+'Miseu Folo'!G214+'Miseu Folo'!H214+'Miseu Folo'!I214</f>
        <v>0</v>
      </c>
      <c r="G214" s="15">
        <f>Nchalo!D214+Nchalo!E214+Nchalo!F214+Nchalo!G214+Nchalo!H214+Nchalo!I214</f>
        <v>0</v>
      </c>
      <c r="H214" s="15">
        <f>Nsanje!D214+Nsanje!E214+Nsanje!F214+Nsanje!G214+Nsanje!H214+Nsanje!I214</f>
        <v>0</v>
      </c>
      <c r="I214" s="15">
        <f>Ngabu!D214+Ngabu!E214+Ngabu!F214+Ngabu!G214+Ngabu!H214+Ngabu!I214</f>
        <v>0</v>
      </c>
      <c r="J214" s="39">
        <f>SUM(D214:I214)</f>
        <v>0</v>
      </c>
    </row>
    <row r="215" spans="1:10" ht="15.6" x14ac:dyDescent="0.3">
      <c r="A215" s="591" t="s">
        <v>40</v>
      </c>
      <c r="B215" s="592"/>
      <c r="C215" s="11" t="s">
        <v>31</v>
      </c>
      <c r="D215" s="15">
        <f>Bangula!D215+Bangula!E215+Bangula!F215+Bangula!G215+Bangula!H215+Bangula!I215</f>
        <v>23366344.07</v>
      </c>
      <c r="E215" s="15">
        <f>Chikwawa!D215+Chikwawa!E215+Chikwawa!F215+Chikwawa!G215+Chikwawa!H215+Chikwawa!I215</f>
        <v>79341872.810000002</v>
      </c>
      <c r="F215" s="15">
        <f>'Miseu Folo'!D215+'Miseu Folo'!E215+'Miseu Folo'!F215+'Miseu Folo'!G215+'Miseu Folo'!H215+'Miseu Folo'!I215</f>
        <v>11113684</v>
      </c>
      <c r="G215" s="15">
        <f>Nchalo!D215+Nchalo!E215+Nchalo!F215+Nchalo!G215+Nchalo!H215+Nchalo!I215</f>
        <v>21456945.75</v>
      </c>
      <c r="H215" s="15">
        <f>Nsanje!D215+Nsanje!E215+Nsanje!F215+Nsanje!G215+Nsanje!H215+Nsanje!I215</f>
        <v>64878259.890000001</v>
      </c>
      <c r="I215" s="15">
        <f>Ngabu!D215+Ngabu!E215+Ngabu!F215+Ngabu!G215+Ngabu!H215+Ngabu!I215</f>
        <v>27603025.719999999</v>
      </c>
      <c r="J215" s="39">
        <f>SUM(D215:I215)</f>
        <v>227760132.23999998</v>
      </c>
    </row>
    <row r="216" spans="1:10" ht="15.6" x14ac:dyDescent="0.3">
      <c r="A216" s="656" t="s">
        <v>39</v>
      </c>
      <c r="B216" s="657"/>
      <c r="C216" s="11" t="s">
        <v>31</v>
      </c>
      <c r="D216" s="10">
        <f t="shared" ref="D216:I216" si="50">SUM(D212:D215)</f>
        <v>23366344.07</v>
      </c>
      <c r="E216" s="10">
        <f t="shared" si="50"/>
        <v>79341872.810000002</v>
      </c>
      <c r="F216" s="10">
        <f t="shared" si="50"/>
        <v>11113684</v>
      </c>
      <c r="G216" s="10">
        <f t="shared" si="50"/>
        <v>21456945.75</v>
      </c>
      <c r="H216" s="10">
        <f>SUM(H212:H215)</f>
        <v>64878259.890000001</v>
      </c>
      <c r="I216" s="10">
        <f t="shared" si="50"/>
        <v>27603025.719999999</v>
      </c>
      <c r="J216" s="39">
        <f>SUM(D216:I216)</f>
        <v>227760132.23999998</v>
      </c>
    </row>
    <row r="217" spans="1:10" s="2" customFormat="1" ht="15.6" x14ac:dyDescent="0.3">
      <c r="A217" s="576" t="s">
        <v>38</v>
      </c>
      <c r="B217" s="577"/>
      <c r="C217" s="11" t="s">
        <v>31</v>
      </c>
      <c r="D217" s="10">
        <f>D210+D216</f>
        <v>48793915.420000002</v>
      </c>
      <c r="E217" s="10">
        <f t="shared" ref="E217:J217" si="51">E210+E216</f>
        <v>156628334.87</v>
      </c>
      <c r="F217" s="10">
        <f t="shared" si="51"/>
        <v>13210097</v>
      </c>
      <c r="G217" s="10">
        <f t="shared" si="51"/>
        <v>85587776.030000001</v>
      </c>
      <c r="H217" s="10">
        <f t="shared" si="51"/>
        <v>102965374.96000001</v>
      </c>
      <c r="I217" s="10">
        <f t="shared" si="51"/>
        <v>54275351.299999997</v>
      </c>
      <c r="J217" s="40">
        <f t="shared" si="51"/>
        <v>461460849.57999998</v>
      </c>
    </row>
    <row r="218" spans="1:10" s="2" customFormat="1" x14ac:dyDescent="0.3">
      <c r="A218" s="595" t="s">
        <v>37</v>
      </c>
      <c r="B218" s="596"/>
      <c r="C218" s="596"/>
      <c r="D218" s="596"/>
      <c r="E218" s="596"/>
      <c r="F218" s="596"/>
      <c r="G218" s="596"/>
      <c r="H218" s="596"/>
      <c r="I218" s="596"/>
      <c r="J218" s="597"/>
    </row>
    <row r="219" spans="1:10" ht="15.6" x14ac:dyDescent="0.3">
      <c r="A219" s="591" t="s">
        <v>35</v>
      </c>
      <c r="B219" s="592"/>
      <c r="C219" s="11" t="s">
        <v>31</v>
      </c>
      <c r="D219" s="15">
        <f>Bangula!D219+Bangula!E219+Bangula!F219+Bangula!G219+Bangula!H219+Bangula!I219</f>
        <v>226969904.87</v>
      </c>
      <c r="E219" s="15">
        <f>Chikwawa!D219+Chikwawa!E219+Chikwawa!F219+Chikwawa!G219+Chikwawa!H219+Chikwawa!I219</f>
        <v>78270837.050000012</v>
      </c>
      <c r="F219" s="15">
        <f>'Miseu Folo'!D219+'Miseu Folo'!E219+'Miseu Folo'!F219+'Miseu Folo'!G219+'Miseu Folo'!H219+'Miseu Folo'!I219</f>
        <v>3432230.99</v>
      </c>
      <c r="G219" s="15">
        <f>Nchalo!D219+Nchalo!E219+Nchalo!F219+Nchalo!G219+Nchalo!H219+Nchalo!I219</f>
        <v>63620118.82</v>
      </c>
      <c r="H219" s="15">
        <f>Nsanje!D219+Nsanje!E219+Nsanje!F219+Nsanje!G219+Nsanje!H219+Nsanje!I219</f>
        <v>40711084.870000005</v>
      </c>
      <c r="I219" s="15">
        <f>Ngabu!D219+Ngabu!E219+Ngabu!F219+Ngabu!G219+Ngabu!H219+Ngabu!I219</f>
        <v>27581427.579999998</v>
      </c>
      <c r="J219" s="39">
        <f>SUM(D219:I219)</f>
        <v>440585604.18000001</v>
      </c>
    </row>
    <row r="220" spans="1:10" ht="15.6" x14ac:dyDescent="0.3">
      <c r="A220" s="591" t="s">
        <v>34</v>
      </c>
      <c r="B220" s="592"/>
      <c r="C220" s="11" t="s">
        <v>31</v>
      </c>
      <c r="D220" s="15">
        <f>Bangula!D220+Bangula!E220+Bangula!F220+Bangula!G220+Bangula!H220+Bangula!I220</f>
        <v>4167273.6599999997</v>
      </c>
      <c r="E220" s="15">
        <f>Chikwawa!D220+Chikwawa!E220+Chikwawa!F220+Chikwawa!G220+Chikwawa!H220+Chikwawa!I220</f>
        <v>891012.12</v>
      </c>
      <c r="F220" s="15">
        <f>'Miseu Folo'!D220+'Miseu Folo'!E220+'Miseu Folo'!F220+'Miseu Folo'!G220+'Miseu Folo'!H220+'Miseu Folo'!I220</f>
        <v>0</v>
      </c>
      <c r="G220" s="15">
        <f>Nchalo!D220+Nchalo!E220+Nchalo!F220+Nchalo!G220+Nchalo!H220+Nchalo!I220</f>
        <v>750335.72</v>
      </c>
      <c r="H220" s="15">
        <f>Nsanje!D220+Nsanje!E220+Nsanje!F220+Nsanje!G220+Nsanje!H220+Nsanje!I220</f>
        <v>753638.66999999993</v>
      </c>
      <c r="I220" s="15">
        <f>Ngabu!D220+Ngabu!E220+Ngabu!F220+Ngabu!G220+Ngabu!H220+Ngabu!I220</f>
        <v>1060728.06</v>
      </c>
      <c r="J220" s="39">
        <f>SUM(D220:I220)</f>
        <v>7622988.2299999986</v>
      </c>
    </row>
    <row r="221" spans="1:10" ht="15.6" x14ac:dyDescent="0.3">
      <c r="A221" s="591" t="s">
        <v>33</v>
      </c>
      <c r="B221" s="592"/>
      <c r="C221" s="11" t="s">
        <v>31</v>
      </c>
      <c r="D221" s="15">
        <f>Bangula!D221+Bangula!E221+Bangula!F221+Bangula!G221+Bangula!H221+Bangula!I221</f>
        <v>484541135.75</v>
      </c>
      <c r="E221" s="15">
        <f>Chikwawa!D221+Chikwawa!E221+Chikwawa!F221+Chikwawa!G221+Chikwawa!H221+Chikwawa!I221</f>
        <v>3636253.4699999997</v>
      </c>
      <c r="F221" s="15">
        <f>'Miseu Folo'!D221+'Miseu Folo'!E221+'Miseu Folo'!F221+'Miseu Folo'!G221+'Miseu Folo'!H221+'Miseu Folo'!I221</f>
        <v>94177</v>
      </c>
      <c r="G221" s="15">
        <f>Nchalo!D221+Nchalo!E221+Nchalo!F221+Nchalo!G221+Nchalo!H221+Nchalo!I221</f>
        <v>1244651.25</v>
      </c>
      <c r="H221" s="15">
        <f>Nsanje!D221+Nsanje!E221+Nsanje!F221+Nsanje!G221+Nsanje!H221+Nsanje!I221</f>
        <v>2225169.0300000003</v>
      </c>
      <c r="I221" s="15">
        <f>Ngabu!D221+Ngabu!E221+Ngabu!F221+Ngabu!G221+Ngabu!H221+Ngabu!I221</f>
        <v>3675239.15</v>
      </c>
      <c r="J221" s="39">
        <f>SUM(D221:I221)</f>
        <v>495416625.64999998</v>
      </c>
    </row>
    <row r="222" spans="1:10" ht="15.6" x14ac:dyDescent="0.3">
      <c r="A222" s="591" t="s">
        <v>32</v>
      </c>
      <c r="B222" s="592"/>
      <c r="C222" s="11" t="s">
        <v>31</v>
      </c>
      <c r="D222" s="15">
        <f>Bangula!D222+Bangula!E222+Bangula!F222+Bangula!G222+Bangula!H222+Bangula!I222</f>
        <v>5909245.8900000006</v>
      </c>
      <c r="E222" s="15">
        <f>Chikwawa!D222+Chikwawa!E222+Chikwawa!F222+Chikwawa!G222+Chikwawa!H222+Chikwawa!I222</f>
        <v>2000900.2400000002</v>
      </c>
      <c r="F222" s="15">
        <f>'Miseu Folo'!D222+'Miseu Folo'!E222+'Miseu Folo'!F222+'Miseu Folo'!G222+'Miseu Folo'!H222+'Miseu Folo'!I222</f>
        <v>263262.66000000003</v>
      </c>
      <c r="G222" s="15">
        <f>Nchalo!D222+Nchalo!E222+Nchalo!F222+Nchalo!G222+Nchalo!H222+Nchalo!I222</f>
        <v>5109060.9700000007</v>
      </c>
      <c r="H222" s="15">
        <f>Nsanje!D222+Nsanje!E222+Nsanje!F222+Nsanje!G222+Nsanje!H222+Nsanje!I222</f>
        <v>1791443.4500000002</v>
      </c>
      <c r="I222" s="15">
        <f>Ngabu!D222+Ngabu!E222+Ngabu!F222+Ngabu!G222+Ngabu!H222+Ngabu!I222</f>
        <v>698608.37</v>
      </c>
      <c r="J222" s="39">
        <f>SUM(D222:I222)</f>
        <v>15772521.58</v>
      </c>
    </row>
    <row r="223" spans="1:10" ht="15.6" x14ac:dyDescent="0.3">
      <c r="A223" s="656" t="s">
        <v>36</v>
      </c>
      <c r="B223" s="657"/>
      <c r="C223" s="11" t="s">
        <v>31</v>
      </c>
      <c r="D223" s="12">
        <f t="shared" ref="D223:I223" si="52">SUM(D219:D222)</f>
        <v>721587560.16999996</v>
      </c>
      <c r="E223" s="10">
        <f t="shared" si="52"/>
        <v>84799002.88000001</v>
      </c>
      <c r="F223" s="10">
        <f t="shared" si="52"/>
        <v>3789670.6500000004</v>
      </c>
      <c r="G223" s="10">
        <f t="shared" si="52"/>
        <v>70724166.760000005</v>
      </c>
      <c r="H223" s="10">
        <f t="shared" si="52"/>
        <v>45481336.020000011</v>
      </c>
      <c r="I223" s="10">
        <f t="shared" si="52"/>
        <v>33016003.159999996</v>
      </c>
      <c r="J223" s="39">
        <f>SUM(D223:I223)</f>
        <v>959397739.63999987</v>
      </c>
    </row>
    <row r="224" spans="1:10" x14ac:dyDescent="0.3">
      <c r="A224" s="595" t="s">
        <v>211</v>
      </c>
      <c r="B224" s="596"/>
      <c r="C224" s="596"/>
      <c r="D224" s="596"/>
      <c r="E224" s="596"/>
      <c r="F224" s="596"/>
      <c r="G224" s="596"/>
      <c r="H224" s="596"/>
      <c r="I224" s="596"/>
      <c r="J224" s="597"/>
    </row>
    <row r="225" spans="1:10" ht="15.6" x14ac:dyDescent="0.3">
      <c r="A225" s="591" t="s">
        <v>35</v>
      </c>
      <c r="B225" s="592"/>
      <c r="C225" s="11" t="s">
        <v>31</v>
      </c>
      <c r="D225" s="15">
        <f>Bangula!D225+Bangula!E225+Bangula!F225+Bangula!G225+Bangula!H225+Bangula!I225</f>
        <v>0</v>
      </c>
      <c r="E225" s="15">
        <f>Chikwawa!D225+Chikwawa!E225+Chikwawa!F225+Chikwawa!G225+Chikwawa!H225+Chikwawa!I225</f>
        <v>0</v>
      </c>
      <c r="F225" s="15">
        <f>'Miseu Folo'!D225+'Miseu Folo'!E225+'Miseu Folo'!F225+'Miseu Folo'!G225+'Miseu Folo'!H225+'Miseu Folo'!I225</f>
        <v>0</v>
      </c>
      <c r="G225" s="15">
        <f>Nchalo!D225+Nchalo!E225+Nchalo!F225+Nchalo!G225+Nchalo!H225+Nchalo!I225</f>
        <v>0</v>
      </c>
      <c r="H225" s="15">
        <f>Nsanje!D225+Nsanje!E225+Nsanje!F225+Nsanje!G225+Nsanje!H225+Nsanje!I225</f>
        <v>0</v>
      </c>
      <c r="I225" s="15">
        <f>Ngabu!D225+Ngabu!E225+Ngabu!F225+Ngabu!G225+Ngabu!H225+Ngabu!I225</f>
        <v>0</v>
      </c>
      <c r="J225" s="39">
        <f t="shared" ref="J225:J230" si="53">SUM(D225:I225)</f>
        <v>0</v>
      </c>
    </row>
    <row r="226" spans="1:10" ht="15.6" x14ac:dyDescent="0.3">
      <c r="A226" s="591" t="s">
        <v>34</v>
      </c>
      <c r="B226" s="592"/>
      <c r="C226" s="11" t="s">
        <v>31</v>
      </c>
      <c r="D226" s="15">
        <f>Bangula!D226+Bangula!E226+Bangula!F226+Bangula!G226+Bangula!H226+Bangula!I226</f>
        <v>0</v>
      </c>
      <c r="E226" s="15">
        <f>Chikwawa!D226+Chikwawa!E226+Chikwawa!F226+Chikwawa!G226+Chikwawa!H226+Chikwawa!I226</f>
        <v>0</v>
      </c>
      <c r="F226" s="15">
        <f>'Miseu Folo'!D226+'Miseu Folo'!E226+'Miseu Folo'!F226+'Miseu Folo'!G226+'Miseu Folo'!H226+'Miseu Folo'!I226</f>
        <v>0</v>
      </c>
      <c r="G226" s="15">
        <f>Nchalo!D226+Nchalo!E226+Nchalo!F226+Nchalo!G226+Nchalo!H226+Nchalo!I226</f>
        <v>0</v>
      </c>
      <c r="H226" s="15">
        <f>Nsanje!D226+Nsanje!E226+Nsanje!F226+Nsanje!G226+Nsanje!H226+Nsanje!I226</f>
        <v>0</v>
      </c>
      <c r="I226" s="15">
        <f>Ngabu!D226+Ngabu!E226+Ngabu!F226+Ngabu!G226+Ngabu!H226+Ngabu!I226</f>
        <v>0</v>
      </c>
      <c r="J226" s="39">
        <f t="shared" si="53"/>
        <v>0</v>
      </c>
    </row>
    <row r="227" spans="1:10" ht="15.6" x14ac:dyDescent="0.3">
      <c r="A227" s="591" t="s">
        <v>33</v>
      </c>
      <c r="B227" s="592"/>
      <c r="C227" s="11" t="s">
        <v>31</v>
      </c>
      <c r="D227" s="15">
        <f>Bangula!D227+Bangula!E227+Bangula!F227+Bangula!G227+Bangula!H227+Bangula!I227</f>
        <v>22827880.039999999</v>
      </c>
      <c r="E227" s="15">
        <f>Chikwawa!D227+Chikwawa!E227+Chikwawa!F227+Chikwawa!G227+Chikwawa!H227+Chikwawa!I227</f>
        <v>75591255.649999991</v>
      </c>
      <c r="F227" s="15">
        <f>'Miseu Folo'!D227+'Miseu Folo'!E227+'Miseu Folo'!F227+'Miseu Folo'!G227+'Miseu Folo'!H227+'Miseu Folo'!I227</f>
        <v>11113684</v>
      </c>
      <c r="G227" s="15">
        <f>Nchalo!D227+Nchalo!E227+Nchalo!F227+Nchalo!G227+Nchalo!H227+Nchalo!I227</f>
        <v>27704171.5</v>
      </c>
      <c r="H227" s="15">
        <f>Nsanje!D227+Nsanje!E227+Nsanje!F227+Nsanje!G227+Nsanje!H227+Nsanje!I227</f>
        <v>53457922.579999998</v>
      </c>
      <c r="I227" s="15">
        <f>Ngabu!D227+Ngabu!E227+Ngabu!F227+Ngabu!G227+Ngabu!H227+Ngabu!I227</f>
        <v>26754603.920000002</v>
      </c>
      <c r="J227" s="39">
        <f t="shared" si="53"/>
        <v>217449517.69</v>
      </c>
    </row>
    <row r="228" spans="1:10" ht="15.6" x14ac:dyDescent="0.3">
      <c r="A228" s="591" t="s">
        <v>32</v>
      </c>
      <c r="B228" s="592"/>
      <c r="C228" s="11" t="s">
        <v>31</v>
      </c>
      <c r="D228" s="15">
        <f>Bangula!D228+Bangula!E228+Bangula!F228+Bangula!G228+Bangula!H228+Bangula!I228</f>
        <v>0</v>
      </c>
      <c r="E228" s="15">
        <f>Chikwawa!D228+Chikwawa!E228+Chikwawa!F228+Chikwawa!G228+Chikwawa!H228+Chikwawa!I228</f>
        <v>0</v>
      </c>
      <c r="F228" s="15">
        <f>'Miseu Folo'!D228+'Miseu Folo'!E228+'Miseu Folo'!F228+'Miseu Folo'!G228+'Miseu Folo'!H228+'Miseu Folo'!I228</f>
        <v>0</v>
      </c>
      <c r="G228" s="15">
        <f>Nchalo!D228+Nchalo!E228+Nchalo!F228+Nchalo!G228+Nchalo!H228+Nchalo!I228</f>
        <v>0</v>
      </c>
      <c r="H228" s="15">
        <f>Nsanje!D228+Nsanje!E228+Nsanje!F228+Nsanje!G228+Nsanje!H228+Nsanje!I228</f>
        <v>0</v>
      </c>
      <c r="I228" s="15">
        <f>Ngabu!D228+Ngabu!E228+Ngabu!F228+Ngabu!G228+Ngabu!H228+Ngabu!I228</f>
        <v>0</v>
      </c>
      <c r="J228" s="39">
        <f t="shared" si="53"/>
        <v>0</v>
      </c>
    </row>
    <row r="229" spans="1:10" ht="15.6" x14ac:dyDescent="0.3">
      <c r="A229" s="656" t="s">
        <v>212</v>
      </c>
      <c r="B229" s="657"/>
      <c r="C229" s="11" t="s">
        <v>31</v>
      </c>
      <c r="D229" s="12">
        <f t="shared" ref="D229:I229" si="54">SUM(D225:D228)</f>
        <v>22827880.039999999</v>
      </c>
      <c r="E229" s="10">
        <f t="shared" si="54"/>
        <v>75591255.649999991</v>
      </c>
      <c r="F229" s="10">
        <f t="shared" si="54"/>
        <v>11113684</v>
      </c>
      <c r="G229" s="10">
        <f t="shared" si="54"/>
        <v>27704171.5</v>
      </c>
      <c r="H229" s="10">
        <f t="shared" si="54"/>
        <v>53457922.579999998</v>
      </c>
      <c r="I229" s="10">
        <f t="shared" si="54"/>
        <v>26754603.920000002</v>
      </c>
      <c r="J229" s="39">
        <f t="shared" si="53"/>
        <v>217449517.69</v>
      </c>
    </row>
    <row r="230" spans="1:10" ht="15.6" x14ac:dyDescent="0.3">
      <c r="A230" s="576" t="s">
        <v>213</v>
      </c>
      <c r="B230" s="120"/>
      <c r="C230" s="11" t="s">
        <v>31</v>
      </c>
      <c r="D230" s="12">
        <f>D223+D229</f>
        <v>744415440.20999992</v>
      </c>
      <c r="E230" s="12">
        <f t="shared" ref="E230:I230" si="55">E223+E229</f>
        <v>160390258.53</v>
      </c>
      <c r="F230" s="12">
        <f t="shared" si="55"/>
        <v>14903354.65</v>
      </c>
      <c r="G230" s="12">
        <f t="shared" si="55"/>
        <v>98428338.260000005</v>
      </c>
      <c r="H230" s="12">
        <f t="shared" si="55"/>
        <v>98939258.600000009</v>
      </c>
      <c r="I230" s="12">
        <f t="shared" si="55"/>
        <v>59770607.079999998</v>
      </c>
      <c r="J230" s="39">
        <f t="shared" si="53"/>
        <v>1176847257.3299997</v>
      </c>
    </row>
    <row r="231" spans="1:10" x14ac:dyDescent="0.3">
      <c r="A231" s="595" t="s">
        <v>30</v>
      </c>
      <c r="B231" s="596"/>
      <c r="C231" s="596"/>
      <c r="D231" s="596"/>
      <c r="E231" s="596"/>
      <c r="F231" s="596"/>
      <c r="G231" s="596"/>
      <c r="H231" s="596"/>
      <c r="I231" s="596"/>
      <c r="J231" s="597"/>
    </row>
    <row r="232" spans="1:10" ht="15.6" x14ac:dyDescent="0.3">
      <c r="A232" s="591" t="s">
        <v>29</v>
      </c>
      <c r="B232" s="592"/>
      <c r="C232" s="11" t="s">
        <v>18</v>
      </c>
      <c r="D232" s="15">
        <f>Bangula!D232+Bangula!E232+Bangula!F232+Bangula!G232+Bangula!H232+Bangula!I232</f>
        <v>1561353.98</v>
      </c>
      <c r="E232" s="15">
        <f>Chikwawa!D232+Chikwawa!E232+Chikwawa!F232+Chikwawa!G232+Chikwawa!H232+Chikwawa!I232</f>
        <v>5401673.7699999996</v>
      </c>
      <c r="F232" s="15">
        <f>'Miseu Folo'!D232+'Miseu Folo'!E232+'Miseu Folo'!F232+'Miseu Folo'!G232+'Miseu Folo'!H232+'Miseu Folo'!I232</f>
        <v>287325.68</v>
      </c>
      <c r="G232" s="15">
        <f>Nchalo!D232+Nchalo!E232+Nchalo!F232+Nchalo!G232+Nchalo!H232+Nchalo!I232</f>
        <v>3946845.47</v>
      </c>
      <c r="H232" s="15">
        <f>Nsanje!D232+Nsanje!E232+Nsanje!F232+Nsanje!G232+Nsanje!H232+Nsanje!I232</f>
        <v>2918918.15</v>
      </c>
      <c r="I232" s="15">
        <f>Ngabu!D232+Ngabu!E232+Ngabu!F232+Ngabu!G232+Ngabu!H232+Ngabu!I232</f>
        <v>2185056.7000000002</v>
      </c>
      <c r="J232" s="39">
        <f>SUM(D232:I232)</f>
        <v>16301173.75</v>
      </c>
    </row>
    <row r="233" spans="1:10" ht="15.6" x14ac:dyDescent="0.3">
      <c r="A233" s="591" t="s">
        <v>28</v>
      </c>
      <c r="B233" s="592"/>
      <c r="C233" s="11" t="s">
        <v>18</v>
      </c>
      <c r="D233" s="15">
        <f>Bangula!D233+Bangula!E233+Bangula!F233+Bangula!G233+Bangula!H233+Bangula!I233</f>
        <v>16692.61</v>
      </c>
      <c r="E233" s="15">
        <f>Chikwawa!D233+Chikwawa!E233+Chikwawa!F233+Chikwawa!G233+Chikwawa!H233+Chikwawa!I233</f>
        <v>11999.15</v>
      </c>
      <c r="F233" s="15">
        <f>'Miseu Folo'!D233+'Miseu Folo'!E233+'Miseu Folo'!F233+'Miseu Folo'!G233+'Miseu Folo'!H233+'Miseu Folo'!I233</f>
        <v>0</v>
      </c>
      <c r="G233" s="15">
        <f>Nchalo!D233+Nchalo!E233+Nchalo!F233+Nchalo!G233+Nchalo!H233+Nchalo!I233</f>
        <v>8346.36</v>
      </c>
      <c r="H233" s="15">
        <f>Nsanje!D233+Nsanje!E233+Nsanje!F233+Nsanje!G233+Nsanje!H233+Nsanje!I233</f>
        <v>8694.14</v>
      </c>
      <c r="I233" s="15">
        <f>Ngabu!D233+Ngabu!E233+Ngabu!F233+Ngabu!G233+Ngabu!H233+Ngabu!I233</f>
        <v>19823.73</v>
      </c>
      <c r="J233" s="39">
        <f>SUM(D233:I233)</f>
        <v>65555.990000000005</v>
      </c>
    </row>
    <row r="234" spans="1:10" ht="15.6" x14ac:dyDescent="0.3">
      <c r="A234" s="591" t="s">
        <v>27</v>
      </c>
      <c r="B234" s="592"/>
      <c r="C234" s="11" t="s">
        <v>18</v>
      </c>
      <c r="D234" s="15">
        <f>Bangula!D234+Bangula!E234+Bangula!F234+Bangula!G234+Bangula!H234+Bangula!I234</f>
        <v>90498.05</v>
      </c>
      <c r="E234" s="15">
        <f>Chikwawa!D234+Chikwawa!E234+Chikwawa!F234+Chikwawa!G234+Chikwawa!H234+Chikwawa!I234</f>
        <v>349643.06</v>
      </c>
      <c r="F234" s="15">
        <f>'Miseu Folo'!D234+'Miseu Folo'!E234+'Miseu Folo'!F234+'Miseu Folo'!G234+'Miseu Folo'!H234+'Miseu Folo'!I234</f>
        <v>37022</v>
      </c>
      <c r="G234" s="15">
        <f>Nchalo!D234+Nchalo!E234+Nchalo!F234+Nchalo!G234+Nchalo!H234+Nchalo!I234</f>
        <v>121348.57</v>
      </c>
      <c r="H234" s="15">
        <f>Nsanje!D234+Nsanje!E234+Nsanje!F234+Nsanje!G234+Nsanje!H234+Nsanje!I234</f>
        <v>196420.24</v>
      </c>
      <c r="I234" s="15">
        <f>Ngabu!D234+Ngabu!E234+Ngabu!F234+Ngabu!G234+Ngabu!H234+Ngabu!I234</f>
        <v>188193.22</v>
      </c>
      <c r="J234" s="39">
        <f>SUM(D234:I234)</f>
        <v>983125.1399999999</v>
      </c>
    </row>
    <row r="235" spans="1:10" ht="15.6" x14ac:dyDescent="0.3">
      <c r="A235" s="591" t="s">
        <v>26</v>
      </c>
      <c r="B235" s="592"/>
      <c r="C235" s="11" t="s">
        <v>18</v>
      </c>
      <c r="D235" s="15">
        <f>Bangula!D235+Bangula!E235+Bangula!F235+Bangula!G235+Bangula!H235+Bangula!I235</f>
        <v>39348.559999999998</v>
      </c>
      <c r="E235" s="15">
        <f>Chikwawa!D235+Chikwawa!E235+Chikwawa!F235+Chikwawa!G235+Chikwawa!H235+Chikwawa!I235</f>
        <v>274171.06</v>
      </c>
      <c r="F235" s="15">
        <f>'Miseu Folo'!D235+'Miseu Folo'!E235+'Miseu Folo'!F235+'Miseu Folo'!G235+'Miseu Folo'!H235+'Miseu Folo'!I235</f>
        <v>56210.559999999998</v>
      </c>
      <c r="G235" s="15">
        <f>Nchalo!D235+Nchalo!E235+Nchalo!F235+Nchalo!G235+Nchalo!H235+Nchalo!I235</f>
        <v>199546.16999999998</v>
      </c>
      <c r="H235" s="15">
        <f>Nsanje!D235+Nsanje!E235+Nsanje!F235+Nsanje!G235+Nsanje!H235+Nsanje!I235</f>
        <v>36537.82</v>
      </c>
      <c r="I235" s="15">
        <f>Ngabu!D235+Ngabu!E235+Ngabu!F235+Ngabu!G235+Ngabu!H235+Ngabu!I235</f>
        <v>109610.69</v>
      </c>
      <c r="J235" s="39">
        <f>SUM(D235:I235)</f>
        <v>715424.85999999987</v>
      </c>
    </row>
    <row r="236" spans="1:10" ht="15.6" x14ac:dyDescent="0.3">
      <c r="A236" s="656" t="s">
        <v>25</v>
      </c>
      <c r="B236" s="657"/>
      <c r="C236" s="11" t="s">
        <v>18</v>
      </c>
      <c r="D236" s="12">
        <f t="shared" ref="D236:J236" si="56">SUM(D232:D235)</f>
        <v>1707893.2000000002</v>
      </c>
      <c r="E236" s="10">
        <f t="shared" si="56"/>
        <v>6037487.0399999991</v>
      </c>
      <c r="F236" s="10">
        <f t="shared" si="56"/>
        <v>380558.24</v>
      </c>
      <c r="G236" s="10">
        <f t="shared" si="56"/>
        <v>4276086.57</v>
      </c>
      <c r="H236" s="10">
        <f t="shared" si="56"/>
        <v>3160570.35</v>
      </c>
      <c r="I236" s="10">
        <f t="shared" si="56"/>
        <v>2502684.3400000003</v>
      </c>
      <c r="J236" s="40">
        <f t="shared" si="56"/>
        <v>18065279.739999998</v>
      </c>
    </row>
    <row r="237" spans="1:10" x14ac:dyDescent="0.3">
      <c r="A237" s="595" t="s">
        <v>24</v>
      </c>
      <c r="B237" s="596"/>
      <c r="C237" s="596"/>
      <c r="D237" s="596"/>
      <c r="E237" s="596"/>
      <c r="F237" s="596"/>
      <c r="G237" s="596"/>
      <c r="H237" s="596"/>
      <c r="I237" s="596"/>
      <c r="J237" s="597"/>
    </row>
    <row r="238" spans="1:10" ht="15.6" x14ac:dyDescent="0.3">
      <c r="A238" s="591" t="s">
        <v>23</v>
      </c>
      <c r="B238" s="592"/>
      <c r="C238" s="11" t="s">
        <v>18</v>
      </c>
      <c r="D238" s="15">
        <f>Bangula!D238+Bangula!E238+Bangula!F238+Bangula!G238+Bangula!H238+Bangula!I238</f>
        <v>2835275</v>
      </c>
      <c r="E238" s="15">
        <f>Chikwawa!D238+Chikwawa!E238+Chikwawa!F238+Chikwawa!G238+Chikwawa!H238+Chikwawa!I238</f>
        <v>10588301</v>
      </c>
      <c r="F238" s="15">
        <f>'Miseu Folo'!D238+'Miseu Folo'!E238+'Miseu Folo'!F238+'Miseu Folo'!G238+'Miseu Folo'!H238+'Miseu Folo'!I238</f>
        <v>537586</v>
      </c>
      <c r="G238" s="15">
        <f>Nchalo!D238+Nchalo!E238+Nchalo!F238+Nchalo!G238+Nchalo!H238+Nchalo!I238</f>
        <v>7470838</v>
      </c>
      <c r="H238" s="15">
        <f>Nsanje!D238+Nsanje!E238+Nsanje!F238+Nsanje!G238+Nsanje!H238+Nsanje!I238</f>
        <v>5404436</v>
      </c>
      <c r="I238" s="15">
        <f>Ngabu!D238+Ngabu!E238+Ngabu!F238+Ngabu!G238+Ngabu!H238+Ngabu!I238</f>
        <v>4233713</v>
      </c>
      <c r="J238" s="39">
        <f>SUM(D238:I238)</f>
        <v>31070149</v>
      </c>
    </row>
    <row r="239" spans="1:10" ht="15.6" x14ac:dyDescent="0.3">
      <c r="A239" s="591" t="s">
        <v>22</v>
      </c>
      <c r="B239" s="592"/>
      <c r="C239" s="11" t="s">
        <v>18</v>
      </c>
      <c r="D239" s="15">
        <f>Bangula!D239+Bangula!E239+Bangula!F239+Bangula!G239+Bangula!H239+Bangula!I239</f>
        <v>85728</v>
      </c>
      <c r="E239" s="15">
        <f>Chikwawa!D239+Chikwawa!E239+Chikwawa!F239+Chikwawa!G239+Chikwawa!H239+Chikwawa!I239</f>
        <v>61617</v>
      </c>
      <c r="F239" s="15">
        <f>'Miseu Folo'!D239+'Miseu Folo'!E239+'Miseu Folo'!F239+'Miseu Folo'!G239+'Miseu Folo'!H239+'Miseu Folo'!I239</f>
        <v>0</v>
      </c>
      <c r="G239" s="15">
        <f>Nchalo!D239+Nchalo!E239+Nchalo!F239+Nchalo!G239+Nchalo!H239+Nchalo!I239</f>
        <v>42864</v>
      </c>
      <c r="H239" s="15">
        <f>Nsanje!D239+Nsanje!E239+Nsanje!F239+Nsanje!G239+Nsanje!H239+Nsanje!I239</f>
        <v>44650</v>
      </c>
      <c r="I239" s="15">
        <f>Ngabu!D239+Ngabu!E239+Ngabu!F239+Ngabu!G239+Ngabu!H239+Ngabu!I239</f>
        <v>101802</v>
      </c>
      <c r="J239" s="39">
        <f>SUM(D239:I239)</f>
        <v>336661</v>
      </c>
    </row>
    <row r="240" spans="1:10" ht="15.6" x14ac:dyDescent="0.3">
      <c r="A240" s="591" t="s">
        <v>21</v>
      </c>
      <c r="B240" s="592"/>
      <c r="C240" s="11" t="s">
        <v>18</v>
      </c>
      <c r="D240" s="15">
        <f>Bangula!D240+Bangula!E240+Bangula!F240+Bangula!G240+Bangula!H240+Bangula!I240</f>
        <v>27683</v>
      </c>
      <c r="E240" s="15">
        <f>Chikwawa!D240+Chikwawa!E240+Chikwawa!F240+Chikwawa!G240+Chikwawa!H240+Chikwawa!I240</f>
        <v>104481</v>
      </c>
      <c r="F240" s="15">
        <f>'Miseu Folo'!D240+'Miseu Folo'!E240+'Miseu Folo'!F240+'Miseu Folo'!G240+'Miseu Folo'!H240+'Miseu Folo'!I240</f>
        <v>10716</v>
      </c>
      <c r="G240" s="15">
        <f>Nchalo!D240+Nchalo!E240+Nchalo!F240+Nchalo!G240+Nchalo!H240+Nchalo!I240</f>
        <v>36613</v>
      </c>
      <c r="H240" s="15">
        <f>Nsanje!D240+Nsanje!E240+Nsanje!F240+Nsanje!G240+Nsanje!H240+Nsanje!I240</f>
        <v>51794</v>
      </c>
      <c r="I240" s="15">
        <f>Ngabu!D240+Ngabu!E240+Ngabu!F240+Ngabu!G240+Ngabu!H240+Ngabu!I240</f>
        <v>57152</v>
      </c>
      <c r="J240" s="39">
        <f>SUM(D240:I240)</f>
        <v>288439</v>
      </c>
    </row>
    <row r="241" spans="1:10" ht="15.6" x14ac:dyDescent="0.3">
      <c r="A241" s="591" t="s">
        <v>20</v>
      </c>
      <c r="B241" s="592"/>
      <c r="C241" s="11" t="s">
        <v>18</v>
      </c>
      <c r="D241" s="15">
        <f>Bangula!D241+Bangula!E241+Bangula!F241+Bangula!G241+Bangula!H241+Bangula!I241</f>
        <v>8930</v>
      </c>
      <c r="E241" s="15">
        <f>Chikwawa!D241+Chikwawa!E241+Chikwawa!F241+Chikwawa!G241+Chikwawa!H241+Chikwawa!I241</f>
        <v>66975</v>
      </c>
      <c r="F241" s="15">
        <f>'Miseu Folo'!D241+'Miseu Folo'!E241+'Miseu Folo'!F241+'Miseu Folo'!G241+'Miseu Folo'!H241+'Miseu Folo'!I241</f>
        <v>12502</v>
      </c>
      <c r="G241" s="15">
        <f>Nchalo!D241+Nchalo!E241+Nchalo!F241+Nchalo!G241+Nchalo!H241+Nchalo!I241</f>
        <v>44650</v>
      </c>
      <c r="H241" s="15">
        <f>Nsanje!D241+Nsanje!E241+Nsanje!F241+Nsanje!G241+Nsanje!H241+Nsanje!I241</f>
        <v>15181</v>
      </c>
      <c r="I241" s="15">
        <f>Ngabu!D241+Ngabu!E241+Ngabu!F241+Ngabu!G241+Ngabu!H241+Ngabu!I241</f>
        <v>24111</v>
      </c>
      <c r="J241" s="39">
        <f>SUM(D241:I241)</f>
        <v>172349</v>
      </c>
    </row>
    <row r="242" spans="1:10" ht="15.6" x14ac:dyDescent="0.3">
      <c r="A242" s="656" t="s">
        <v>19</v>
      </c>
      <c r="B242" s="657"/>
      <c r="C242" s="11" t="s">
        <v>18</v>
      </c>
      <c r="D242" s="12">
        <f t="shared" ref="D242:J242" si="57">SUM(D238:D241)</f>
        <v>2957616</v>
      </c>
      <c r="E242" s="12">
        <f t="shared" si="57"/>
        <v>10821374</v>
      </c>
      <c r="F242" s="12">
        <f t="shared" si="57"/>
        <v>560804</v>
      </c>
      <c r="G242" s="12">
        <f t="shared" si="57"/>
        <v>7594965</v>
      </c>
      <c r="H242" s="12">
        <f t="shared" si="57"/>
        <v>5516061</v>
      </c>
      <c r="I242" s="12">
        <f t="shared" si="57"/>
        <v>4416778</v>
      </c>
      <c r="J242" s="40">
        <f t="shared" si="57"/>
        <v>31867598</v>
      </c>
    </row>
    <row r="243" spans="1:10" ht="15.6" x14ac:dyDescent="0.3">
      <c r="A243" s="656" t="s">
        <v>214</v>
      </c>
      <c r="B243" s="657"/>
      <c r="C243" s="11" t="s">
        <v>18</v>
      </c>
      <c r="D243" s="10">
        <f>D230+D236+D242</f>
        <v>749080949.40999997</v>
      </c>
      <c r="E243" s="10">
        <f t="shared" ref="E243:I243" si="58">E230+E236+E242</f>
        <v>177249119.56999999</v>
      </c>
      <c r="F243" s="10">
        <f t="shared" si="58"/>
        <v>15844716.890000001</v>
      </c>
      <c r="G243" s="10">
        <f t="shared" si="58"/>
        <v>110299389.83000001</v>
      </c>
      <c r="H243" s="10">
        <f t="shared" si="58"/>
        <v>107615889.95</v>
      </c>
      <c r="I243" s="10">
        <f t="shared" si="58"/>
        <v>66690069.420000002</v>
      </c>
      <c r="J243" s="40">
        <f t="shared" ref="J243" si="59">J216+J223+J236+J242</f>
        <v>1237090749.6199999</v>
      </c>
    </row>
    <row r="244" spans="1:10" x14ac:dyDescent="0.3">
      <c r="A244" s="595" t="s">
        <v>204</v>
      </c>
      <c r="B244" s="596"/>
      <c r="C244" s="596"/>
      <c r="D244" s="596"/>
      <c r="E244" s="596"/>
      <c r="F244" s="596"/>
      <c r="G244" s="596"/>
      <c r="H244" s="596"/>
      <c r="I244" s="596"/>
      <c r="J244" s="597"/>
    </row>
    <row r="245" spans="1:10" ht="15.6" x14ac:dyDescent="0.3">
      <c r="A245" s="663" t="s">
        <v>205</v>
      </c>
      <c r="B245" s="664"/>
      <c r="C245" s="11" t="s">
        <v>18</v>
      </c>
      <c r="D245" s="26">
        <f>Bangula!I245</f>
        <v>22908287.350000001</v>
      </c>
      <c r="E245" s="26">
        <f>Chikwawa!I245</f>
        <v>92050472.370000005</v>
      </c>
      <c r="F245" s="26">
        <f>'Miseu Folo'!I245</f>
        <v>3896318.88</v>
      </c>
      <c r="G245" s="26">
        <f>Nchalo!I245</f>
        <v>53743602.469999999</v>
      </c>
      <c r="H245" s="26">
        <f>Nsanje!I245</f>
        <v>30497161.940000001</v>
      </c>
      <c r="I245" s="26">
        <f>Ngabu!I245</f>
        <v>40136229.25</v>
      </c>
      <c r="J245" s="39">
        <f>SUM(D245:I245)</f>
        <v>243232072.25999999</v>
      </c>
    </row>
    <row r="246" spans="1:10" ht="15.6" x14ac:dyDescent="0.3">
      <c r="A246" s="663" t="s">
        <v>206</v>
      </c>
      <c r="B246" s="664"/>
      <c r="C246" s="11" t="s">
        <v>18</v>
      </c>
      <c r="D246" s="26">
        <f>Bangula!I246</f>
        <v>0</v>
      </c>
      <c r="E246" s="26">
        <f>Chikwawa!I246</f>
        <v>0</v>
      </c>
      <c r="F246" s="26">
        <f>'Miseu Folo'!I246</f>
        <v>0</v>
      </c>
      <c r="G246" s="26">
        <f>Nchalo!I246</f>
        <v>0</v>
      </c>
      <c r="H246" s="26">
        <f>Nsanje!I246</f>
        <v>0</v>
      </c>
      <c r="I246" s="26">
        <f>Ngabu!I246</f>
        <v>0</v>
      </c>
      <c r="J246" s="39">
        <f>SUM(D246:I246)</f>
        <v>0</v>
      </c>
    </row>
    <row r="247" spans="1:10" ht="15.6" x14ac:dyDescent="0.3">
      <c r="A247" s="665" t="s">
        <v>207</v>
      </c>
      <c r="B247" s="666"/>
      <c r="C247" s="11" t="s">
        <v>18</v>
      </c>
      <c r="D247" s="72">
        <f>D245+D246</f>
        <v>22908287.350000001</v>
      </c>
      <c r="E247" s="72">
        <f t="shared" ref="E247:J247" si="60">E245+E246</f>
        <v>92050472.370000005</v>
      </c>
      <c r="F247" s="72">
        <f t="shared" si="60"/>
        <v>3896318.88</v>
      </c>
      <c r="G247" s="72">
        <f t="shared" si="60"/>
        <v>53743602.469999999</v>
      </c>
      <c r="H247" s="72">
        <f t="shared" si="60"/>
        <v>30497161.940000001</v>
      </c>
      <c r="I247" s="72">
        <f t="shared" si="60"/>
        <v>40136229.25</v>
      </c>
      <c r="J247" s="161">
        <f t="shared" si="60"/>
        <v>243232072.25999999</v>
      </c>
    </row>
    <row r="248" spans="1:10" x14ac:dyDescent="0.3">
      <c r="A248" s="595" t="s">
        <v>17</v>
      </c>
      <c r="B248" s="596"/>
      <c r="C248" s="596"/>
      <c r="D248" s="596"/>
      <c r="E248" s="596"/>
      <c r="F248" s="596"/>
      <c r="G248" s="596"/>
      <c r="H248" s="596"/>
      <c r="I248" s="596"/>
      <c r="J248" s="597"/>
    </row>
    <row r="249" spans="1:10" ht="15.6" x14ac:dyDescent="0.3">
      <c r="A249" s="620" t="s">
        <v>16</v>
      </c>
      <c r="B249" s="621"/>
      <c r="C249" s="5" t="s">
        <v>6</v>
      </c>
      <c r="D249" s="8">
        <f>D58/D243%</f>
        <v>2.0704640020835847</v>
      </c>
      <c r="E249" s="8">
        <f t="shared" ref="E249:J249" si="61">E58/E243%</f>
        <v>9.7045433126717544</v>
      </c>
      <c r="F249" s="8">
        <f t="shared" si="61"/>
        <v>61.428618091263331</v>
      </c>
      <c r="G249" s="8">
        <f t="shared" si="61"/>
        <v>15.825386953548115</v>
      </c>
      <c r="H249" s="8">
        <f t="shared" si="61"/>
        <v>42.523372446449763</v>
      </c>
      <c r="I249" s="8">
        <f t="shared" si="61"/>
        <v>34.76266682374672</v>
      </c>
      <c r="J249" s="112">
        <f t="shared" si="61"/>
        <v>10.415106347661027</v>
      </c>
    </row>
    <row r="250" spans="1:10" ht="15.6" x14ac:dyDescent="0.3">
      <c r="A250" s="620" t="s">
        <v>208</v>
      </c>
      <c r="B250" s="621"/>
      <c r="C250" s="5" t="s">
        <v>6</v>
      </c>
      <c r="D250" s="29">
        <f>D210/(D223+D245)%</f>
        <v>3.415408082489932</v>
      </c>
      <c r="E250" s="29">
        <f t="shared" ref="E250:J250" si="62">E210/(E223+E245)%</f>
        <v>43.701832844426271</v>
      </c>
      <c r="F250" s="29">
        <f t="shared" si="62"/>
        <v>27.27577225830543</v>
      </c>
      <c r="G250" s="29">
        <f t="shared" si="62"/>
        <v>51.524045684063559</v>
      </c>
      <c r="H250" s="29">
        <f t="shared" si="62"/>
        <v>50.128807613506019</v>
      </c>
      <c r="I250" s="29">
        <f t="shared" si="62"/>
        <v>36.46139659895583</v>
      </c>
      <c r="J250" s="109">
        <f t="shared" si="62"/>
        <v>19.432473320346435</v>
      </c>
    </row>
    <row r="251" spans="1:10" ht="16.2" thickBot="1" x14ac:dyDescent="0.35">
      <c r="A251" s="669" t="s">
        <v>15</v>
      </c>
      <c r="B251" s="670"/>
      <c r="C251" s="5" t="s">
        <v>6</v>
      </c>
      <c r="D251" s="7">
        <f>D210/D223%</f>
        <v>3.5238372657102737</v>
      </c>
      <c r="E251" s="7">
        <f t="shared" ref="E251:J251" si="63">E210/E223%</f>
        <v>91.140767503326558</v>
      </c>
      <c r="F251" s="7">
        <f t="shared" si="63"/>
        <v>55.319134394963847</v>
      </c>
      <c r="G251" s="7">
        <f t="shared" si="63"/>
        <v>90.677392492478191</v>
      </c>
      <c r="H251" s="7">
        <f t="shared" si="63"/>
        <v>83.742296077783493</v>
      </c>
      <c r="I251" s="7">
        <f t="shared" si="63"/>
        <v>80.786052299372273</v>
      </c>
      <c r="J251" s="113">
        <f t="shared" si="63"/>
        <v>24.359106519022319</v>
      </c>
    </row>
    <row r="252" spans="1:10" x14ac:dyDescent="0.3">
      <c r="A252" s="649" t="s">
        <v>14</v>
      </c>
      <c r="B252" s="650"/>
      <c r="C252" s="650"/>
      <c r="D252" s="650"/>
      <c r="E252" s="650"/>
      <c r="F252" s="650"/>
      <c r="G252" s="650"/>
      <c r="H252" s="650"/>
      <c r="I252" s="650"/>
      <c r="J252" s="651"/>
    </row>
    <row r="253" spans="1:10" s="2" customFormat="1" ht="15" customHeight="1" x14ac:dyDescent="0.3">
      <c r="A253" s="620" t="s">
        <v>13</v>
      </c>
      <c r="B253" s="621"/>
      <c r="C253" s="5" t="s">
        <v>3</v>
      </c>
      <c r="D253" s="15">
        <f>Bangula!D253+Bangula!E253+Bangula!F253+Bangula!G253+Bangula!H253+Bangula!I253</f>
        <v>47</v>
      </c>
      <c r="E253" s="15">
        <f>Chikwawa!D253+Chikwawa!E253+Chikwawa!F253+Chikwawa!G253+Chikwawa!H253+Chikwawa!I253</f>
        <v>93</v>
      </c>
      <c r="F253" s="15">
        <f>'Miseu Folo'!D253+'Miseu Folo'!E253+'Miseu Folo'!F253+'Miseu Folo'!G253+'Miseu Folo'!H253+'Miseu Folo'!I253</f>
        <v>321</v>
      </c>
      <c r="G253" s="15">
        <f>Nchalo!D253+Nchalo!E253+Nchalo!F253+Nchalo!G253+Nchalo!H253+Nchalo!I253</f>
        <v>67</v>
      </c>
      <c r="H253" s="15">
        <f>Nsanje!D253+Nsanje!E253+Nsanje!F253+Nsanje!G253+Nsanje!H253+Nsanje!I253</f>
        <v>116</v>
      </c>
      <c r="I253" s="15">
        <f>Ngabu!D253+Ngabu!E253+Ngabu!F253+Ngabu!G253+Ngabu!H253+Ngabu!I253</f>
        <v>187</v>
      </c>
      <c r="J253" s="114">
        <f>SUM(D253:I253)</f>
        <v>831</v>
      </c>
    </row>
    <row r="254" spans="1:10" s="2" customFormat="1" ht="15.6" x14ac:dyDescent="0.3">
      <c r="A254" s="620" t="s">
        <v>12</v>
      </c>
      <c r="B254" s="621"/>
      <c r="C254" s="5" t="s">
        <v>3</v>
      </c>
      <c r="D254" s="15">
        <f>Bangula!D254+Bangula!E254+Bangula!F254+Bangula!G254+Bangula!H254+Bangula!I254</f>
        <v>15</v>
      </c>
      <c r="E254" s="15">
        <f>Chikwawa!D254+Chikwawa!E254+Chikwawa!F254+Chikwawa!G254+Chikwawa!H254+Chikwawa!I254</f>
        <v>6</v>
      </c>
      <c r="F254" s="15">
        <f>'Miseu Folo'!D254+'Miseu Folo'!E254+'Miseu Folo'!F254+'Miseu Folo'!G254+'Miseu Folo'!H254+'Miseu Folo'!I254</f>
        <v>20</v>
      </c>
      <c r="G254" s="15">
        <f>Nchalo!D254+Nchalo!E254+Nchalo!F254+Nchalo!G254+Nchalo!H254+Nchalo!I254</f>
        <v>32</v>
      </c>
      <c r="H254" s="15">
        <f>Nsanje!D254+Nsanje!E254+Nsanje!F254+Nsanje!G254+Nsanje!H254+Nsanje!I254</f>
        <v>27</v>
      </c>
      <c r="I254" s="15">
        <f>Ngabu!D254+Ngabu!E254+Ngabu!F254+Ngabu!G254+Ngabu!H254+Ngabu!I254</f>
        <v>30</v>
      </c>
      <c r="J254" s="114">
        <f>SUM(D254:I254)</f>
        <v>130</v>
      </c>
    </row>
    <row r="255" spans="1:10" ht="15.75" customHeight="1" x14ac:dyDescent="0.3">
      <c r="A255" s="620" t="s">
        <v>11</v>
      </c>
      <c r="B255" s="621"/>
      <c r="C255" s="5" t="s">
        <v>3</v>
      </c>
      <c r="D255" s="4">
        <f>D95</f>
        <v>25</v>
      </c>
      <c r="E255" s="4">
        <f t="shared" ref="E255:I255" si="64">E95</f>
        <v>285</v>
      </c>
      <c r="F255" s="4">
        <f t="shared" si="64"/>
        <v>229</v>
      </c>
      <c r="G255" s="4">
        <f t="shared" si="64"/>
        <v>42</v>
      </c>
      <c r="H255" s="4">
        <f t="shared" si="64"/>
        <v>159</v>
      </c>
      <c r="I255" s="4">
        <f t="shared" si="64"/>
        <v>86</v>
      </c>
      <c r="J255" s="114">
        <f>SUM(D255:I255)</f>
        <v>826</v>
      </c>
    </row>
    <row r="256" spans="1:10" ht="15.6" x14ac:dyDescent="0.3">
      <c r="A256" s="620" t="s">
        <v>10</v>
      </c>
      <c r="B256" s="621"/>
      <c r="C256" s="5" t="s">
        <v>3</v>
      </c>
      <c r="D256" s="4">
        <f>D91</f>
        <v>23</v>
      </c>
      <c r="E256" s="4">
        <f t="shared" ref="E256:I256" si="65">E91</f>
        <v>84</v>
      </c>
      <c r="F256" s="4">
        <f t="shared" si="65"/>
        <v>323</v>
      </c>
      <c r="G256" s="4">
        <f t="shared" si="65"/>
        <v>82</v>
      </c>
      <c r="H256" s="4">
        <f t="shared" si="65"/>
        <v>101</v>
      </c>
      <c r="I256" s="4">
        <f t="shared" si="65"/>
        <v>18</v>
      </c>
      <c r="J256" s="114">
        <f>SUM(D256:I256)</f>
        <v>631</v>
      </c>
    </row>
    <row r="257" spans="1:10" ht="15.6" customHeight="1" x14ac:dyDescent="0.3">
      <c r="A257" s="620" t="s">
        <v>9</v>
      </c>
      <c r="B257" s="621"/>
      <c r="C257" s="5" t="s">
        <v>3</v>
      </c>
      <c r="D257" s="15">
        <f>Bangula!D257+Bangula!E257+Bangula!F257+Bangula!G257+Bangula!H257+Bangula!I257</f>
        <v>411</v>
      </c>
      <c r="E257" s="15">
        <f>Chikwawa!D257+Chikwawa!E257+Chikwawa!F257+Chikwawa!G257+Chikwawa!H257+Chikwawa!I257</f>
        <v>180</v>
      </c>
      <c r="F257" s="15">
        <f>'Miseu Folo'!D257+'Miseu Folo'!E257+'Miseu Folo'!F257+'Miseu Folo'!G257+'Miseu Folo'!H257+'Miseu Folo'!I257</f>
        <v>67</v>
      </c>
      <c r="G257" s="15">
        <f>Nchalo!D257+Nchalo!E257+Nchalo!F257+Nchalo!G257+Nchalo!H257+Nchalo!I257</f>
        <v>113</v>
      </c>
      <c r="H257" s="15">
        <f>Nsanje!D257+Nsanje!E257+Nsanje!F257+Nsanje!G257+Nsanje!H257+Nsanje!I257</f>
        <v>385</v>
      </c>
      <c r="I257" s="15">
        <f>Ngabu!D257+Ngabu!E257+Ngabu!F257+Ngabu!G257+Ngabu!H257+Ngabu!I257</f>
        <v>74</v>
      </c>
      <c r="J257" s="114">
        <f>SUM(D257:I257)</f>
        <v>1230</v>
      </c>
    </row>
    <row r="258" spans="1:10" ht="15.6" x14ac:dyDescent="0.3">
      <c r="A258" s="656" t="s">
        <v>8</v>
      </c>
      <c r="B258" s="657"/>
      <c r="C258" s="5" t="s">
        <v>3</v>
      </c>
      <c r="D258" s="1">
        <f t="shared" ref="D258:J258" si="66">D257/D256</f>
        <v>17.869565217391305</v>
      </c>
      <c r="E258" s="1">
        <f t="shared" si="66"/>
        <v>2.1428571428571428</v>
      </c>
      <c r="F258" s="1">
        <f t="shared" si="66"/>
        <v>0.20743034055727555</v>
      </c>
      <c r="G258" s="3">
        <f t="shared" si="66"/>
        <v>1.3780487804878048</v>
      </c>
      <c r="H258" s="3">
        <f t="shared" si="66"/>
        <v>3.8118811881188117</v>
      </c>
      <c r="I258" s="3">
        <f t="shared" si="66"/>
        <v>4.1111111111111107</v>
      </c>
      <c r="J258" s="114">
        <f t="shared" si="66"/>
        <v>1.9492868462757529</v>
      </c>
    </row>
    <row r="259" spans="1:10" ht="15.6" x14ac:dyDescent="0.3">
      <c r="A259" s="656" t="s">
        <v>7</v>
      </c>
      <c r="B259" s="657"/>
      <c r="C259" s="5" t="s">
        <v>6</v>
      </c>
      <c r="D259" s="1">
        <f t="shared" ref="D259:J259" si="67">D92/D255*100</f>
        <v>172</v>
      </c>
      <c r="E259" s="1">
        <f t="shared" si="67"/>
        <v>60.701754385964911</v>
      </c>
      <c r="F259" s="1">
        <f t="shared" si="67"/>
        <v>42.79475982532751</v>
      </c>
      <c r="G259" s="6">
        <f t="shared" si="67"/>
        <v>204.76190476190476</v>
      </c>
      <c r="H259" s="6">
        <f t="shared" si="67"/>
        <v>67.924528301886795</v>
      </c>
      <c r="I259" s="6">
        <f t="shared" si="67"/>
        <v>54.651162790697668</v>
      </c>
      <c r="J259" s="115">
        <f t="shared" si="67"/>
        <v>67.191283292978213</v>
      </c>
    </row>
    <row r="260" spans="1:10" x14ac:dyDescent="0.3">
      <c r="A260" s="595" t="s">
        <v>5</v>
      </c>
      <c r="B260" s="596"/>
      <c r="C260" s="596"/>
      <c r="D260" s="596"/>
      <c r="E260" s="596"/>
      <c r="F260" s="596"/>
      <c r="G260" s="596"/>
      <c r="H260" s="596"/>
      <c r="I260" s="596"/>
      <c r="J260" s="597"/>
    </row>
    <row r="261" spans="1:10" s="2" customFormat="1" ht="15" customHeight="1" x14ac:dyDescent="0.3">
      <c r="A261" s="620" t="s">
        <v>4</v>
      </c>
      <c r="B261" s="621"/>
      <c r="C261" s="5" t="s">
        <v>3</v>
      </c>
      <c r="D261" s="15">
        <f>Bangula!D261+Bangula!E261+Bangula!F261+Bangula!G261+Bangula!H261+Bangula!I261</f>
        <v>118</v>
      </c>
      <c r="E261" s="15">
        <f>Chikwawa!D261+Chikwawa!E261+Chikwawa!F261+Chikwawa!G261+Chikwawa!H261+Chikwawa!I261</f>
        <v>168</v>
      </c>
      <c r="F261" s="15">
        <f>'Miseu Folo'!D261+'Miseu Folo'!E261+'Miseu Folo'!F261+'Miseu Folo'!G261+'Miseu Folo'!H261+'Miseu Folo'!I261</f>
        <v>31</v>
      </c>
      <c r="G261" s="15">
        <f>Nchalo!D261+Nchalo!E261+Nchalo!F261+Nchalo!G261+Nchalo!H261+Nchalo!I261</f>
        <v>86</v>
      </c>
      <c r="H261" s="15">
        <f>Nsanje!D261+Nsanje!E261+Nsanje!F261+Nsanje!G261+Nsanje!H261+Nsanje!I261</f>
        <v>57</v>
      </c>
      <c r="I261" s="15">
        <f>Ngabu!D261+Ngabu!E261+Ngabu!F261+Ngabu!G261+Ngabu!H261+Ngabu!I261</f>
        <v>80</v>
      </c>
      <c r="J261" s="114">
        <f>SUM(D261:I261)</f>
        <v>540</v>
      </c>
    </row>
    <row r="262" spans="1:10" s="2" customFormat="1" ht="15.75" customHeight="1" x14ac:dyDescent="0.3">
      <c r="A262" s="620" t="s">
        <v>2</v>
      </c>
      <c r="B262" s="621"/>
      <c r="C262" s="5" t="s">
        <v>0</v>
      </c>
      <c r="D262" s="15">
        <f>Bangula!D262+Bangula!E262+Bangula!F262+Bangula!G262+Bangula!H262+Bangula!I262</f>
        <v>112</v>
      </c>
      <c r="E262" s="15">
        <f>Chikwawa!D262+Chikwawa!E262+Chikwawa!F262+Chikwawa!G262+Chikwawa!H262+Chikwawa!I262</f>
        <v>360</v>
      </c>
      <c r="F262" s="15">
        <f>'Miseu Folo'!D262+'Miseu Folo'!E262+'Miseu Folo'!F262+'Miseu Folo'!G262+'Miseu Folo'!H262+'Miseu Folo'!I262</f>
        <v>23</v>
      </c>
      <c r="G262" s="15">
        <f>Nchalo!D262+Nchalo!E262+Nchalo!F262+Nchalo!G262+Nchalo!H262+Nchalo!I262</f>
        <v>108</v>
      </c>
      <c r="H262" s="15">
        <f>Nsanje!D262+Nsanje!E262+Nsanje!F262+Nsanje!G262+Nsanje!H262+Nsanje!I262</f>
        <v>115</v>
      </c>
      <c r="I262" s="15">
        <f>Ngabu!D262+Ngabu!E262+Ngabu!F262+Ngabu!G262+Ngabu!H262+Ngabu!I262</f>
        <v>14</v>
      </c>
      <c r="J262" s="114">
        <f>SUM(D262:I262)</f>
        <v>732</v>
      </c>
    </row>
    <row r="263" spans="1:10" ht="16.2" thickBot="1" x14ac:dyDescent="0.35">
      <c r="A263" s="667" t="s">
        <v>1</v>
      </c>
      <c r="B263" s="668"/>
      <c r="C263" s="116" t="s">
        <v>0</v>
      </c>
      <c r="D263" s="117">
        <f>D261/D262</f>
        <v>1.0535714285714286</v>
      </c>
      <c r="E263" s="117">
        <f t="shared" ref="E263:J263" si="68">E261/E262</f>
        <v>0.46666666666666667</v>
      </c>
      <c r="F263" s="117">
        <f t="shared" si="68"/>
        <v>1.3478260869565217</v>
      </c>
      <c r="G263" s="117">
        <f t="shared" si="68"/>
        <v>0.79629629629629628</v>
      </c>
      <c r="H263" s="117">
        <f t="shared" si="68"/>
        <v>0.4956521739130435</v>
      </c>
      <c r="I263" s="117">
        <f t="shared" si="68"/>
        <v>5.7142857142857144</v>
      </c>
      <c r="J263" s="174">
        <f t="shared" si="68"/>
        <v>0.73770491803278693</v>
      </c>
    </row>
  </sheetData>
  <mergeCells count="155">
    <mergeCell ref="A259:B259"/>
    <mergeCell ref="A260:J260"/>
    <mergeCell ref="A261:B261"/>
    <mergeCell ref="A262:B262"/>
    <mergeCell ref="A263:B263"/>
    <mergeCell ref="A253:B253"/>
    <mergeCell ref="A254:B254"/>
    <mergeCell ref="A255:B255"/>
    <mergeCell ref="A256:B256"/>
    <mergeCell ref="A257:B257"/>
    <mergeCell ref="A258:B258"/>
    <mergeCell ref="A247:B247"/>
    <mergeCell ref="A248:J248"/>
    <mergeCell ref="A249:B249"/>
    <mergeCell ref="A250:B250"/>
    <mergeCell ref="A251:B251"/>
    <mergeCell ref="A252:J252"/>
    <mergeCell ref="A241:B241"/>
    <mergeCell ref="A242:B242"/>
    <mergeCell ref="A243:B243"/>
    <mergeCell ref="A244:J244"/>
    <mergeCell ref="A245:B245"/>
    <mergeCell ref="A246:B246"/>
    <mergeCell ref="A235:B235"/>
    <mergeCell ref="A236:B236"/>
    <mergeCell ref="A237:J237"/>
    <mergeCell ref="A238:B238"/>
    <mergeCell ref="A239:B239"/>
    <mergeCell ref="A240:B240"/>
    <mergeCell ref="A228:B228"/>
    <mergeCell ref="A229:B229"/>
    <mergeCell ref="A231:J231"/>
    <mergeCell ref="A232:B232"/>
    <mergeCell ref="A233:B233"/>
    <mergeCell ref="A234:B234"/>
    <mergeCell ref="A222:B222"/>
    <mergeCell ref="A223:B223"/>
    <mergeCell ref="A224:J224"/>
    <mergeCell ref="A225:B225"/>
    <mergeCell ref="A226:B226"/>
    <mergeCell ref="A227:B227"/>
    <mergeCell ref="A215:B215"/>
    <mergeCell ref="A216:B216"/>
    <mergeCell ref="A218:J218"/>
    <mergeCell ref="A219:B219"/>
    <mergeCell ref="A220:B220"/>
    <mergeCell ref="A221:B221"/>
    <mergeCell ref="A209:B209"/>
    <mergeCell ref="A210:B210"/>
    <mergeCell ref="A211:J211"/>
    <mergeCell ref="A212:B212"/>
    <mergeCell ref="A213:B213"/>
    <mergeCell ref="A214:B214"/>
    <mergeCell ref="A198:J198"/>
    <mergeCell ref="A199:A203"/>
    <mergeCell ref="A205:J205"/>
    <mergeCell ref="A206:B206"/>
    <mergeCell ref="A207:B207"/>
    <mergeCell ref="A208:B208"/>
    <mergeCell ref="A176:A182"/>
    <mergeCell ref="A183:A187"/>
    <mergeCell ref="A188:A192"/>
    <mergeCell ref="A193:B193"/>
    <mergeCell ref="A194:B195"/>
    <mergeCell ref="A197:B197"/>
    <mergeCell ref="A140:A144"/>
    <mergeCell ref="A145:A149"/>
    <mergeCell ref="A150:J150"/>
    <mergeCell ref="A151:J151"/>
    <mergeCell ref="A152:A165"/>
    <mergeCell ref="A166:A175"/>
    <mergeCell ref="A122:B122"/>
    <mergeCell ref="A123:B123"/>
    <mergeCell ref="A124:J124"/>
    <mergeCell ref="A125:A129"/>
    <mergeCell ref="A130:A134"/>
    <mergeCell ref="A135:A139"/>
    <mergeCell ref="A115:B115"/>
    <mergeCell ref="A116:B116"/>
    <mergeCell ref="A117:B117"/>
    <mergeCell ref="A119:B119"/>
    <mergeCell ref="A120:J120"/>
    <mergeCell ref="A121:B121"/>
    <mergeCell ref="A109:B109"/>
    <mergeCell ref="A110:B110"/>
    <mergeCell ref="A111:B111"/>
    <mergeCell ref="A112:J112"/>
    <mergeCell ref="A113:B113"/>
    <mergeCell ref="A114:B114"/>
    <mergeCell ref="A103:B103"/>
    <mergeCell ref="A104:B104"/>
    <mergeCell ref="A105:B105"/>
    <mergeCell ref="A106:J106"/>
    <mergeCell ref="A107:B107"/>
    <mergeCell ref="A108:B108"/>
    <mergeCell ref="A90:A95"/>
    <mergeCell ref="A96:J96"/>
    <mergeCell ref="A97:J97"/>
    <mergeCell ref="A100:J100"/>
    <mergeCell ref="A101:B101"/>
    <mergeCell ref="A102:B102"/>
    <mergeCell ref="A64:J64"/>
    <mergeCell ref="A65:J65"/>
    <mergeCell ref="A66:A71"/>
    <mergeCell ref="A72:A77"/>
    <mergeCell ref="A78:A83"/>
    <mergeCell ref="A84:A89"/>
    <mergeCell ref="A58:B58"/>
    <mergeCell ref="A59:B59"/>
    <mergeCell ref="A60:B60"/>
    <mergeCell ref="A61:B61"/>
    <mergeCell ref="A62:B62"/>
    <mergeCell ref="A63:B63"/>
    <mergeCell ref="A51:B51"/>
    <mergeCell ref="A52:B52"/>
    <mergeCell ref="A53:J53"/>
    <mergeCell ref="A54:B54"/>
    <mergeCell ref="A56:B56"/>
    <mergeCell ref="A57:J57"/>
    <mergeCell ref="A45:B45"/>
    <mergeCell ref="A46:B46"/>
    <mergeCell ref="A47:B47"/>
    <mergeCell ref="A48:J48"/>
    <mergeCell ref="A49:B49"/>
    <mergeCell ref="A50:B50"/>
    <mergeCell ref="A37:A38"/>
    <mergeCell ref="A39:A40"/>
    <mergeCell ref="A41:B41"/>
    <mergeCell ref="A42:B42"/>
    <mergeCell ref="A43:J43"/>
    <mergeCell ref="A44:B44"/>
    <mergeCell ref="A27:J27"/>
    <mergeCell ref="A29:A30"/>
    <mergeCell ref="B29:B30"/>
    <mergeCell ref="A31:A32"/>
    <mergeCell ref="A33:A34"/>
    <mergeCell ref="A35:A36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7:B7"/>
    <mergeCell ref="A8:J8"/>
    <mergeCell ref="A9:B9"/>
    <mergeCell ref="A10:J10"/>
    <mergeCell ref="A11:B11"/>
    <mergeCell ref="A12:B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/>
  <dimension ref="A1:J263"/>
  <sheetViews>
    <sheetView workbookViewId="0">
      <pane xSplit="2" ySplit="8" topLeftCell="D116" activePane="bottomRight" state="frozen"/>
      <selection pane="topRight" activeCell="C1" sqref="C1"/>
      <selection pane="bottomLeft" activeCell="A9" sqref="A9"/>
      <selection pane="bottomRight" activeCell="J1" sqref="J1:J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9" width="19.109375" customWidth="1"/>
    <col min="10" max="10" width="21.44140625" bestFit="1" customWidth="1"/>
  </cols>
  <sheetData>
    <row r="1" spans="1:10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21"/>
    </row>
    <row r="2" spans="1:10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3"/>
    </row>
    <row r="3" spans="1:10" ht="18" thickBot="1" x14ac:dyDescent="0.35">
      <c r="A3" s="89" t="s">
        <v>217</v>
      </c>
      <c r="B3" s="90"/>
      <c r="C3" s="90"/>
      <c r="D3" s="90"/>
      <c r="E3" s="90"/>
      <c r="F3" s="90"/>
      <c r="G3" s="90"/>
      <c r="H3" s="90"/>
      <c r="I3" s="90"/>
      <c r="J3" s="91"/>
    </row>
    <row r="4" spans="1:10" ht="18" thickBot="1" x14ac:dyDescent="0.35">
      <c r="A4" s="94" t="s">
        <v>226</v>
      </c>
      <c r="B4" s="124"/>
      <c r="C4" s="124"/>
      <c r="D4" s="124"/>
      <c r="E4" s="124"/>
      <c r="F4" s="124"/>
      <c r="G4" s="124"/>
      <c r="H4" s="124"/>
      <c r="I4" s="124"/>
      <c r="J4" s="125"/>
    </row>
    <row r="5" spans="1:10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126"/>
    </row>
    <row r="6" spans="1:10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9"/>
    </row>
    <row r="7" spans="1:10" ht="16.2" thickBot="1" x14ac:dyDescent="0.35">
      <c r="A7" s="589" t="s">
        <v>174</v>
      </c>
      <c r="B7" s="590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60" t="s">
        <v>223</v>
      </c>
      <c r="I7" s="60" t="s">
        <v>224</v>
      </c>
      <c r="J7" s="59" t="s">
        <v>160</v>
      </c>
    </row>
    <row r="8" spans="1:10" ht="15" thickBot="1" x14ac:dyDescent="0.35">
      <c r="A8" s="600" t="s">
        <v>159</v>
      </c>
      <c r="B8" s="601"/>
      <c r="C8" s="601"/>
      <c r="D8" s="601"/>
      <c r="E8" s="601"/>
      <c r="F8" s="601"/>
      <c r="G8" s="601"/>
      <c r="H8" s="601"/>
      <c r="I8" s="601"/>
      <c r="J8" s="602"/>
    </row>
    <row r="9" spans="1:10" ht="15.6" x14ac:dyDescent="0.3">
      <c r="A9" s="603" t="s">
        <v>176</v>
      </c>
      <c r="B9" s="604"/>
      <c r="C9" s="58" t="s">
        <v>152</v>
      </c>
      <c r="D9" s="57">
        <f>Bangula!J9+Bangula!K9+Bangula!L9</f>
        <v>34346</v>
      </c>
      <c r="E9" s="57">
        <f>Chikwawa!J9+Chikwawa!K9+Chikwawa!L9</f>
        <v>83196</v>
      </c>
      <c r="F9" s="57">
        <f>'Miseu Folo'!J9+'Miseu Folo'!K9+'Miseu Folo'!L9</f>
        <v>13001</v>
      </c>
      <c r="G9" s="57">
        <f>Nchalo!J9+Nchalo!K9+Nchalo!L9</f>
        <v>65787</v>
      </c>
      <c r="H9" s="57">
        <f>Nsanje!J9+Nsanje!K9+Nsanje!L9</f>
        <v>71770</v>
      </c>
      <c r="I9" s="57">
        <f>Ngabu!J9+Ngabu!K9+Ngabu!L9</f>
        <v>38399</v>
      </c>
      <c r="J9" s="56">
        <f>SUM(D9:I9)</f>
        <v>306499</v>
      </c>
    </row>
    <row r="10" spans="1:10" ht="15" thickBot="1" x14ac:dyDescent="0.35">
      <c r="A10" s="595" t="s">
        <v>177</v>
      </c>
      <c r="B10" s="596"/>
      <c r="C10" s="596"/>
      <c r="D10" s="685"/>
      <c r="E10" s="596"/>
      <c r="F10" s="596"/>
      <c r="G10" s="685"/>
      <c r="H10" s="685"/>
      <c r="I10" s="685"/>
      <c r="J10" s="597"/>
    </row>
    <row r="11" spans="1:10" ht="15.6" x14ac:dyDescent="0.3">
      <c r="A11" s="598" t="s">
        <v>157</v>
      </c>
      <c r="B11" s="599"/>
      <c r="C11" s="11" t="s">
        <v>152</v>
      </c>
      <c r="D11" s="26">
        <f>Bangula!J11+Bangula!K11+Bangula!L11</f>
        <v>16323</v>
      </c>
      <c r="E11" s="176">
        <f>Chikwawa!J11+Chikwawa!K11+Chikwawa!L11</f>
        <v>52779</v>
      </c>
      <c r="F11" s="176">
        <f>'Miseu Folo'!J11+'Miseu Folo'!K11+'Miseu Folo'!L11</f>
        <v>4335</v>
      </c>
      <c r="G11" s="26">
        <f>Nchalo!J11+Nchalo!K11+Nchalo!L11</f>
        <v>44033</v>
      </c>
      <c r="H11" s="26">
        <f>Nsanje!J11+Nsanje!K11+Nsanje!L11</f>
        <v>30756</v>
      </c>
      <c r="I11" s="26">
        <f>Ngabu!J11+Ngabu!K11+Ngabu!L11</f>
        <v>17934</v>
      </c>
      <c r="J11" s="55">
        <f>SUM(D11:I11)</f>
        <v>166160</v>
      </c>
    </row>
    <row r="12" spans="1:10" ht="15.6" x14ac:dyDescent="0.3">
      <c r="A12" s="598" t="s">
        <v>156</v>
      </c>
      <c r="B12" s="599"/>
      <c r="C12" s="11" t="s">
        <v>152</v>
      </c>
      <c r="D12" s="26">
        <f>Bangula!J12+Bangula!K12+Bangula!L12</f>
        <v>3818</v>
      </c>
      <c r="E12" s="26">
        <f>Chikwawa!J12+Chikwawa!K12+Chikwawa!L12</f>
        <v>2251</v>
      </c>
      <c r="F12" s="26">
        <f>'Miseu Folo'!J12+'Miseu Folo'!K12+'Miseu Folo'!L12</f>
        <v>0</v>
      </c>
      <c r="G12" s="26">
        <f>Nchalo!J12+Nchalo!K12+Nchalo!L12</f>
        <v>2246</v>
      </c>
      <c r="H12" s="26">
        <f>Nsanje!J12+Nsanje!K12+Nsanje!L12</f>
        <v>2466</v>
      </c>
      <c r="I12" s="26">
        <f>Ngabu!J12+Ngabu!K12+Ngabu!L12</f>
        <v>3493</v>
      </c>
      <c r="J12" s="55">
        <f>SUM(D12:I12)</f>
        <v>14274</v>
      </c>
    </row>
    <row r="13" spans="1:10" ht="15.6" x14ac:dyDescent="0.3">
      <c r="A13" s="598" t="s">
        <v>155</v>
      </c>
      <c r="B13" s="599"/>
      <c r="C13" s="11" t="s">
        <v>152</v>
      </c>
      <c r="D13" s="26">
        <f>Bangula!J13+Bangula!K13+Bangula!L13</f>
        <v>271</v>
      </c>
      <c r="E13" s="26">
        <f>Chikwawa!J13+Chikwawa!K13+Chikwawa!L13</f>
        <v>1453</v>
      </c>
      <c r="F13" s="26">
        <f>'Miseu Folo'!J13+'Miseu Folo'!K13+'Miseu Folo'!L13</f>
        <v>11</v>
      </c>
      <c r="G13" s="26">
        <f>Nchalo!J13+Nchalo!K13+Nchalo!L13</f>
        <v>300</v>
      </c>
      <c r="H13" s="26">
        <f>Nsanje!J13+Nsanje!K13+Nsanje!L13</f>
        <v>250</v>
      </c>
      <c r="I13" s="26">
        <f>Ngabu!J13+Ngabu!K13+Ngabu!L13</f>
        <v>537</v>
      </c>
      <c r="J13" s="55">
        <f>SUM(D13:I13)</f>
        <v>2822</v>
      </c>
    </row>
    <row r="14" spans="1:10" ht="15.6" x14ac:dyDescent="0.3">
      <c r="A14" s="591" t="s">
        <v>154</v>
      </c>
      <c r="B14" s="592"/>
      <c r="C14" s="11" t="s">
        <v>152</v>
      </c>
      <c r="D14" s="26">
        <f>Bangula!J14+Bangula!K14+Bangula!L14</f>
        <v>0</v>
      </c>
      <c r="E14" s="4">
        <f>Chikwawa!J14+Chikwawa!K14+Chikwawa!L14</f>
        <v>485</v>
      </c>
      <c r="F14" s="26">
        <f>'Miseu Folo'!J14+'Miseu Folo'!K14+'Miseu Folo'!L14</f>
        <v>23</v>
      </c>
      <c r="G14" s="26">
        <f>Nchalo!J14+Nchalo!K14+Nchalo!L14</f>
        <v>758</v>
      </c>
      <c r="H14" s="26">
        <f>Nsanje!J14+Nsanje!K14+Nsanje!L14</f>
        <v>362</v>
      </c>
      <c r="I14" s="26">
        <f>Ngabu!J14+Ngabu!K14+Ngabu!L14</f>
        <v>219</v>
      </c>
      <c r="J14" s="55">
        <f>SUM(D14:I14)</f>
        <v>1847</v>
      </c>
    </row>
    <row r="15" spans="1:10" s="63" customFormat="1" ht="15.6" x14ac:dyDescent="0.3">
      <c r="A15" s="593" t="s">
        <v>158</v>
      </c>
      <c r="B15" s="594"/>
      <c r="C15" s="62" t="s">
        <v>152</v>
      </c>
      <c r="D15" s="34">
        <f t="shared" ref="D15:J15" si="0">SUM(D11:D14)</f>
        <v>20412</v>
      </c>
      <c r="E15" s="34">
        <f t="shared" si="0"/>
        <v>56968</v>
      </c>
      <c r="F15" s="34">
        <f t="shared" si="0"/>
        <v>4369</v>
      </c>
      <c r="G15" s="34">
        <f t="shared" si="0"/>
        <v>47337</v>
      </c>
      <c r="H15" s="34">
        <f t="shared" si="0"/>
        <v>33834</v>
      </c>
      <c r="I15" s="34">
        <f t="shared" si="0"/>
        <v>22183</v>
      </c>
      <c r="J15" s="55">
        <f t="shared" si="0"/>
        <v>185103</v>
      </c>
    </row>
    <row r="16" spans="1:10" s="2" customFormat="1" ht="15" thickBot="1" x14ac:dyDescent="0.35">
      <c r="A16" s="595" t="s">
        <v>178</v>
      </c>
      <c r="B16" s="596"/>
      <c r="C16" s="596"/>
      <c r="D16" s="596"/>
      <c r="E16" s="596"/>
      <c r="F16" s="596"/>
      <c r="G16" s="596"/>
      <c r="H16" s="596"/>
      <c r="I16" s="596"/>
      <c r="J16" s="597"/>
    </row>
    <row r="17" spans="1:10" s="2" customFormat="1" ht="15.6" x14ac:dyDescent="0.3">
      <c r="A17" s="598" t="s">
        <v>180</v>
      </c>
      <c r="B17" s="599"/>
      <c r="C17" s="11" t="s">
        <v>152</v>
      </c>
      <c r="D17" s="26">
        <f>Bangula!J17+Bangula!K17+Bangula!L17</f>
        <v>4026</v>
      </c>
      <c r="E17" s="176">
        <f>Chikwawa!J17+Chikwawa!K17+Chikwawa!L17</f>
        <v>5304</v>
      </c>
      <c r="F17" s="176">
        <f>'Miseu Folo'!J17+'Miseu Folo'!K17+'Miseu Folo'!L17</f>
        <v>2037.6</v>
      </c>
      <c r="G17" s="26">
        <f>Nchalo!J17+Nchalo!K17+Nchalo!L17</f>
        <v>0</v>
      </c>
      <c r="H17" s="26">
        <f>Nsanje!J17+Nsanje!K17+Nsanje!L17</f>
        <v>15257</v>
      </c>
      <c r="I17" s="26">
        <f>Ngabu!J17+Ngabu!K17+Ngabu!L17</f>
        <v>6654.2</v>
      </c>
      <c r="J17" s="55">
        <f>SUM(D17:I17)</f>
        <v>33278.799999999996</v>
      </c>
    </row>
    <row r="18" spans="1:10" s="2" customFormat="1" ht="15.6" x14ac:dyDescent="0.3">
      <c r="A18" s="598" t="s">
        <v>181</v>
      </c>
      <c r="B18" s="599"/>
      <c r="C18" s="11" t="s">
        <v>152</v>
      </c>
      <c r="D18" s="26">
        <f>Bangula!J18+Bangula!K18+Bangula!L18</f>
        <v>2</v>
      </c>
      <c r="E18" s="26">
        <f>Chikwawa!J18+Chikwawa!K18+Chikwawa!L18</f>
        <v>0</v>
      </c>
      <c r="F18" s="26">
        <f>'Miseu Folo'!J18+'Miseu Folo'!K18+'Miseu Folo'!L18</f>
        <v>0</v>
      </c>
      <c r="G18" s="26">
        <f>Nchalo!J18+Nchalo!K18+Nchalo!L18</f>
        <v>0</v>
      </c>
      <c r="H18" s="26">
        <f>Nsanje!J18+Nsanje!K18+Nsanje!L18</f>
        <v>0</v>
      </c>
      <c r="I18" s="26">
        <f>Ngabu!J18+Ngabu!K18+Ngabu!L18</f>
        <v>0</v>
      </c>
      <c r="J18" s="55">
        <f>SUM(D18:I18)</f>
        <v>2</v>
      </c>
    </row>
    <row r="19" spans="1:10" s="2" customFormat="1" ht="15.6" x14ac:dyDescent="0.3">
      <c r="A19" s="598" t="s">
        <v>182</v>
      </c>
      <c r="B19" s="599"/>
      <c r="C19" s="11" t="s">
        <v>152</v>
      </c>
      <c r="D19" s="26">
        <f>Bangula!J19+Bangula!K19+Bangula!L19</f>
        <v>1660</v>
      </c>
      <c r="E19" s="26">
        <f>Chikwawa!J19+Chikwawa!K19+Chikwawa!L19</f>
        <v>4700</v>
      </c>
      <c r="F19" s="26">
        <f>'Miseu Folo'!J19+'Miseu Folo'!K19+'Miseu Folo'!L19</f>
        <v>4510</v>
      </c>
      <c r="G19" s="26">
        <f>Nchalo!J19+Nchalo!K19+Nchalo!L19</f>
        <v>5406.1</v>
      </c>
      <c r="H19" s="26">
        <f>Nsanje!J19+Nsanje!K19+Nsanje!L19</f>
        <v>2862</v>
      </c>
      <c r="I19" s="26">
        <f>Ngabu!J19+Ngabu!K19+Ngabu!L19</f>
        <v>2401</v>
      </c>
      <c r="J19" s="55">
        <f>SUM(D19:I19)</f>
        <v>21539.1</v>
      </c>
    </row>
    <row r="20" spans="1:10" s="2" customFormat="1" ht="15.6" x14ac:dyDescent="0.3">
      <c r="A20" s="591" t="s">
        <v>183</v>
      </c>
      <c r="B20" s="592"/>
      <c r="C20" s="11" t="s">
        <v>152</v>
      </c>
      <c r="D20" s="26">
        <f>Bangula!J20+Bangula!K20+Bangula!L20</f>
        <v>1130</v>
      </c>
      <c r="E20" s="4">
        <f>Chikwawa!J20+Chikwawa!K20+Chikwawa!L20</f>
        <v>2217</v>
      </c>
      <c r="F20" s="26">
        <f>'Miseu Folo'!J20+'Miseu Folo'!K20+'Miseu Folo'!L20</f>
        <v>0</v>
      </c>
      <c r="G20" s="26">
        <f>Nchalo!J20+Nchalo!K20+Nchalo!L20</f>
        <v>0</v>
      </c>
      <c r="H20" s="26">
        <f>Nsanje!J20+Nsanje!K20+Nsanje!L20</f>
        <v>1329</v>
      </c>
      <c r="I20" s="26">
        <f>Ngabu!J20+Ngabu!K20+Ngabu!L20</f>
        <v>266</v>
      </c>
      <c r="J20" s="55">
        <f>SUM(D20:I20)</f>
        <v>4942</v>
      </c>
    </row>
    <row r="21" spans="1:10" s="73" customFormat="1" ht="15.6" x14ac:dyDescent="0.3">
      <c r="A21" s="593" t="s">
        <v>184</v>
      </c>
      <c r="B21" s="594"/>
      <c r="C21" s="62" t="s">
        <v>152</v>
      </c>
      <c r="D21" s="34">
        <f>SUM(D17:D20)</f>
        <v>6818</v>
      </c>
      <c r="E21" s="34">
        <f>SUM(E17:E20)</f>
        <v>12221</v>
      </c>
      <c r="F21" s="34">
        <f t="shared" ref="F21:J21" si="1">SUM(F17:F20)</f>
        <v>6547.6</v>
      </c>
      <c r="G21" s="34">
        <f t="shared" si="1"/>
        <v>5406.1</v>
      </c>
      <c r="H21" s="34">
        <f t="shared" si="1"/>
        <v>19448</v>
      </c>
      <c r="I21" s="34">
        <f t="shared" si="1"/>
        <v>9321.2000000000007</v>
      </c>
      <c r="J21" s="55">
        <f t="shared" si="1"/>
        <v>59761.899999999994</v>
      </c>
    </row>
    <row r="22" spans="1:10" s="2" customFormat="1" ht="15.6" x14ac:dyDescent="0.3">
      <c r="A22" s="75" t="s">
        <v>185</v>
      </c>
      <c r="B22" s="79"/>
      <c r="C22" s="11" t="s">
        <v>152</v>
      </c>
      <c r="D22" s="34">
        <f>D21+D15</f>
        <v>27230</v>
      </c>
      <c r="E22" s="34">
        <f t="shared" ref="E22:J22" si="2">E21+E15</f>
        <v>69189</v>
      </c>
      <c r="F22" s="34">
        <f t="shared" si="2"/>
        <v>10916.6</v>
      </c>
      <c r="G22" s="34">
        <f t="shared" si="2"/>
        <v>52743.1</v>
      </c>
      <c r="H22" s="34">
        <f t="shared" si="2"/>
        <v>53282</v>
      </c>
      <c r="I22" s="34">
        <f t="shared" si="2"/>
        <v>31504.2</v>
      </c>
      <c r="J22" s="55">
        <f t="shared" si="2"/>
        <v>244864.9</v>
      </c>
    </row>
    <row r="23" spans="1:10" x14ac:dyDescent="0.3">
      <c r="A23" s="595" t="s">
        <v>215</v>
      </c>
      <c r="B23" s="596"/>
      <c r="C23" s="596"/>
      <c r="D23" s="596"/>
      <c r="E23" s="596"/>
      <c r="F23" s="596"/>
      <c r="G23" s="596"/>
      <c r="H23" s="596"/>
      <c r="I23" s="596"/>
      <c r="J23" s="597"/>
    </row>
    <row r="24" spans="1:10" ht="15.6" x14ac:dyDescent="0.3">
      <c r="A24" s="610" t="s">
        <v>179</v>
      </c>
      <c r="B24" s="37" t="s">
        <v>153</v>
      </c>
      <c r="C24" s="5" t="s">
        <v>152</v>
      </c>
      <c r="D24" s="54">
        <f>D9-D22</f>
        <v>7116</v>
      </c>
      <c r="E24" s="54">
        <f t="shared" ref="E24:J24" si="3">E9-E22</f>
        <v>14007</v>
      </c>
      <c r="F24" s="54">
        <f t="shared" si="3"/>
        <v>2084.3999999999996</v>
      </c>
      <c r="G24" s="54">
        <f t="shared" si="3"/>
        <v>13043.900000000001</v>
      </c>
      <c r="H24" s="54">
        <f t="shared" si="3"/>
        <v>18488</v>
      </c>
      <c r="I24" s="54">
        <f t="shared" si="3"/>
        <v>6894.7999999999993</v>
      </c>
      <c r="J24" s="100">
        <f t="shared" si="3"/>
        <v>61634.100000000006</v>
      </c>
    </row>
    <row r="25" spans="1:10" ht="15.6" x14ac:dyDescent="0.3">
      <c r="A25" s="611"/>
      <c r="B25" s="53" t="s">
        <v>151</v>
      </c>
      <c r="C25" s="52" t="s">
        <v>6</v>
      </c>
      <c r="D25" s="51">
        <f t="shared" ref="D25:J25" si="4">D24/D9</f>
        <v>0.20718569848017238</v>
      </c>
      <c r="E25" s="51">
        <f t="shared" si="4"/>
        <v>0.16836145968556179</v>
      </c>
      <c r="F25" s="51">
        <f t="shared" si="4"/>
        <v>0.16032612875932617</v>
      </c>
      <c r="G25" s="51">
        <f t="shared" si="4"/>
        <v>0.1982747351300409</v>
      </c>
      <c r="H25" s="51">
        <f t="shared" si="4"/>
        <v>0.2576006688031211</v>
      </c>
      <c r="I25" s="51">
        <f t="shared" si="4"/>
        <v>0.17955675929060649</v>
      </c>
      <c r="J25" s="101">
        <f t="shared" si="4"/>
        <v>0.20109070502677009</v>
      </c>
    </row>
    <row r="26" spans="1:10" x14ac:dyDescent="0.3">
      <c r="A26" s="595" t="s">
        <v>150</v>
      </c>
      <c r="B26" s="596"/>
      <c r="C26" s="596"/>
      <c r="D26" s="596"/>
      <c r="E26" s="596"/>
      <c r="F26" s="596"/>
      <c r="G26" s="596"/>
      <c r="H26" s="596"/>
      <c r="I26" s="596"/>
      <c r="J26" s="597"/>
    </row>
    <row r="27" spans="1:10" x14ac:dyDescent="0.3">
      <c r="A27" s="671" t="s">
        <v>149</v>
      </c>
      <c r="B27" s="672"/>
      <c r="C27" s="672"/>
      <c r="D27" s="672"/>
      <c r="E27" s="672"/>
      <c r="F27" s="672"/>
      <c r="G27" s="672"/>
      <c r="H27" s="672"/>
      <c r="I27" s="672"/>
      <c r="J27" s="673"/>
    </row>
    <row r="28" spans="1:10" ht="15.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6"/>
    </row>
    <row r="29" spans="1:10" ht="15.6" x14ac:dyDescent="0.3">
      <c r="A29" s="587" t="s">
        <v>146</v>
      </c>
      <c r="B29" s="585">
        <v>3525.29</v>
      </c>
      <c r="C29" s="5" t="s">
        <v>140</v>
      </c>
      <c r="D29" s="26">
        <f>Bangula!J29+Bangula!K29+Bangula!L29</f>
        <v>50</v>
      </c>
      <c r="E29" s="4">
        <f>Chikwawa!J29+Chikwawa!K29+Chikwawa!L29</f>
        <v>92</v>
      </c>
      <c r="F29" s="4">
        <f>'Miseu Folo'!J29+'Miseu Folo'!K29+'Miseu Folo'!L29</f>
        <v>20.5</v>
      </c>
      <c r="G29" s="26">
        <f>Nchalo!J29+Nchalo!K29+Nchalo!L29</f>
        <v>59</v>
      </c>
      <c r="H29" s="26">
        <f>Nsanje!J29+Nsanje!K29+Nsanje!L29</f>
        <v>32.75</v>
      </c>
      <c r="I29" s="26">
        <f>Ngabu!J29+Ngabu!K29+Ngabu!L29</f>
        <v>51</v>
      </c>
      <c r="J29" s="45">
        <f>SUM(D29:I29)</f>
        <v>305.25</v>
      </c>
    </row>
    <row r="30" spans="1:10" ht="15.6" x14ac:dyDescent="0.3">
      <c r="A30" s="588"/>
      <c r="B30" s="586"/>
      <c r="C30" s="42" t="s">
        <v>139</v>
      </c>
      <c r="D30" s="15">
        <f t="shared" ref="D30:J30" si="5">D29/(D9/1000)</f>
        <v>1.4557735980900253</v>
      </c>
      <c r="E30" s="15">
        <f t="shared" si="5"/>
        <v>1.1058223953074666</v>
      </c>
      <c r="F30" s="15">
        <f t="shared" si="5"/>
        <v>1.576801784478117</v>
      </c>
      <c r="G30" s="15">
        <f t="shared" si="5"/>
        <v>0.89683372094790759</v>
      </c>
      <c r="H30" s="15">
        <f t="shared" si="5"/>
        <v>0.45631879615438209</v>
      </c>
      <c r="I30" s="15">
        <f t="shared" si="5"/>
        <v>1.3281595874892576</v>
      </c>
      <c r="J30" s="103">
        <f t="shared" si="5"/>
        <v>0.99592494592152003</v>
      </c>
    </row>
    <row r="31" spans="1:10" ht="15.6" x14ac:dyDescent="0.3">
      <c r="A31" s="605" t="s">
        <v>145</v>
      </c>
      <c r="B31" s="243"/>
      <c r="C31" s="5" t="s">
        <v>140</v>
      </c>
      <c r="D31" s="26">
        <f>Bangula!J31+Bangula!K31+Bangula!L31</f>
        <v>0</v>
      </c>
      <c r="E31" s="4">
        <f>Chikwawa!J31+Chikwawa!K31+Chikwawa!L31</f>
        <v>0</v>
      </c>
      <c r="F31" s="4">
        <f>'Miseu Folo'!J31+'Miseu Folo'!K31+'Miseu Folo'!L31</f>
        <v>0</v>
      </c>
      <c r="G31" s="26">
        <f>Nchalo!J31+Nchalo!K31+Nchalo!L31</f>
        <v>0</v>
      </c>
      <c r="H31" s="26">
        <f>Nsanje!J31+Nsanje!K31+Nsanje!L31</f>
        <v>0</v>
      </c>
      <c r="I31" s="26">
        <f>Ngabu!J31+Ngabu!K31+Ngabu!L31</f>
        <v>0</v>
      </c>
      <c r="J31" s="45">
        <f>SUM(D31:I31)</f>
        <v>0</v>
      </c>
    </row>
    <row r="32" spans="1:10" ht="15.6" x14ac:dyDescent="0.3">
      <c r="A32" s="606"/>
      <c r="B32" s="244">
        <v>1060.01</v>
      </c>
      <c r="C32" s="42" t="s">
        <v>139</v>
      </c>
      <c r="D32" s="15">
        <f t="shared" ref="D32:J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03">
        <f t="shared" si="6"/>
        <v>0</v>
      </c>
    </row>
    <row r="33" spans="1:10" ht="15.6" x14ac:dyDescent="0.3">
      <c r="A33" s="605" t="s">
        <v>144</v>
      </c>
      <c r="B33" s="243"/>
      <c r="C33" s="5" t="s">
        <v>140</v>
      </c>
      <c r="D33" s="26">
        <f>Bangula!J33+Bangula!K33+Bangula!L33</f>
        <v>0</v>
      </c>
      <c r="E33" s="4">
        <f>Chikwawa!J33+Chikwawa!K33+Chikwawa!L33</f>
        <v>0</v>
      </c>
      <c r="F33" s="4">
        <f>'Miseu Folo'!J33+'Miseu Folo'!K33+'Miseu Folo'!L33</f>
        <v>0</v>
      </c>
      <c r="G33" s="26">
        <f>Nchalo!J33+Nchalo!K33+Nchalo!L33</f>
        <v>0</v>
      </c>
      <c r="H33" s="26">
        <f>Nsanje!J33+Nsanje!K33+Nsanje!L33</f>
        <v>0</v>
      </c>
      <c r="I33" s="26">
        <f>Ngabu!J33+Ngabu!K33+Ngabu!L33</f>
        <v>0</v>
      </c>
      <c r="J33" s="45">
        <f>SUM(D33:I33)</f>
        <v>0</v>
      </c>
    </row>
    <row r="34" spans="1:10" ht="15.6" x14ac:dyDescent="0.3">
      <c r="A34" s="606"/>
      <c r="B34" s="244">
        <v>1228.29</v>
      </c>
      <c r="C34" s="42" t="s">
        <v>139</v>
      </c>
      <c r="D34" s="15">
        <f t="shared" ref="D34:J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03">
        <f t="shared" si="7"/>
        <v>0</v>
      </c>
    </row>
    <row r="35" spans="1:10" ht="15.6" x14ac:dyDescent="0.3">
      <c r="A35" s="605" t="s">
        <v>143</v>
      </c>
      <c r="B35" s="243"/>
      <c r="C35" s="5" t="s">
        <v>126</v>
      </c>
      <c r="D35" s="26">
        <f>Bangula!J35+Bangula!K35+Bangula!L35</f>
        <v>0</v>
      </c>
      <c r="E35" s="4">
        <f>Chikwawa!J35+Chikwawa!K35+Chikwawa!L35</f>
        <v>0</v>
      </c>
      <c r="F35" s="4">
        <f>'Miseu Folo'!J35+'Miseu Folo'!K35+'Miseu Folo'!L35</f>
        <v>0</v>
      </c>
      <c r="G35" s="26">
        <f>Nchalo!J35+Nchalo!K35+Nchalo!L35</f>
        <v>0</v>
      </c>
      <c r="H35" s="26">
        <f>Nsanje!J35+Nsanje!K35+Nsanje!L35</f>
        <v>0</v>
      </c>
      <c r="I35" s="26">
        <f>Ngabu!J35+Ngabu!K35+Ngabu!L35</f>
        <v>0</v>
      </c>
      <c r="J35" s="103"/>
    </row>
    <row r="36" spans="1:10" ht="15.6" x14ac:dyDescent="0.3">
      <c r="A36" s="606"/>
      <c r="B36" s="244">
        <v>3726.73</v>
      </c>
      <c r="C36" s="5" t="s">
        <v>142</v>
      </c>
      <c r="D36" s="26"/>
      <c r="E36" s="15"/>
      <c r="F36" s="15"/>
      <c r="G36" s="13"/>
      <c r="H36" s="13"/>
      <c r="I36" s="13"/>
      <c r="J36" s="103"/>
    </row>
    <row r="37" spans="1:10" ht="15.6" x14ac:dyDescent="0.3">
      <c r="A37" s="605" t="s">
        <v>186</v>
      </c>
      <c r="B37" s="243"/>
      <c r="C37" s="5" t="s">
        <v>126</v>
      </c>
      <c r="D37" s="26">
        <f>Bangula!J37+Bangula!K37+Bangula!L37</f>
        <v>0</v>
      </c>
      <c r="E37" s="4">
        <f>Chikwawa!J37+Chikwawa!K37+Chikwawa!L37</f>
        <v>0</v>
      </c>
      <c r="F37" s="4">
        <f>'Miseu Folo'!J37+'Miseu Folo'!K37+'Miseu Folo'!L37</f>
        <v>0</v>
      </c>
      <c r="G37" s="26">
        <f>Nchalo!J37+Nchalo!K37+Nchalo!L37</f>
        <v>0</v>
      </c>
      <c r="H37" s="26">
        <f>Nsanje!J37+Nsanje!K37+Nsanje!L37</f>
        <v>0</v>
      </c>
      <c r="I37" s="26">
        <f>Ngabu!J37+Ngabu!K37+Ngabu!L37</f>
        <v>0</v>
      </c>
      <c r="J37" s="45">
        <f>SUM(D37:I37)</f>
        <v>0</v>
      </c>
    </row>
    <row r="38" spans="1:10" ht="15.6" x14ac:dyDescent="0.3">
      <c r="A38" s="606"/>
      <c r="B38" s="244">
        <v>3951.59</v>
      </c>
      <c r="C38" s="5" t="s">
        <v>142</v>
      </c>
      <c r="D38" s="15">
        <f t="shared" ref="D38:J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5">
        <f t="shared" si="8"/>
        <v>0</v>
      </c>
      <c r="I38" s="15">
        <f t="shared" si="8"/>
        <v>0</v>
      </c>
      <c r="J38" s="103">
        <f t="shared" si="8"/>
        <v>0</v>
      </c>
    </row>
    <row r="39" spans="1:10" ht="15.6" x14ac:dyDescent="0.3">
      <c r="A39" s="605" t="s">
        <v>141</v>
      </c>
      <c r="B39" s="243"/>
      <c r="C39" s="5" t="s">
        <v>140</v>
      </c>
      <c r="D39" s="26">
        <f>Bangula!J39+Bangula!K39+Bangula!L39</f>
        <v>0</v>
      </c>
      <c r="E39" s="4">
        <f>Chikwawa!J39+Chikwawa!K39+Chikwawa!L39</f>
        <v>0</v>
      </c>
      <c r="F39" s="4">
        <f>'Miseu Folo'!J39+'Miseu Folo'!K39+'Miseu Folo'!L39</f>
        <v>0</v>
      </c>
      <c r="G39" s="26">
        <f>Nchalo!J39+Nchalo!K39+Nchalo!L39</f>
        <v>0</v>
      </c>
      <c r="H39" s="26">
        <f>Nsanje!J39+Nsanje!K39+Nsanje!L39</f>
        <v>0</v>
      </c>
      <c r="I39" s="26">
        <f>Ngabu!J39+Ngabu!K39+Ngabu!L39</f>
        <v>0</v>
      </c>
      <c r="J39" s="45">
        <f>SUM(D39:I39)</f>
        <v>0</v>
      </c>
    </row>
    <row r="40" spans="1:10" ht="15.6" x14ac:dyDescent="0.3">
      <c r="A40" s="606"/>
      <c r="B40" s="244">
        <v>1950</v>
      </c>
      <c r="C40" s="42" t="s">
        <v>139</v>
      </c>
      <c r="D40" s="15">
        <f t="shared" ref="D40:J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03">
        <f t="shared" si="9"/>
        <v>0</v>
      </c>
    </row>
    <row r="41" spans="1:10" ht="15.6" x14ac:dyDescent="0.3">
      <c r="A41" s="591" t="s">
        <v>138</v>
      </c>
      <c r="B41" s="592"/>
      <c r="C41" s="11" t="s">
        <v>31</v>
      </c>
      <c r="D41" s="41">
        <f>(D29*$B29)+(D31*$B31)+(D33*$B33)+(D35*$B35)+(D37*$B37)+(D39*$B39)</f>
        <v>176264.5</v>
      </c>
      <c r="E41" s="41">
        <f t="shared" ref="E41:I41" si="10">(E29*$B29)+(E31*$B31)+(E33*$B33)+(E35*$B35)+(E37*$B37)+(E39*$B39)</f>
        <v>324326.68</v>
      </c>
      <c r="F41" s="41">
        <f t="shared" si="10"/>
        <v>72268.444999999992</v>
      </c>
      <c r="G41" s="41">
        <f t="shared" si="10"/>
        <v>207992.11</v>
      </c>
      <c r="H41" s="41">
        <f t="shared" si="10"/>
        <v>115453.2475</v>
      </c>
      <c r="I41" s="41">
        <f t="shared" si="10"/>
        <v>179789.79</v>
      </c>
      <c r="J41" s="39">
        <f>SUM(D41:I41)</f>
        <v>1076094.7725</v>
      </c>
    </row>
    <row r="42" spans="1:10" ht="15.6" x14ac:dyDescent="0.3">
      <c r="A42" s="615" t="s">
        <v>137</v>
      </c>
      <c r="B42" s="616"/>
      <c r="C42" s="42" t="s">
        <v>115</v>
      </c>
      <c r="D42" s="15">
        <f t="shared" ref="D42:J42" si="11">D41/D9</f>
        <v>5.1320241076107846</v>
      </c>
      <c r="E42" s="15">
        <f t="shared" si="11"/>
        <v>3.8983446319534591</v>
      </c>
      <c r="F42" s="15">
        <f t="shared" si="11"/>
        <v>5.5586835628028606</v>
      </c>
      <c r="G42" s="15">
        <f t="shared" si="11"/>
        <v>3.1615989481204489</v>
      </c>
      <c r="H42" s="15">
        <f t="shared" si="11"/>
        <v>1.6086560888950814</v>
      </c>
      <c r="I42" s="15">
        <f t="shared" si="11"/>
        <v>4.6821477121800053</v>
      </c>
      <c r="J42" s="44">
        <f t="shared" si="11"/>
        <v>3.5109242526076754</v>
      </c>
    </row>
    <row r="43" spans="1:10" ht="15" thickBot="1" x14ac:dyDescent="0.35">
      <c r="A43" s="617" t="s">
        <v>136</v>
      </c>
      <c r="B43" s="618"/>
      <c r="C43" s="618"/>
      <c r="D43" s="618"/>
      <c r="E43" s="618"/>
      <c r="F43" s="618"/>
      <c r="G43" s="618"/>
      <c r="H43" s="618"/>
      <c r="I43" s="618"/>
      <c r="J43" s="619"/>
    </row>
    <row r="44" spans="1:10" ht="15.6" x14ac:dyDescent="0.3">
      <c r="A44" s="591" t="s">
        <v>135</v>
      </c>
      <c r="B44" s="592"/>
      <c r="C44" s="11" t="s">
        <v>134</v>
      </c>
      <c r="D44" s="26">
        <f>Bangula!J44+Bangula!K44+Bangula!L44</f>
        <v>13610.83</v>
      </c>
      <c r="E44" s="176">
        <f>Chikwawa!J44+Chikwawa!K44+Chikwawa!L44</f>
        <v>48244</v>
      </c>
      <c r="F44" s="4">
        <f>'Miseu Folo'!J44+'Miseu Folo'!K44+'Miseu Folo'!L44</f>
        <v>3938</v>
      </c>
      <c r="G44" s="26">
        <f>Nchalo!J44+Nchalo!K44+Nchalo!L44</f>
        <v>23841</v>
      </c>
      <c r="H44" s="26">
        <f>Nsanje!J44+Nsanje!K44+Nsanje!L44</f>
        <v>41342</v>
      </c>
      <c r="I44" s="26">
        <f>Ngabu!J44+Ngabu!K44+Ngabu!L44</f>
        <v>30983</v>
      </c>
      <c r="J44" s="39">
        <f>SUM(D44:I44)</f>
        <v>161958.83000000002</v>
      </c>
    </row>
    <row r="45" spans="1:10" ht="15.6" x14ac:dyDescent="0.3">
      <c r="A45" s="615" t="s">
        <v>133</v>
      </c>
      <c r="B45" s="616"/>
      <c r="C45" s="42" t="s">
        <v>132</v>
      </c>
      <c r="D45" s="15">
        <f t="shared" ref="D45:J45" si="12">D44/D9</f>
        <v>0.39628573924183313</v>
      </c>
      <c r="E45" s="15">
        <f t="shared" si="12"/>
        <v>0.57988364825231986</v>
      </c>
      <c r="F45" s="15">
        <f t="shared" si="12"/>
        <v>0.30289977694023534</v>
      </c>
      <c r="G45" s="15">
        <f t="shared" si="12"/>
        <v>0.36239682612066215</v>
      </c>
      <c r="H45" s="15">
        <f t="shared" si="12"/>
        <v>0.57603455482792254</v>
      </c>
      <c r="I45" s="15">
        <f t="shared" si="12"/>
        <v>0.80686997057215026</v>
      </c>
      <c r="J45" s="103">
        <f t="shared" si="12"/>
        <v>0.52841552500986955</v>
      </c>
    </row>
    <row r="46" spans="1:10" ht="15.6" x14ac:dyDescent="0.3">
      <c r="A46" s="620" t="s">
        <v>131</v>
      </c>
      <c r="B46" s="621"/>
      <c r="C46" s="5" t="s">
        <v>31</v>
      </c>
      <c r="D46" s="26">
        <f>Bangula!J46+Bangula!K46+Bangula!L46</f>
        <v>1937802.5787449998</v>
      </c>
      <c r="E46" s="4">
        <f>Chikwawa!J46+Chikwawa!K46+Chikwawa!L46</f>
        <v>6743206.8660000004</v>
      </c>
      <c r="F46" s="4">
        <f>'Miseu Folo'!J46+'Miseu Folo'!K46+'Miseu Folo'!L46</f>
        <v>595682.90699999989</v>
      </c>
      <c r="G46" s="26">
        <f>Nchalo!J46+Nchalo!K46+Nchalo!L46</f>
        <v>3357254.0115</v>
      </c>
      <c r="H46" s="26">
        <f>Nsanje!J46+Nsanje!K46+Nsanje!L46</f>
        <v>5961321.9154999992</v>
      </c>
      <c r="I46" s="26">
        <f>Ngabu!J46+Ngabu!K46+Ngabu!L46</f>
        <v>4348217.2245000005</v>
      </c>
      <c r="J46" s="39">
        <f>SUM(D46:I46)</f>
        <v>22943485.503245</v>
      </c>
    </row>
    <row r="47" spans="1:10" s="2" customFormat="1" ht="15.6" x14ac:dyDescent="0.3">
      <c r="A47" s="591" t="s">
        <v>130</v>
      </c>
      <c r="B47" s="592"/>
      <c r="C47" s="11" t="s">
        <v>115</v>
      </c>
      <c r="D47" s="15">
        <f t="shared" ref="D47:J47" si="13">D46/D9</f>
        <v>56.420036648954749</v>
      </c>
      <c r="E47" s="15">
        <f t="shared" si="13"/>
        <v>81.052056180585609</v>
      </c>
      <c r="F47" s="15">
        <f t="shared" si="13"/>
        <v>45.81823759710791</v>
      </c>
      <c r="G47" s="15">
        <f t="shared" si="13"/>
        <v>51.032179784759904</v>
      </c>
      <c r="H47" s="15">
        <f t="shared" si="13"/>
        <v>83.061472976173874</v>
      </c>
      <c r="I47" s="15">
        <f t="shared" si="13"/>
        <v>113.23777245501186</v>
      </c>
      <c r="J47" s="103">
        <f t="shared" si="13"/>
        <v>74.856640652155477</v>
      </c>
    </row>
    <row r="48" spans="1:10" ht="15" thickBot="1" x14ac:dyDescent="0.35">
      <c r="A48" s="617" t="s">
        <v>129</v>
      </c>
      <c r="B48" s="618"/>
      <c r="C48" s="618"/>
      <c r="D48" s="618"/>
      <c r="E48" s="618"/>
      <c r="F48" s="618"/>
      <c r="G48" s="618"/>
      <c r="H48" s="618"/>
      <c r="I48" s="618"/>
      <c r="J48" s="619"/>
    </row>
    <row r="49" spans="1:10" ht="15.6" x14ac:dyDescent="0.3">
      <c r="A49" s="591" t="s">
        <v>128</v>
      </c>
      <c r="B49" s="592"/>
      <c r="C49" s="5" t="s">
        <v>127</v>
      </c>
      <c r="D49" s="26">
        <f>Bangula!J49+Bangula!K49+Bangula!L49</f>
        <v>895</v>
      </c>
      <c r="E49" s="176">
        <f>Chikwawa!J49+Chikwawa!K49+Chikwawa!L49</f>
        <v>7136</v>
      </c>
      <c r="F49" s="176">
        <f>'Miseu Folo'!J49+'Miseu Folo'!K49+'Miseu Folo'!L49</f>
        <v>0</v>
      </c>
      <c r="G49" s="26">
        <f>Nchalo!J49+Nchalo!K49+Nchalo!L49</f>
        <v>0</v>
      </c>
      <c r="H49" s="26">
        <f>Nsanje!J49+Nsanje!K49+Nsanje!L49</f>
        <v>6243</v>
      </c>
      <c r="I49" s="26">
        <f>Ngabu!J49+Ngabu!K49+Ngabu!L49</f>
        <v>1193</v>
      </c>
      <c r="J49" s="39">
        <f>SUM(D49:I49)</f>
        <v>15467</v>
      </c>
    </row>
    <row r="50" spans="1:10" ht="15.6" x14ac:dyDescent="0.3">
      <c r="A50" s="591" t="s">
        <v>187</v>
      </c>
      <c r="B50" s="592"/>
      <c r="C50" s="5" t="s">
        <v>126</v>
      </c>
      <c r="D50" s="26">
        <f>Bangula!J50+Bangula!K50+Bangula!L50</f>
        <v>63.089999999999996</v>
      </c>
      <c r="E50" s="26">
        <f>Chikwawa!J50+Chikwawa!K50+Chikwawa!L50</f>
        <v>1270</v>
      </c>
      <c r="F50" s="26">
        <f>'Miseu Folo'!J50+'Miseu Folo'!K50+'Miseu Folo'!L50</f>
        <v>0</v>
      </c>
      <c r="G50" s="26">
        <f>Nchalo!J50+Nchalo!K50+Nchalo!L50</f>
        <v>0</v>
      </c>
      <c r="H50" s="26">
        <f>Nsanje!J50+Nsanje!K50+Nsanje!L50</f>
        <v>723</v>
      </c>
      <c r="I50" s="26">
        <f>Ngabu!J50+Ngabu!K50+Ngabu!L50</f>
        <v>350</v>
      </c>
      <c r="J50" s="39">
        <f>SUM(D50:I50)</f>
        <v>2406.09</v>
      </c>
    </row>
    <row r="51" spans="1:10" ht="15.6" x14ac:dyDescent="0.3">
      <c r="A51" s="620" t="s">
        <v>125</v>
      </c>
      <c r="B51" s="621"/>
      <c r="C51" s="5" t="s">
        <v>31</v>
      </c>
      <c r="D51" s="26">
        <f>Bangula!J51+Bangula!K51+Bangula!L51</f>
        <v>92742.3</v>
      </c>
      <c r="E51" s="26">
        <f>Chikwawa!J51+Chikwawa!K51+Chikwawa!L51</f>
        <v>2438400</v>
      </c>
      <c r="F51" s="26">
        <f>'Miseu Folo'!J51+'Miseu Folo'!K51+'Miseu Folo'!L51</f>
        <v>0</v>
      </c>
      <c r="G51" s="26">
        <f>Nchalo!J51+Nchalo!K51+Nchalo!L51</f>
        <v>0</v>
      </c>
      <c r="H51" s="26">
        <f>Nsanje!J51+Nsanje!K51+Nsanje!L51</f>
        <v>1388160</v>
      </c>
      <c r="I51" s="26">
        <f>Ngabu!J51+Ngabu!K51+Ngabu!L51</f>
        <v>672000</v>
      </c>
      <c r="J51" s="40">
        <f>SUM(D51:I51)</f>
        <v>4591302.3</v>
      </c>
    </row>
    <row r="52" spans="1:10" ht="15.6" x14ac:dyDescent="0.3">
      <c r="A52" s="591" t="s">
        <v>124</v>
      </c>
      <c r="B52" s="592"/>
      <c r="C52" s="5" t="s">
        <v>31</v>
      </c>
      <c r="D52" s="26">
        <f>Bangula!J52+Bangula!K52+Bangula!L52</f>
        <v>0</v>
      </c>
      <c r="E52" s="4">
        <f>Chikwawa!J52+Chikwawa!K52+Chikwawa!L52</f>
        <v>0</v>
      </c>
      <c r="F52" s="26">
        <f>'Miseu Folo'!J52+'Miseu Folo'!K52+'Miseu Folo'!L52</f>
        <v>0</v>
      </c>
      <c r="G52" s="26">
        <f>Nchalo!J52+Nchalo!K52+Nchalo!L52</f>
        <v>0</v>
      </c>
      <c r="H52" s="26">
        <f>Nsanje!J52+Nsanje!K52+Nsanje!L52</f>
        <v>0</v>
      </c>
      <c r="I52" s="26">
        <f>Ngabu!J52+Ngabu!K52+Ngabu!L52</f>
        <v>0</v>
      </c>
      <c r="J52" s="40">
        <f>SUM(D52:I52)</f>
        <v>0</v>
      </c>
    </row>
    <row r="53" spans="1:10" ht="15" thickBot="1" x14ac:dyDescent="0.35">
      <c r="A53" s="617" t="s">
        <v>123</v>
      </c>
      <c r="B53" s="618"/>
      <c r="C53" s="618"/>
      <c r="D53" s="618"/>
      <c r="E53" s="618"/>
      <c r="F53" s="618"/>
      <c r="G53" s="618"/>
      <c r="H53" s="618"/>
      <c r="I53" s="618"/>
      <c r="J53" s="619"/>
    </row>
    <row r="54" spans="1:10" ht="15.6" x14ac:dyDescent="0.3">
      <c r="A54" s="591" t="s">
        <v>122</v>
      </c>
      <c r="B54" s="592"/>
      <c r="C54" s="11" t="s">
        <v>18</v>
      </c>
      <c r="D54" s="26">
        <f>Bangula!J54+Bangula!K54+Bangula!L54</f>
        <v>1673339.4920000001</v>
      </c>
      <c r="E54" s="179">
        <f>Chikwawa!J54+Chikwawa!K54+Chikwawa!L54</f>
        <v>0</v>
      </c>
      <c r="F54" s="179">
        <f>'Miseu Folo'!J54+'Miseu Folo'!K54+'Miseu Folo'!L54</f>
        <v>2876305.608</v>
      </c>
      <c r="G54" s="26">
        <f>Nchalo!J54+Nchalo!K54+Nchalo!L54</f>
        <v>3045904.1359999999</v>
      </c>
      <c r="H54" s="26">
        <f>Nsanje!J54+Nsanje!K54+Nsanje!L54</f>
        <v>6651592.1799999997</v>
      </c>
      <c r="I54" s="26">
        <f>Ngabu!J54+Ngabu!K54+Ngabu!L54</f>
        <v>3331618.1359999999</v>
      </c>
      <c r="J54" s="39">
        <f>SUM(D54:I54)</f>
        <v>17578759.552000001</v>
      </c>
    </row>
    <row r="55" spans="1:10" ht="15.6" x14ac:dyDescent="0.3">
      <c r="A55" s="78" t="s">
        <v>121</v>
      </c>
      <c r="B55" s="79"/>
      <c r="C55" s="11" t="s">
        <v>18</v>
      </c>
      <c r="D55" s="26">
        <f>Bangula!J55+Bangula!K55+Bangula!L55</f>
        <v>330950.26</v>
      </c>
      <c r="E55" s="26">
        <f>Chikwawa!J55+Chikwawa!K55+Chikwawa!L55</f>
        <v>0</v>
      </c>
      <c r="F55" s="26">
        <f>'Miseu Folo'!J55+'Miseu Folo'!K55+'Miseu Folo'!L55</f>
        <v>0</v>
      </c>
      <c r="G55" s="26">
        <f>Nchalo!J55+Nchalo!K55+Nchalo!L55</f>
        <v>348077.6</v>
      </c>
      <c r="H55" s="26">
        <f>Nsanje!J55+Nsanje!K55+Nsanje!L55</f>
        <v>730356.83719599363</v>
      </c>
      <c r="I55" s="26">
        <f>Ngabu!J55+Ngabu!K55+Ngabu!L55</f>
        <v>482308.8</v>
      </c>
      <c r="J55" s="39">
        <f>SUM(D55:I55)</f>
        <v>1891693.4971959938</v>
      </c>
    </row>
    <row r="56" spans="1:10" ht="15.6" x14ac:dyDescent="0.3">
      <c r="A56" s="591" t="s">
        <v>120</v>
      </c>
      <c r="B56" s="592"/>
      <c r="C56" s="5" t="s">
        <v>18</v>
      </c>
      <c r="D56" s="26">
        <f>Bangula!J56+Bangula!K56+Bangula!L56</f>
        <v>0</v>
      </c>
      <c r="E56" s="4">
        <f>Chikwawa!J56+Chikwawa!K56+Chikwawa!L56</f>
        <v>0</v>
      </c>
      <c r="F56" s="4">
        <f>'Miseu Folo'!J56+'Miseu Folo'!K56+'Miseu Folo'!L56</f>
        <v>0</v>
      </c>
      <c r="G56" s="26">
        <f>Nchalo!J56+Nchalo!K56+Nchalo!L56</f>
        <v>0</v>
      </c>
      <c r="H56" s="26">
        <f>Nsanje!J56+Nsanje!K56+Nsanje!L56</f>
        <v>125.93027132674177</v>
      </c>
      <c r="I56" s="26">
        <f>Ngabu!J56+Ngabu!K56+Ngabu!L56</f>
        <v>0</v>
      </c>
      <c r="J56" s="39">
        <f>SUM(D56:I56)</f>
        <v>125.93027132674177</v>
      </c>
    </row>
    <row r="57" spans="1:10" x14ac:dyDescent="0.3">
      <c r="A57" s="617" t="s">
        <v>119</v>
      </c>
      <c r="B57" s="618"/>
      <c r="C57" s="618"/>
      <c r="D57" s="618"/>
      <c r="E57" s="618"/>
      <c r="F57" s="618"/>
      <c r="G57" s="618"/>
      <c r="H57" s="618"/>
      <c r="I57" s="618"/>
      <c r="J57" s="619"/>
    </row>
    <row r="58" spans="1:10" ht="15.6" x14ac:dyDescent="0.3">
      <c r="A58" s="620" t="s">
        <v>118</v>
      </c>
      <c r="B58" s="621"/>
      <c r="C58" s="5" t="s">
        <v>18</v>
      </c>
      <c r="D58" s="13">
        <f>D41+D46+D51+D52+D54+D55+D56</f>
        <v>4211099.1307450002</v>
      </c>
      <c r="E58" s="13">
        <f t="shared" ref="E58:I58" si="14">E41+E46+E51+E52+E54+E55+E56</f>
        <v>9505933.5460000001</v>
      </c>
      <c r="F58" s="13">
        <f t="shared" si="14"/>
        <v>3544256.96</v>
      </c>
      <c r="G58" s="13">
        <f t="shared" si="14"/>
        <v>6959227.8574999999</v>
      </c>
      <c r="H58" s="13">
        <f t="shared" si="14"/>
        <v>14847010.11046732</v>
      </c>
      <c r="I58" s="13">
        <f t="shared" si="14"/>
        <v>9013933.9505000003</v>
      </c>
      <c r="J58" s="64">
        <f>SUM(D58:I58)</f>
        <v>48081461.555212319</v>
      </c>
    </row>
    <row r="59" spans="1:10" ht="15.6" x14ac:dyDescent="0.3">
      <c r="A59" s="620" t="s">
        <v>117</v>
      </c>
      <c r="B59" s="621"/>
      <c r="C59" s="5" t="s">
        <v>115</v>
      </c>
      <c r="D59" s="15">
        <f t="shared" ref="D59:J59" si="15">D58/D9</f>
        <v>122.60813866956852</v>
      </c>
      <c r="E59" s="15">
        <f t="shared" si="15"/>
        <v>114.25950221164479</v>
      </c>
      <c r="F59" s="15">
        <f t="shared" si="15"/>
        <v>272.61418044765787</v>
      </c>
      <c r="G59" s="15">
        <f t="shared" si="15"/>
        <v>105.78424092145865</v>
      </c>
      <c r="H59" s="15">
        <f t="shared" si="15"/>
        <v>206.86930626260721</v>
      </c>
      <c r="I59" s="15">
        <f t="shared" si="15"/>
        <v>234.74397641865673</v>
      </c>
      <c r="J59" s="103">
        <f t="shared" si="15"/>
        <v>156.87314332253064</v>
      </c>
    </row>
    <row r="60" spans="1:10" ht="15.6" x14ac:dyDescent="0.3">
      <c r="A60" s="620" t="s">
        <v>116</v>
      </c>
      <c r="B60" s="621"/>
      <c r="C60" s="5" t="s">
        <v>115</v>
      </c>
      <c r="D60" s="15">
        <f>D58/D22</f>
        <v>154.64925195538009</v>
      </c>
      <c r="E60" s="15">
        <f t="shared" ref="E60:I60" si="16">E58/E22</f>
        <v>137.39082146005867</v>
      </c>
      <c r="F60" s="15">
        <f t="shared" si="16"/>
        <v>324.66674239231992</v>
      </c>
      <c r="G60" s="15">
        <f t="shared" si="16"/>
        <v>131.9457494440031</v>
      </c>
      <c r="H60" s="15">
        <f t="shared" si="16"/>
        <v>278.64963984961753</v>
      </c>
      <c r="I60" s="15">
        <f t="shared" si="16"/>
        <v>286.11848421797731</v>
      </c>
      <c r="J60" s="104">
        <f>J58/J22</f>
        <v>196.35914153156423</v>
      </c>
    </row>
    <row r="61" spans="1:10" ht="15.6" x14ac:dyDescent="0.3">
      <c r="A61" s="591" t="s">
        <v>114</v>
      </c>
      <c r="B61" s="592"/>
      <c r="C61" s="5" t="s">
        <v>3</v>
      </c>
      <c r="D61" s="26">
        <f>Bangula!J61+Bangula!K61+Bangula!L61</f>
        <v>6</v>
      </c>
      <c r="E61" s="4">
        <f>Chikwawa!J61+Chikwawa!K61+Chikwawa!L61</f>
        <v>24</v>
      </c>
      <c r="F61" s="4">
        <f>'Miseu Folo'!J61+'Miseu Folo'!K61+'Miseu Folo'!L61</f>
        <v>24</v>
      </c>
      <c r="G61" s="4">
        <f>Nchalo!J61+Nchalo!K61+Nchalo!L61</f>
        <v>18</v>
      </c>
      <c r="H61" s="4">
        <f>Nsanje!J61+Nsanje!K61+Nsanje!L61</f>
        <v>20</v>
      </c>
      <c r="I61" s="4">
        <f>Ngabu!J61+Ngabu!K61+Ngabu!L61</f>
        <v>21</v>
      </c>
      <c r="J61" s="9">
        <f>SUM(D61:I61)</f>
        <v>113</v>
      </c>
    </row>
    <row r="62" spans="1:10" ht="15.6" customHeight="1" x14ac:dyDescent="0.3">
      <c r="A62" s="620" t="s">
        <v>113</v>
      </c>
      <c r="B62" s="621"/>
      <c r="C62" s="5" t="s">
        <v>112</v>
      </c>
      <c r="D62" s="15">
        <f t="shared" ref="D62:J62" si="17">(D61*1000*31)/D9</f>
        <v>5.4154777848948932</v>
      </c>
      <c r="E62" s="15">
        <f t="shared" si="17"/>
        <v>8.9427376316169038</v>
      </c>
      <c r="F62" s="15">
        <f t="shared" si="17"/>
        <v>57.22636720252288</v>
      </c>
      <c r="G62" s="15">
        <f t="shared" si="17"/>
        <v>8.4819189201513971</v>
      </c>
      <c r="H62" s="15">
        <f t="shared" si="17"/>
        <v>8.6387069806325769</v>
      </c>
      <c r="I62" s="15">
        <f t="shared" si="17"/>
        <v>16.953566499127582</v>
      </c>
      <c r="J62" s="103">
        <f t="shared" si="17"/>
        <v>11.429074809379475</v>
      </c>
    </row>
    <row r="63" spans="1:10" ht="15.6" x14ac:dyDescent="0.3">
      <c r="A63" s="634" t="s">
        <v>111</v>
      </c>
      <c r="B63" s="635"/>
      <c r="C63" s="38" t="s">
        <v>3</v>
      </c>
      <c r="D63" s="26">
        <f>Bangula!J63+Bangula!K63+Bangula!L63</f>
        <v>8</v>
      </c>
      <c r="E63" s="4">
        <f>Chikwawa!J63+Chikwawa!K63+Chikwawa!L63</f>
        <v>20</v>
      </c>
      <c r="F63" s="4">
        <f>'Miseu Folo'!J63+'Miseu Folo'!K63+'Miseu Folo'!L63</f>
        <v>4</v>
      </c>
      <c r="G63" s="4">
        <f>Nchalo!J63+Nchalo!K63+Nchalo!L63</f>
        <v>18</v>
      </c>
      <c r="H63" s="4">
        <f>Nsanje!J63+Nsanje!K63+Nsanje!L63</f>
        <v>18</v>
      </c>
      <c r="I63" s="4">
        <f>Ngabu!J63+Ngabu!K63+Ngabu!L63</f>
        <v>18</v>
      </c>
      <c r="J63" s="9">
        <f>SUM(D63:I63)</f>
        <v>86</v>
      </c>
    </row>
    <row r="64" spans="1:10" x14ac:dyDescent="0.3">
      <c r="A64" s="674"/>
      <c r="B64" s="675"/>
      <c r="C64" s="675"/>
      <c r="D64" s="675"/>
      <c r="E64" s="675"/>
      <c r="F64" s="675"/>
      <c r="G64" s="675"/>
      <c r="H64" s="675"/>
      <c r="I64" s="675"/>
      <c r="J64" s="676"/>
    </row>
    <row r="65" spans="1:10" ht="14.4" customHeight="1" x14ac:dyDescent="0.3">
      <c r="A65" s="617" t="s">
        <v>110</v>
      </c>
      <c r="B65" s="618"/>
      <c r="C65" s="618"/>
      <c r="D65" s="618"/>
      <c r="E65" s="687"/>
      <c r="F65" s="687"/>
      <c r="G65" s="618"/>
      <c r="H65" s="618"/>
      <c r="I65" s="618"/>
      <c r="J65" s="619"/>
    </row>
    <row r="66" spans="1:10" ht="15.6" x14ac:dyDescent="0.3">
      <c r="A66" s="622" t="s">
        <v>109</v>
      </c>
      <c r="B66" s="37" t="s">
        <v>85</v>
      </c>
      <c r="C66" s="5" t="s">
        <v>3</v>
      </c>
      <c r="D66" s="26">
        <f>Bangula!J66</f>
        <v>24</v>
      </c>
      <c r="E66" s="26">
        <f>Chikwawa!J66</f>
        <v>285</v>
      </c>
      <c r="F66" s="26">
        <f>'Miseu Folo'!J66</f>
        <v>229</v>
      </c>
      <c r="G66" s="26">
        <f>Nchalo!J66</f>
        <v>40</v>
      </c>
      <c r="H66" s="26">
        <f>Nsanje!J66</f>
        <v>159</v>
      </c>
      <c r="I66" s="26">
        <f>Ngabu!J66</f>
        <v>86</v>
      </c>
      <c r="J66" s="35">
        <f>SUM(D66:I66)</f>
        <v>823</v>
      </c>
    </row>
    <row r="67" spans="1:10" ht="15.6" x14ac:dyDescent="0.3">
      <c r="A67" s="623"/>
      <c r="B67" s="24" t="s">
        <v>104</v>
      </c>
      <c r="C67" s="5" t="s">
        <v>3</v>
      </c>
      <c r="D67" s="26">
        <f>Bangula!J67+Bangula!K67+Bangula!L67</f>
        <v>19</v>
      </c>
      <c r="E67" s="26">
        <f>Chikwawa!J67+Chikwawa!K67+Chikwawa!L67</f>
        <v>31</v>
      </c>
      <c r="F67" s="26">
        <f>'Miseu Folo'!J67+'Miseu Folo'!K67+'Miseu Folo'!L67</f>
        <v>48</v>
      </c>
      <c r="G67" s="26">
        <f>Nchalo!J67+Nchalo!K67+Nchalo!L67</f>
        <v>29</v>
      </c>
      <c r="H67" s="26">
        <f>Nsanje!J67+Nsanje!K67+Nsanje!L67</f>
        <v>31</v>
      </c>
      <c r="I67" s="26">
        <f>Ngabu!J67+Ngabu!K67+Ngabu!L67</f>
        <v>6</v>
      </c>
      <c r="J67" s="35">
        <f>SUM(D67:I67)</f>
        <v>164</v>
      </c>
    </row>
    <row r="68" spans="1:10" ht="27" x14ac:dyDescent="0.3">
      <c r="A68" s="623"/>
      <c r="B68" s="24" t="s">
        <v>103</v>
      </c>
      <c r="C68" s="5" t="s">
        <v>3</v>
      </c>
      <c r="D68" s="26">
        <f>Bangula!J68+Bangula!K68+Bangula!L68</f>
        <v>18</v>
      </c>
      <c r="E68" s="26">
        <f>Chikwawa!J68+Chikwawa!K68+Chikwawa!L68</f>
        <v>48</v>
      </c>
      <c r="F68" s="26">
        <f>'Miseu Folo'!J68+'Miseu Folo'!K68+'Miseu Folo'!L68</f>
        <v>43</v>
      </c>
      <c r="G68" s="26">
        <f>Nchalo!J68+Nchalo!K68+Nchalo!L68</f>
        <v>20</v>
      </c>
      <c r="H68" s="26">
        <f>Nsanje!J68+Nsanje!K68+Nsanje!L68</f>
        <v>47</v>
      </c>
      <c r="I68" s="26">
        <f>Ngabu!J68+Ngabu!K68+Ngabu!L68</f>
        <v>19</v>
      </c>
      <c r="J68" s="35">
        <f>SUM(D68:I68)</f>
        <v>195</v>
      </c>
    </row>
    <row r="69" spans="1:10" s="2" customFormat="1" ht="27" x14ac:dyDescent="0.3">
      <c r="A69" s="623"/>
      <c r="B69" s="24" t="s">
        <v>102</v>
      </c>
      <c r="C69" s="11" t="s">
        <v>3</v>
      </c>
      <c r="D69" s="26">
        <f>Bangula!J69+Bangula!K69+Bangula!L69</f>
        <v>0</v>
      </c>
      <c r="E69" s="26">
        <f>Chikwawa!J69+Chikwawa!K69+Chikwawa!L69</f>
        <v>2</v>
      </c>
      <c r="F69" s="26">
        <f>'Miseu Folo'!J69+'Miseu Folo'!K69+'Miseu Folo'!L69</f>
        <v>0</v>
      </c>
      <c r="G69" s="26">
        <f>Nchalo!J69+Nchalo!K69+Nchalo!L69</f>
        <v>0</v>
      </c>
      <c r="H69" s="26">
        <f>Nsanje!J69+Nsanje!K69+Nsanje!L69</f>
        <v>0</v>
      </c>
      <c r="I69" s="26">
        <f>Ngabu!J69+Ngabu!K69+Ngabu!L69</f>
        <v>9</v>
      </c>
      <c r="J69" s="35">
        <f>SUM(D69:I69)</f>
        <v>11</v>
      </c>
    </row>
    <row r="70" spans="1:10" s="2" customFormat="1" ht="15.6" x14ac:dyDescent="0.3">
      <c r="A70" s="623"/>
      <c r="B70" s="24" t="s">
        <v>188</v>
      </c>
      <c r="C70" s="11" t="s">
        <v>3</v>
      </c>
      <c r="D70" s="4">
        <f>D68+D69</f>
        <v>18</v>
      </c>
      <c r="E70" s="26">
        <f t="shared" ref="E70:J70" si="18">E68+E69</f>
        <v>50</v>
      </c>
      <c r="F70" s="26">
        <f t="shared" si="18"/>
        <v>43</v>
      </c>
      <c r="G70" s="4">
        <f t="shared" si="18"/>
        <v>20</v>
      </c>
      <c r="H70" s="4">
        <f t="shared" si="18"/>
        <v>47</v>
      </c>
      <c r="I70" s="4">
        <f t="shared" si="18"/>
        <v>28</v>
      </c>
      <c r="J70" s="35">
        <f t="shared" si="18"/>
        <v>206</v>
      </c>
    </row>
    <row r="71" spans="1:10" ht="15.6" x14ac:dyDescent="0.3">
      <c r="A71" s="624"/>
      <c r="B71" s="37" t="s">
        <v>81</v>
      </c>
      <c r="C71" s="5" t="s">
        <v>3</v>
      </c>
      <c r="D71" s="26">
        <f>D66+D67-D70</f>
        <v>25</v>
      </c>
      <c r="E71" s="26">
        <f t="shared" ref="E71:I71" si="19">E66+E67-E70</f>
        <v>266</v>
      </c>
      <c r="F71" s="26">
        <f t="shared" si="19"/>
        <v>234</v>
      </c>
      <c r="G71" s="26">
        <f t="shared" si="19"/>
        <v>49</v>
      </c>
      <c r="H71" s="26">
        <f t="shared" si="19"/>
        <v>143</v>
      </c>
      <c r="I71" s="26">
        <f t="shared" si="19"/>
        <v>64</v>
      </c>
      <c r="J71" s="55">
        <f>J66+J67-J70</f>
        <v>781</v>
      </c>
    </row>
    <row r="72" spans="1:10" ht="15.6" x14ac:dyDescent="0.3">
      <c r="A72" s="622" t="s">
        <v>108</v>
      </c>
      <c r="B72" s="37" t="s">
        <v>85</v>
      </c>
      <c r="C72" s="5" t="s">
        <v>3</v>
      </c>
      <c r="D72" s="26">
        <f>Bangula!J72</f>
        <v>0</v>
      </c>
      <c r="E72" s="26">
        <f>Chikwawa!J72</f>
        <v>0</v>
      </c>
      <c r="F72" s="26">
        <f>'Miseu Folo'!J72</f>
        <v>0</v>
      </c>
      <c r="G72" s="26">
        <f>Nchalo!J72</f>
        <v>0</v>
      </c>
      <c r="H72" s="26">
        <f>Nsanje!J72</f>
        <v>0</v>
      </c>
      <c r="I72" s="26">
        <f>Ngabu!J72</f>
        <v>0</v>
      </c>
      <c r="J72" s="35">
        <f>SUM(D72:I72)</f>
        <v>0</v>
      </c>
    </row>
    <row r="73" spans="1:10" ht="15.6" x14ac:dyDescent="0.3">
      <c r="A73" s="623"/>
      <c r="B73" s="24" t="s">
        <v>104</v>
      </c>
      <c r="C73" s="5" t="s">
        <v>3</v>
      </c>
      <c r="D73" s="26">
        <f>Bangula!J73+Bangula!K73+Bangula!L73</f>
        <v>0</v>
      </c>
      <c r="E73" s="26">
        <f>Chikwawa!J73+Chikwawa!K73+Chikwawa!L73</f>
        <v>0</v>
      </c>
      <c r="F73" s="26">
        <f>'Miseu Folo'!J73+'Miseu Folo'!K73+'Miseu Folo'!L73</f>
        <v>0</v>
      </c>
      <c r="G73" s="26">
        <f>Nchalo!J73+Nchalo!K73+Nchalo!L73</f>
        <v>0</v>
      </c>
      <c r="H73" s="26">
        <f>Nsanje!J73+Nsanje!K73+Nsanje!L73</f>
        <v>0</v>
      </c>
      <c r="I73" s="26">
        <f>Ngabu!J73+Ngabu!K73+Ngabu!L73</f>
        <v>0</v>
      </c>
      <c r="J73" s="35">
        <f>SUM(D73:I73)</f>
        <v>0</v>
      </c>
    </row>
    <row r="74" spans="1:10" ht="27" x14ac:dyDescent="0.3">
      <c r="A74" s="623"/>
      <c r="B74" s="24" t="s">
        <v>103</v>
      </c>
      <c r="C74" s="5" t="s">
        <v>3</v>
      </c>
      <c r="D74" s="26">
        <f>Bangula!J74+Bangula!K74+Bangula!L74</f>
        <v>0</v>
      </c>
      <c r="E74" s="26">
        <f>Chikwawa!J74+Chikwawa!K74+Chikwawa!L74</f>
        <v>0</v>
      </c>
      <c r="F74" s="26">
        <f>'Miseu Folo'!J74+'Miseu Folo'!K74+'Miseu Folo'!L74</f>
        <v>0</v>
      </c>
      <c r="G74" s="26">
        <f>Nchalo!J74+Nchalo!K74+Nchalo!L74</f>
        <v>0</v>
      </c>
      <c r="H74" s="26">
        <f>Nsanje!J74+Nsanje!K74+Nsanje!L74</f>
        <v>0</v>
      </c>
      <c r="I74" s="26">
        <f>Ngabu!J74+Ngabu!K74+Ngabu!L74</f>
        <v>0</v>
      </c>
      <c r="J74" s="35">
        <f>SUM(D74:I74)</f>
        <v>0</v>
      </c>
    </row>
    <row r="75" spans="1:10" s="2" customFormat="1" ht="27" x14ac:dyDescent="0.3">
      <c r="A75" s="623"/>
      <c r="B75" s="24" t="s">
        <v>102</v>
      </c>
      <c r="C75" s="11" t="s">
        <v>3</v>
      </c>
      <c r="D75" s="26">
        <f>Bangula!J75+Bangula!K75+Bangula!L75</f>
        <v>0</v>
      </c>
      <c r="E75" s="26">
        <f>Chikwawa!J75+Chikwawa!K75+Chikwawa!L75</f>
        <v>0</v>
      </c>
      <c r="F75" s="26">
        <f>'Miseu Folo'!J75+'Miseu Folo'!K75+'Miseu Folo'!L75</f>
        <v>0</v>
      </c>
      <c r="G75" s="26">
        <f>Nchalo!J75+Nchalo!K75+Nchalo!L75</f>
        <v>0</v>
      </c>
      <c r="H75" s="26">
        <f>Nsanje!J75+Nsanje!K75+Nsanje!L75</f>
        <v>0</v>
      </c>
      <c r="I75" s="26">
        <f>Ngabu!J75+Ngabu!K75+Ngabu!L75</f>
        <v>0</v>
      </c>
      <c r="J75" s="35">
        <f>SUM(D75:I75)</f>
        <v>0</v>
      </c>
    </row>
    <row r="76" spans="1:10" s="2" customFormat="1" ht="15.6" x14ac:dyDescent="0.3">
      <c r="A76" s="623"/>
      <c r="B76" s="24" t="s">
        <v>188</v>
      </c>
      <c r="C76" s="11" t="s">
        <v>3</v>
      </c>
      <c r="D76" s="4">
        <f>D74+D75</f>
        <v>0</v>
      </c>
      <c r="E76" s="26">
        <f t="shared" ref="E76:J76" si="20">E74+E75</f>
        <v>0</v>
      </c>
      <c r="F76" s="26">
        <f t="shared" si="20"/>
        <v>0</v>
      </c>
      <c r="G76" s="4">
        <f t="shared" si="20"/>
        <v>0</v>
      </c>
      <c r="H76" s="4">
        <f t="shared" si="20"/>
        <v>0</v>
      </c>
      <c r="I76" s="4">
        <f t="shared" si="20"/>
        <v>0</v>
      </c>
      <c r="J76" s="35">
        <f t="shared" si="20"/>
        <v>0</v>
      </c>
    </row>
    <row r="77" spans="1:10" ht="15.6" x14ac:dyDescent="0.3">
      <c r="A77" s="624"/>
      <c r="B77" s="37" t="s">
        <v>81</v>
      </c>
      <c r="C77" s="5" t="s">
        <v>3</v>
      </c>
      <c r="D77" s="26">
        <f>D73+D74-D76</f>
        <v>0</v>
      </c>
      <c r="E77" s="26">
        <f t="shared" ref="E77:J77" si="21">E73+E74-E76</f>
        <v>0</v>
      </c>
      <c r="F77" s="26">
        <f t="shared" si="21"/>
        <v>0</v>
      </c>
      <c r="G77" s="26">
        <f t="shared" si="21"/>
        <v>0</v>
      </c>
      <c r="H77" s="26">
        <f t="shared" si="21"/>
        <v>0</v>
      </c>
      <c r="I77" s="26">
        <f t="shared" si="21"/>
        <v>0</v>
      </c>
      <c r="J77" s="55">
        <f t="shared" si="21"/>
        <v>0</v>
      </c>
    </row>
    <row r="78" spans="1:10" ht="15.6" customHeight="1" x14ac:dyDescent="0.3">
      <c r="A78" s="622" t="s">
        <v>107</v>
      </c>
      <c r="B78" s="37" t="s">
        <v>85</v>
      </c>
      <c r="C78" s="5" t="s">
        <v>3</v>
      </c>
      <c r="D78" s="26">
        <f>Bangula!J78</f>
        <v>1</v>
      </c>
      <c r="E78" s="26">
        <f>Chikwawa!J78</f>
        <v>0</v>
      </c>
      <c r="F78" s="26">
        <f>'Miseu Folo'!J78</f>
        <v>0</v>
      </c>
      <c r="G78" s="26">
        <f>Nchalo!J78</f>
        <v>2</v>
      </c>
      <c r="H78" s="26">
        <f>Nsanje!J78</f>
        <v>0</v>
      </c>
      <c r="I78" s="26">
        <f>Ngabu!J78</f>
        <v>0</v>
      </c>
      <c r="J78" s="35">
        <f>SUM(D78:I78)</f>
        <v>3</v>
      </c>
    </row>
    <row r="79" spans="1:10" ht="15.6" x14ac:dyDescent="0.3">
      <c r="A79" s="623"/>
      <c r="B79" s="24" t="s">
        <v>104</v>
      </c>
      <c r="C79" s="5" t="s">
        <v>3</v>
      </c>
      <c r="D79" s="26">
        <f>Bangula!J79+Bangula!K79+Bangula!L79</f>
        <v>0</v>
      </c>
      <c r="E79" s="26">
        <f>Chikwawa!J79+Chikwawa!K79+Chikwawa!L79</f>
        <v>0</v>
      </c>
      <c r="F79" s="26">
        <f>'Miseu Folo'!J79+'Miseu Folo'!K79+'Miseu Folo'!L79</f>
        <v>0</v>
      </c>
      <c r="G79" s="26">
        <f>Nchalo!J79+Nchalo!K79+Nchalo!L79</f>
        <v>0</v>
      </c>
      <c r="H79" s="26">
        <f>Nsanje!J79+Nsanje!K79+Nsanje!L79</f>
        <v>0</v>
      </c>
      <c r="I79" s="26">
        <f>Ngabu!J79+Ngabu!K79+Ngabu!L79</f>
        <v>0</v>
      </c>
      <c r="J79" s="35">
        <f>SUM(D79:I79)</f>
        <v>0</v>
      </c>
    </row>
    <row r="80" spans="1:10" ht="27" x14ac:dyDescent="0.3">
      <c r="A80" s="623"/>
      <c r="B80" s="24" t="s">
        <v>103</v>
      </c>
      <c r="C80" s="5" t="s">
        <v>3</v>
      </c>
      <c r="D80" s="26">
        <f>Bangula!J80+Bangula!K80+Bangula!L80</f>
        <v>0</v>
      </c>
      <c r="E80" s="26">
        <f>Chikwawa!J80+Chikwawa!K80+Chikwawa!L80</f>
        <v>0</v>
      </c>
      <c r="F80" s="26">
        <f>'Miseu Folo'!J80+'Miseu Folo'!K80+'Miseu Folo'!L80</f>
        <v>0</v>
      </c>
      <c r="G80" s="26">
        <f>Nchalo!J80+Nchalo!K80+Nchalo!L80</f>
        <v>0</v>
      </c>
      <c r="H80" s="26">
        <f>Nsanje!J80+Nsanje!K80+Nsanje!L80</f>
        <v>0</v>
      </c>
      <c r="I80" s="26">
        <f>Ngabu!J80+Ngabu!K80+Ngabu!L80</f>
        <v>0</v>
      </c>
      <c r="J80" s="35">
        <f>SUM(D80:I80)</f>
        <v>0</v>
      </c>
    </row>
    <row r="81" spans="1:10" s="2" customFormat="1" ht="27" x14ac:dyDescent="0.3">
      <c r="A81" s="623"/>
      <c r="B81" s="24" t="s">
        <v>102</v>
      </c>
      <c r="C81" s="11" t="s">
        <v>3</v>
      </c>
      <c r="D81" s="26">
        <f>Bangula!J81+Bangula!K81+Bangula!L81</f>
        <v>0</v>
      </c>
      <c r="E81" s="26">
        <f>Chikwawa!J81+Chikwawa!K81+Chikwawa!L81</f>
        <v>0</v>
      </c>
      <c r="F81" s="26">
        <f>'Miseu Folo'!J81+'Miseu Folo'!K81+'Miseu Folo'!L81</f>
        <v>0</v>
      </c>
      <c r="G81" s="26">
        <f>Nchalo!J81+Nchalo!K81+Nchalo!L81</f>
        <v>0</v>
      </c>
      <c r="H81" s="26">
        <f>Nsanje!J81+Nsanje!K81+Nsanje!L81</f>
        <v>0</v>
      </c>
      <c r="I81" s="26">
        <f>Ngabu!J81+Ngabu!K81+Ngabu!L81</f>
        <v>0</v>
      </c>
      <c r="J81" s="35">
        <f>SUM(D81:I81)</f>
        <v>0</v>
      </c>
    </row>
    <row r="82" spans="1:10" s="2" customFormat="1" ht="15.6" x14ac:dyDescent="0.3">
      <c r="A82" s="623"/>
      <c r="B82" s="24" t="s">
        <v>188</v>
      </c>
      <c r="C82" s="11" t="s">
        <v>3</v>
      </c>
      <c r="D82" s="4">
        <f>D81+D80</f>
        <v>0</v>
      </c>
      <c r="E82" s="26">
        <f t="shared" ref="E82:J82" si="22">E81+E80</f>
        <v>0</v>
      </c>
      <c r="F82" s="26">
        <f t="shared" si="22"/>
        <v>0</v>
      </c>
      <c r="G82" s="4">
        <f t="shared" si="22"/>
        <v>0</v>
      </c>
      <c r="H82" s="4">
        <f t="shared" si="22"/>
        <v>0</v>
      </c>
      <c r="I82" s="4">
        <f t="shared" si="22"/>
        <v>0</v>
      </c>
      <c r="J82" s="35">
        <f t="shared" si="22"/>
        <v>0</v>
      </c>
    </row>
    <row r="83" spans="1:10" ht="15.6" x14ac:dyDescent="0.3">
      <c r="A83" s="624"/>
      <c r="B83" s="37" t="s">
        <v>81</v>
      </c>
      <c r="C83" s="5" t="s">
        <v>3</v>
      </c>
      <c r="D83" s="26">
        <f>D78+D79-D82</f>
        <v>1</v>
      </c>
      <c r="E83" s="26">
        <f>Chikwawa!J83+Chikwawa!K83+Chikwawa!L83</f>
        <v>0</v>
      </c>
      <c r="F83" s="26">
        <f t="shared" ref="F83:J83" si="23">F78+F79-F82</f>
        <v>0</v>
      </c>
      <c r="G83" s="26">
        <f t="shared" si="23"/>
        <v>2</v>
      </c>
      <c r="H83" s="26">
        <f t="shared" si="23"/>
        <v>0</v>
      </c>
      <c r="I83" s="26">
        <f t="shared" si="23"/>
        <v>0</v>
      </c>
      <c r="J83" s="55">
        <f t="shared" si="23"/>
        <v>3</v>
      </c>
    </row>
    <row r="84" spans="1:10" ht="15.6" x14ac:dyDescent="0.3">
      <c r="A84" s="625" t="s">
        <v>106</v>
      </c>
      <c r="B84" s="37" t="s">
        <v>85</v>
      </c>
      <c r="C84" s="5" t="s">
        <v>3</v>
      </c>
      <c r="D84" s="26">
        <f>Bangula!J84</f>
        <v>0</v>
      </c>
      <c r="E84" s="26">
        <f>Chikwawa!J84</f>
        <v>0</v>
      </c>
      <c r="F84" s="26">
        <f>'Miseu Folo'!J84</f>
        <v>0</v>
      </c>
      <c r="G84" s="26">
        <f>Nchalo!J84</f>
        <v>0</v>
      </c>
      <c r="H84" s="26">
        <f>Nsanje!J84</f>
        <v>0</v>
      </c>
      <c r="I84" s="26">
        <f>Ngabu!J84</f>
        <v>0</v>
      </c>
      <c r="J84" s="35">
        <f>SUM(D84:I84)</f>
        <v>0</v>
      </c>
    </row>
    <row r="85" spans="1:10" ht="15.6" x14ac:dyDescent="0.3">
      <c r="A85" s="626"/>
      <c r="B85" s="37" t="s">
        <v>104</v>
      </c>
      <c r="C85" s="5" t="s">
        <v>3</v>
      </c>
      <c r="D85" s="26">
        <f>Bangula!J85+Bangula!K85+Bangula!L85</f>
        <v>0</v>
      </c>
      <c r="E85" s="26">
        <f>Chikwawa!J85+Chikwawa!K85+Chikwawa!L85</f>
        <v>0</v>
      </c>
      <c r="F85" s="26">
        <f>'Miseu Folo'!J85+'Miseu Folo'!K85+'Miseu Folo'!L85</f>
        <v>0</v>
      </c>
      <c r="G85" s="26">
        <f>Nchalo!J85+Nchalo!K85+Nchalo!L85</f>
        <v>0</v>
      </c>
      <c r="H85" s="26">
        <f>Nsanje!J85+Nsanje!K85+Nsanje!L85</f>
        <v>0</v>
      </c>
      <c r="I85" s="26">
        <f>Ngabu!J85+Ngabu!K85+Ngabu!L85</f>
        <v>0</v>
      </c>
      <c r="J85" s="35">
        <f>SUM(D85:I85)</f>
        <v>0</v>
      </c>
    </row>
    <row r="86" spans="1:10" ht="27" x14ac:dyDescent="0.3">
      <c r="A86" s="626"/>
      <c r="B86" s="37" t="s">
        <v>103</v>
      </c>
      <c r="C86" s="5" t="s">
        <v>3</v>
      </c>
      <c r="D86" s="26">
        <f>Bangula!J86+Bangula!K86+Bangula!L86</f>
        <v>0</v>
      </c>
      <c r="E86" s="26">
        <f>Chikwawa!J86+Chikwawa!K86+Chikwawa!L86</f>
        <v>0</v>
      </c>
      <c r="F86" s="26">
        <f>'Miseu Folo'!J86+'Miseu Folo'!K86+'Miseu Folo'!L86</f>
        <v>0</v>
      </c>
      <c r="G86" s="26">
        <f>Nchalo!J86+Nchalo!K86+Nchalo!L86</f>
        <v>0</v>
      </c>
      <c r="H86" s="26">
        <f>Nsanje!J86+Nsanje!K86+Nsanje!L86</f>
        <v>0</v>
      </c>
      <c r="I86" s="26">
        <f>Ngabu!J86+Ngabu!K86+Ngabu!L86</f>
        <v>0</v>
      </c>
      <c r="J86" s="35">
        <f>SUM(D86:I86)</f>
        <v>0</v>
      </c>
    </row>
    <row r="87" spans="1:10" s="2" customFormat="1" ht="27" x14ac:dyDescent="0.3">
      <c r="A87" s="626"/>
      <c r="B87" s="24" t="s">
        <v>102</v>
      </c>
      <c r="C87" s="11" t="s">
        <v>3</v>
      </c>
      <c r="D87" s="26">
        <f>Bangula!J87+Bangula!K87+Bangula!L87</f>
        <v>0</v>
      </c>
      <c r="E87" s="26">
        <f>Chikwawa!J87+Chikwawa!K87+Chikwawa!L87</f>
        <v>0</v>
      </c>
      <c r="F87" s="26">
        <f>'Miseu Folo'!J87+'Miseu Folo'!K87+'Miseu Folo'!L87</f>
        <v>0</v>
      </c>
      <c r="G87" s="26">
        <f>Nchalo!J87+Nchalo!K87+Nchalo!L87</f>
        <v>0</v>
      </c>
      <c r="H87" s="26">
        <f>Nsanje!J87+Nsanje!K87+Nsanje!L87</f>
        <v>0</v>
      </c>
      <c r="I87" s="26">
        <f>Ngabu!J87+Ngabu!K87+Ngabu!L87</f>
        <v>0</v>
      </c>
      <c r="J87" s="35">
        <f>SUM(D87:I87)</f>
        <v>0</v>
      </c>
    </row>
    <row r="88" spans="1:10" s="2" customFormat="1" ht="15.6" x14ac:dyDescent="0.3">
      <c r="A88" s="626"/>
      <c r="B88" s="24" t="s">
        <v>188</v>
      </c>
      <c r="C88" s="11" t="s">
        <v>3</v>
      </c>
      <c r="D88" s="4">
        <f>D87+D86</f>
        <v>0</v>
      </c>
      <c r="E88" s="26">
        <f t="shared" ref="E88:H88" si="24">E87+E86</f>
        <v>0</v>
      </c>
      <c r="F88" s="26">
        <f t="shared" si="24"/>
        <v>0</v>
      </c>
      <c r="G88" s="4">
        <f t="shared" si="24"/>
        <v>0</v>
      </c>
      <c r="H88" s="4">
        <f t="shared" si="24"/>
        <v>0</v>
      </c>
      <c r="I88" s="4"/>
      <c r="J88" s="35"/>
    </row>
    <row r="89" spans="1:10" ht="15.6" x14ac:dyDescent="0.3">
      <c r="A89" s="627"/>
      <c r="B89" s="36" t="s">
        <v>81</v>
      </c>
      <c r="C89" s="5" t="s">
        <v>3</v>
      </c>
      <c r="D89" s="26">
        <f>D84+D85-D88</f>
        <v>0</v>
      </c>
      <c r="E89" s="26">
        <f t="shared" ref="E89:H89" si="25">E84+E85-E88</f>
        <v>0</v>
      </c>
      <c r="F89" s="26">
        <f t="shared" si="25"/>
        <v>0</v>
      </c>
      <c r="G89" s="26">
        <f t="shared" si="25"/>
        <v>0</v>
      </c>
      <c r="H89" s="26">
        <f t="shared" si="25"/>
        <v>0</v>
      </c>
      <c r="I89" s="26"/>
      <c r="J89" s="55">
        <f t="shared" ref="J89" si="26">J84+J85-J86-J87</f>
        <v>0</v>
      </c>
    </row>
    <row r="90" spans="1:10" ht="15.6" x14ac:dyDescent="0.3">
      <c r="A90" s="628" t="s">
        <v>105</v>
      </c>
      <c r="B90" s="24" t="s">
        <v>85</v>
      </c>
      <c r="C90" s="11" t="s">
        <v>3</v>
      </c>
      <c r="D90" s="136">
        <f t="shared" ref="D90:E93" si="27">D66+D72+D78+D84</f>
        <v>25</v>
      </c>
      <c r="E90" s="136">
        <f t="shared" si="27"/>
        <v>285</v>
      </c>
      <c r="F90" s="136">
        <f t="shared" ref="F90:H90" si="28">F66+F72+F78+F84</f>
        <v>229</v>
      </c>
      <c r="G90" s="136">
        <f t="shared" si="28"/>
        <v>42</v>
      </c>
      <c r="H90" s="136">
        <f t="shared" si="28"/>
        <v>159</v>
      </c>
      <c r="I90" s="136">
        <f t="shared" ref="I90" si="29">I66+I72+I78+I84</f>
        <v>86</v>
      </c>
      <c r="J90" s="35">
        <f>SUM(D90:I90)</f>
        <v>826</v>
      </c>
    </row>
    <row r="91" spans="1:10" ht="15.6" x14ac:dyDescent="0.3">
      <c r="A91" s="629"/>
      <c r="B91" s="24" t="s">
        <v>104</v>
      </c>
      <c r="C91" s="11" t="s">
        <v>3</v>
      </c>
      <c r="D91" s="136">
        <f t="shared" si="27"/>
        <v>19</v>
      </c>
      <c r="E91" s="136">
        <f t="shared" si="27"/>
        <v>31</v>
      </c>
      <c r="F91" s="136">
        <f t="shared" ref="F91:H91" si="30">F67+F73+F79+F85</f>
        <v>48</v>
      </c>
      <c r="G91" s="136">
        <f t="shared" si="30"/>
        <v>29</v>
      </c>
      <c r="H91" s="136">
        <f t="shared" si="30"/>
        <v>31</v>
      </c>
      <c r="I91" s="136">
        <f t="shared" ref="I91" si="31">I67+I73+I79+I85</f>
        <v>6</v>
      </c>
      <c r="J91" s="35">
        <f>SUM(D91:I91)</f>
        <v>164</v>
      </c>
    </row>
    <row r="92" spans="1:10" ht="27" x14ac:dyDescent="0.3">
      <c r="A92" s="629"/>
      <c r="B92" s="24" t="s">
        <v>103</v>
      </c>
      <c r="C92" s="11" t="s">
        <v>3</v>
      </c>
      <c r="D92" s="136">
        <f t="shared" si="27"/>
        <v>18</v>
      </c>
      <c r="E92" s="136">
        <f t="shared" si="27"/>
        <v>48</v>
      </c>
      <c r="F92" s="136">
        <f t="shared" ref="F92:H92" si="32">F68+F74+F80+F86</f>
        <v>43</v>
      </c>
      <c r="G92" s="136">
        <f t="shared" si="32"/>
        <v>20</v>
      </c>
      <c r="H92" s="136">
        <f t="shared" si="32"/>
        <v>47</v>
      </c>
      <c r="I92" s="136">
        <f t="shared" ref="I92" si="33">I68+I74+I80+I86</f>
        <v>19</v>
      </c>
      <c r="J92" s="35">
        <f>SUM(D92:I92)</f>
        <v>195</v>
      </c>
    </row>
    <row r="93" spans="1:10" s="2" customFormat="1" ht="27" x14ac:dyDescent="0.3">
      <c r="A93" s="629"/>
      <c r="B93" s="24" t="s">
        <v>102</v>
      </c>
      <c r="C93" s="11"/>
      <c r="D93" s="136">
        <f t="shared" si="27"/>
        <v>0</v>
      </c>
      <c r="E93" s="136">
        <f t="shared" si="27"/>
        <v>2</v>
      </c>
      <c r="F93" s="136">
        <f t="shared" ref="F93:H93" si="34">F69+F75+F81+F87</f>
        <v>0</v>
      </c>
      <c r="G93" s="136">
        <f t="shared" si="34"/>
        <v>0</v>
      </c>
      <c r="H93" s="136">
        <f t="shared" si="34"/>
        <v>0</v>
      </c>
      <c r="I93" s="136">
        <f t="shared" ref="I93" si="35">I69+I75+I81+I87</f>
        <v>9</v>
      </c>
      <c r="J93" s="35">
        <f>SUM(D93:I93)</f>
        <v>11</v>
      </c>
    </row>
    <row r="94" spans="1:10" s="2" customFormat="1" ht="15.6" x14ac:dyDescent="0.3">
      <c r="A94" s="629"/>
      <c r="B94" s="24" t="s">
        <v>188</v>
      </c>
      <c r="C94" s="11" t="s">
        <v>3</v>
      </c>
      <c r="D94" s="137">
        <f t="shared" ref="D94:E94" si="36">D93+D92</f>
        <v>18</v>
      </c>
      <c r="E94" s="137">
        <f t="shared" si="36"/>
        <v>50</v>
      </c>
      <c r="F94" s="137">
        <f t="shared" ref="F94:H94" si="37">F93+F92</f>
        <v>43</v>
      </c>
      <c r="G94" s="137">
        <f t="shared" si="37"/>
        <v>20</v>
      </c>
      <c r="H94" s="137">
        <f t="shared" si="37"/>
        <v>47</v>
      </c>
      <c r="I94" s="137">
        <f t="shared" ref="I94:J94" si="38">I93+I92</f>
        <v>28</v>
      </c>
      <c r="J94" s="35">
        <f t="shared" si="38"/>
        <v>206</v>
      </c>
    </row>
    <row r="95" spans="1:10" ht="16.2" thickBot="1" x14ac:dyDescent="0.35">
      <c r="A95" s="630"/>
      <c r="B95" s="24" t="s">
        <v>81</v>
      </c>
      <c r="C95" s="11" t="s">
        <v>3</v>
      </c>
      <c r="D95" s="138">
        <f t="shared" ref="D95:E95" si="39">D90+D91-D94</f>
        <v>26</v>
      </c>
      <c r="E95" s="138">
        <f t="shared" si="39"/>
        <v>266</v>
      </c>
      <c r="F95" s="138">
        <f t="shared" ref="F95:H95" si="40">F90+F91-F94</f>
        <v>234</v>
      </c>
      <c r="G95" s="138">
        <f t="shared" si="40"/>
        <v>51</v>
      </c>
      <c r="H95" s="138">
        <f t="shared" si="40"/>
        <v>143</v>
      </c>
      <c r="I95" s="138">
        <f t="shared" ref="I95:J95" si="41">I90+I91-I94</f>
        <v>64</v>
      </c>
      <c r="J95" s="55">
        <f t="shared" si="41"/>
        <v>784</v>
      </c>
    </row>
    <row r="96" spans="1:10" ht="16.2" customHeight="1" thickBot="1" x14ac:dyDescent="0.35">
      <c r="A96" s="677"/>
      <c r="B96" s="678"/>
      <c r="C96" s="678"/>
      <c r="D96" s="678"/>
      <c r="E96" s="678"/>
      <c r="F96" s="678"/>
      <c r="G96" s="678"/>
      <c r="H96" s="678"/>
      <c r="I96" s="678"/>
      <c r="J96" s="679"/>
    </row>
    <row r="97" spans="1:10" s="2" customFormat="1" ht="15.75" customHeight="1" thickBot="1" x14ac:dyDescent="0.35">
      <c r="A97" s="631" t="s">
        <v>189</v>
      </c>
      <c r="B97" s="632"/>
      <c r="C97" s="632"/>
      <c r="D97" s="632"/>
      <c r="E97" s="632"/>
      <c r="F97" s="632"/>
      <c r="G97" s="632"/>
      <c r="H97" s="632"/>
      <c r="I97" s="632"/>
      <c r="J97" s="633"/>
    </row>
    <row r="98" spans="1:10" ht="15.6" x14ac:dyDescent="0.3">
      <c r="A98" s="88" t="s">
        <v>190</v>
      </c>
      <c r="B98" s="69"/>
      <c r="C98" s="11" t="s">
        <v>3</v>
      </c>
      <c r="D98" s="26">
        <f>Bangula!J98+Bangula!K98+Bangula!L98</f>
        <v>0</v>
      </c>
      <c r="E98" s="176">
        <f>Chikwawa!J98+Chikwawa!K98+Chikwawa!L98</f>
        <v>0</v>
      </c>
      <c r="F98" s="176">
        <f>'Miseu Folo'!J98+'Miseu Folo'!K98+'Miseu Folo'!L98</f>
        <v>0</v>
      </c>
      <c r="G98" s="26">
        <f>Nchalo!J98+Nchalo!K98+Nchalo!L98</f>
        <v>0</v>
      </c>
      <c r="H98" s="26">
        <f>Nsanje!J98+Nsanje!K98+Nsanje!L98</f>
        <v>0</v>
      </c>
      <c r="I98" s="26">
        <f>Ngabu!J98+Ngabu!K98+Ngabu!L98</f>
        <v>0</v>
      </c>
      <c r="J98" s="108">
        <f>SUM(D98:I98)</f>
        <v>0</v>
      </c>
    </row>
    <row r="99" spans="1:10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107"/>
    </row>
    <row r="100" spans="1:10" s="2" customFormat="1" ht="15" thickBot="1" x14ac:dyDescent="0.35">
      <c r="A100" s="642" t="s">
        <v>101</v>
      </c>
      <c r="B100" s="643"/>
      <c r="C100" s="643"/>
      <c r="D100" s="643"/>
      <c r="E100" s="643"/>
      <c r="F100" s="643"/>
      <c r="G100" s="643"/>
      <c r="H100" s="643"/>
      <c r="I100" s="643"/>
      <c r="J100" s="644"/>
    </row>
    <row r="101" spans="1:10" ht="15.6" x14ac:dyDescent="0.3">
      <c r="A101" s="591" t="s">
        <v>100</v>
      </c>
      <c r="B101" s="592"/>
      <c r="C101" s="11" t="s">
        <v>3</v>
      </c>
      <c r="D101" s="180">
        <f>Bangula!L101</f>
        <v>225</v>
      </c>
      <c r="E101" s="179">
        <f>Chikwawa!L101</f>
        <v>791</v>
      </c>
      <c r="F101" s="179">
        <f>'Miseu Folo'!L101</f>
        <v>0</v>
      </c>
      <c r="G101" s="180">
        <f>Nchalo!L101</f>
        <v>623</v>
      </c>
      <c r="H101" s="180">
        <f>Nsanje!L101</f>
        <v>480</v>
      </c>
      <c r="I101" s="180">
        <f>Ngabu!L101</f>
        <v>598</v>
      </c>
      <c r="J101" s="32">
        <f>SUM(D101:I101)</f>
        <v>2717</v>
      </c>
    </row>
    <row r="102" spans="1:10" ht="15.6" x14ac:dyDescent="0.3">
      <c r="A102" s="591" t="s">
        <v>99</v>
      </c>
      <c r="B102" s="592"/>
      <c r="C102" s="11" t="s">
        <v>3</v>
      </c>
      <c r="D102" s="26">
        <f>Bangula!L102</f>
        <v>17</v>
      </c>
      <c r="E102" s="26">
        <f>Chikwawa!L102</f>
        <v>11</v>
      </c>
      <c r="F102" s="26">
        <f>'Miseu Folo'!L102</f>
        <v>0</v>
      </c>
      <c r="G102" s="26">
        <f>Nchalo!L102</f>
        <v>17</v>
      </c>
      <c r="H102" s="26">
        <f>Nsanje!L102</f>
        <v>20</v>
      </c>
      <c r="I102" s="26">
        <f>Ngabu!L102</f>
        <v>10</v>
      </c>
      <c r="J102" s="32">
        <f>SUM(D102:I102)</f>
        <v>75</v>
      </c>
    </row>
    <row r="103" spans="1:10" ht="15.6" customHeight="1" x14ac:dyDescent="0.3">
      <c r="A103" s="598" t="s">
        <v>98</v>
      </c>
      <c r="B103" s="599"/>
      <c r="C103" s="11" t="s">
        <v>3</v>
      </c>
      <c r="D103" s="26">
        <f>Bangula!L103</f>
        <v>12</v>
      </c>
      <c r="E103" s="26">
        <f>Chikwawa!L103</f>
        <v>13</v>
      </c>
      <c r="F103" s="26">
        <f>'Miseu Folo'!L103</f>
        <v>0</v>
      </c>
      <c r="G103" s="26">
        <f>Nchalo!L103</f>
        <v>27</v>
      </c>
      <c r="H103" s="26">
        <f>Nsanje!L103</f>
        <v>3</v>
      </c>
      <c r="I103" s="26">
        <f>Ngabu!L103</f>
        <v>12</v>
      </c>
      <c r="J103" s="32">
        <f>SUM(D103:I103)</f>
        <v>67</v>
      </c>
    </row>
    <row r="104" spans="1:10" ht="15.6" x14ac:dyDescent="0.3">
      <c r="A104" s="598" t="s">
        <v>97</v>
      </c>
      <c r="B104" s="599"/>
      <c r="C104" s="11" t="s">
        <v>3</v>
      </c>
      <c r="D104" s="26">
        <f>Bangula!L104</f>
        <v>4</v>
      </c>
      <c r="E104" s="26">
        <f>Chikwawa!L104</f>
        <v>16</v>
      </c>
      <c r="F104" s="26">
        <f>'Miseu Folo'!L104</f>
        <v>0</v>
      </c>
      <c r="G104" s="26">
        <f>Nchalo!L104</f>
        <v>11</v>
      </c>
      <c r="H104" s="26">
        <f>Nsanje!L104</f>
        <v>25</v>
      </c>
      <c r="I104" s="26">
        <f>Ngabu!L104</f>
        <v>20</v>
      </c>
      <c r="J104" s="32">
        <f>SUM(D104:I104)</f>
        <v>76</v>
      </c>
    </row>
    <row r="105" spans="1:10" ht="15.6" x14ac:dyDescent="0.3">
      <c r="A105" s="645" t="s">
        <v>96</v>
      </c>
      <c r="B105" s="646"/>
      <c r="C105" s="11" t="s">
        <v>3</v>
      </c>
      <c r="D105" s="33">
        <f>SUM(D101:D104)</f>
        <v>258</v>
      </c>
      <c r="E105" s="33">
        <f t="shared" ref="E105:I105" si="42">SUM(E101:E104)</f>
        <v>831</v>
      </c>
      <c r="F105" s="33">
        <f t="shared" si="42"/>
        <v>0</v>
      </c>
      <c r="G105" s="33">
        <f t="shared" si="42"/>
        <v>678</v>
      </c>
      <c r="H105" s="33">
        <f t="shared" si="42"/>
        <v>528</v>
      </c>
      <c r="I105" s="33">
        <f t="shared" si="42"/>
        <v>640</v>
      </c>
      <c r="J105" s="33">
        <f>SUM(D105:I105)</f>
        <v>2935</v>
      </c>
    </row>
    <row r="106" spans="1:10" s="2" customFormat="1" ht="15.6" customHeight="1" thickBot="1" x14ac:dyDescent="0.35">
      <c r="A106" s="639" t="s">
        <v>210</v>
      </c>
      <c r="B106" s="640"/>
      <c r="C106" s="640"/>
      <c r="D106" s="640"/>
      <c r="E106" s="640"/>
      <c r="F106" s="640"/>
      <c r="G106" s="640"/>
      <c r="H106" s="640"/>
      <c r="I106" s="640"/>
      <c r="J106" s="641"/>
    </row>
    <row r="107" spans="1:10" ht="15.6" x14ac:dyDescent="0.3">
      <c r="A107" s="591" t="s">
        <v>193</v>
      </c>
      <c r="B107" s="592"/>
      <c r="C107" s="11" t="s">
        <v>3</v>
      </c>
      <c r="D107" s="180">
        <f>Bangula!L107</f>
        <v>518</v>
      </c>
      <c r="E107" s="179">
        <f>Chikwawa!L107</f>
        <v>1894</v>
      </c>
      <c r="F107" s="179">
        <f>'Miseu Folo'!L107</f>
        <v>201</v>
      </c>
      <c r="G107" s="180">
        <f>Nchalo!L107</f>
        <v>1399</v>
      </c>
      <c r="H107" s="180">
        <f>Nsanje!L107</f>
        <v>1114</v>
      </c>
      <c r="I107" s="180">
        <f>Ngabu!L107</f>
        <v>673</v>
      </c>
      <c r="J107" s="32">
        <f>SUM(D107:I107)</f>
        <v>5799</v>
      </c>
    </row>
    <row r="108" spans="1:10" ht="15.6" x14ac:dyDescent="0.3">
      <c r="A108" s="591" t="s">
        <v>194</v>
      </c>
      <c r="B108" s="592"/>
      <c r="C108" s="11" t="s">
        <v>3</v>
      </c>
      <c r="D108" s="26">
        <f>Bangula!L108</f>
        <v>5</v>
      </c>
      <c r="E108" s="26">
        <f>Chikwawa!L108</f>
        <v>22</v>
      </c>
      <c r="F108" s="26">
        <f>'Miseu Folo'!L108</f>
        <v>0</v>
      </c>
      <c r="G108" s="26">
        <f>Nchalo!L108</f>
        <v>6</v>
      </c>
      <c r="H108" s="26">
        <f>Nsanje!L108</f>
        <v>7</v>
      </c>
      <c r="I108" s="26">
        <f>Ngabu!L108</f>
        <v>9</v>
      </c>
      <c r="J108" s="32">
        <f>SUM(D108:I108)</f>
        <v>49</v>
      </c>
    </row>
    <row r="109" spans="1:10" ht="15.6" x14ac:dyDescent="0.3">
      <c r="A109" s="591" t="s">
        <v>195</v>
      </c>
      <c r="B109" s="592"/>
      <c r="C109" s="11" t="s">
        <v>3</v>
      </c>
      <c r="D109" s="26">
        <f>Bangula!L109</f>
        <v>2</v>
      </c>
      <c r="E109" s="26">
        <f>Chikwawa!L109</f>
        <v>13</v>
      </c>
      <c r="F109" s="26">
        <f>'Miseu Folo'!L109</f>
        <v>2</v>
      </c>
      <c r="G109" s="26">
        <f>Nchalo!L109</f>
        <v>9</v>
      </c>
      <c r="H109" s="26">
        <f>Nsanje!L109</f>
        <v>1</v>
      </c>
      <c r="I109" s="26">
        <f>Ngabu!L109</f>
        <v>3</v>
      </c>
      <c r="J109" s="32">
        <f>SUM(D109:I109)</f>
        <v>30</v>
      </c>
    </row>
    <row r="110" spans="1:10" ht="15.6" x14ac:dyDescent="0.3">
      <c r="A110" s="591" t="s">
        <v>196</v>
      </c>
      <c r="B110" s="592"/>
      <c r="C110" s="11" t="s">
        <v>3</v>
      </c>
      <c r="D110" s="26">
        <f>Bangula!L110</f>
        <v>18</v>
      </c>
      <c r="E110" s="26">
        <f>Chikwawa!L110</f>
        <v>12</v>
      </c>
      <c r="F110" s="26">
        <f>'Miseu Folo'!L110</f>
        <v>0</v>
      </c>
      <c r="G110" s="26">
        <f>Nchalo!L110</f>
        <v>8</v>
      </c>
      <c r="H110" s="26">
        <f>Nsanje!L110</f>
        <v>9</v>
      </c>
      <c r="I110" s="26">
        <f>Ngabu!L110</f>
        <v>19</v>
      </c>
      <c r="J110" s="32">
        <f>SUM(D110:I110)</f>
        <v>66</v>
      </c>
    </row>
    <row r="111" spans="1:10" ht="15.6" x14ac:dyDescent="0.3">
      <c r="A111" s="593" t="s">
        <v>95</v>
      </c>
      <c r="B111" s="594"/>
      <c r="C111" s="11" t="s">
        <v>3</v>
      </c>
      <c r="D111" s="33">
        <f>SUM(D107:D110)</f>
        <v>543</v>
      </c>
      <c r="E111" s="33">
        <f t="shared" ref="E111:I111" si="43">SUM(E107:E110)</f>
        <v>1941</v>
      </c>
      <c r="F111" s="33">
        <f t="shared" si="43"/>
        <v>203</v>
      </c>
      <c r="G111" s="33">
        <f t="shared" si="43"/>
        <v>1422</v>
      </c>
      <c r="H111" s="33">
        <f t="shared" si="43"/>
        <v>1131</v>
      </c>
      <c r="I111" s="33">
        <f t="shared" si="43"/>
        <v>704</v>
      </c>
      <c r="J111" s="33">
        <f>SUM(D111:I111)</f>
        <v>5944</v>
      </c>
    </row>
    <row r="112" spans="1:10" s="2" customFormat="1" ht="15.6" customHeight="1" thickBot="1" x14ac:dyDescent="0.35">
      <c r="A112" s="642" t="s">
        <v>210</v>
      </c>
      <c r="B112" s="643"/>
      <c r="C112" s="643"/>
      <c r="D112" s="643"/>
      <c r="E112" s="643"/>
      <c r="F112" s="643"/>
      <c r="G112" s="643"/>
      <c r="H112" s="643"/>
      <c r="I112" s="643"/>
      <c r="J112" s="644"/>
    </row>
    <row r="113" spans="1:10" ht="15.6" x14ac:dyDescent="0.3">
      <c r="A113" s="591" t="s">
        <v>197</v>
      </c>
      <c r="B113" s="592"/>
      <c r="C113" s="11" t="s">
        <v>3</v>
      </c>
      <c r="D113" s="180">
        <f>Bangula!L113</f>
        <v>181</v>
      </c>
      <c r="E113" s="179">
        <f>Chikwawa!L113</f>
        <v>623</v>
      </c>
      <c r="F113" s="179">
        <f>'Miseu Folo'!L113</f>
        <v>384</v>
      </c>
      <c r="G113" s="180">
        <f>Nchalo!L113</f>
        <v>307</v>
      </c>
      <c r="H113" s="180">
        <f>Nsanje!L113</f>
        <v>508</v>
      </c>
      <c r="I113" s="180">
        <f>Ngabu!L113</f>
        <v>344</v>
      </c>
      <c r="J113" s="32">
        <f t="shared" ref="J113:J117" si="44">SUM(D113:I113)</f>
        <v>2347</v>
      </c>
    </row>
    <row r="114" spans="1:10" ht="15.6" x14ac:dyDescent="0.3">
      <c r="A114" s="591" t="s">
        <v>198</v>
      </c>
      <c r="B114" s="592"/>
      <c r="C114" s="11" t="s">
        <v>3</v>
      </c>
      <c r="D114" s="26">
        <f>Bangula!L114</f>
        <v>32</v>
      </c>
      <c r="E114" s="26">
        <f>Chikwawa!L114</f>
        <v>42</v>
      </c>
      <c r="F114" s="26">
        <f>'Miseu Folo'!L114</f>
        <v>10</v>
      </c>
      <c r="G114" s="26">
        <f>Nchalo!L114</f>
        <v>27</v>
      </c>
      <c r="H114" s="26">
        <f>Nsanje!L114</f>
        <v>52</v>
      </c>
      <c r="I114" s="26">
        <f>Ngabu!L114</f>
        <v>25</v>
      </c>
      <c r="J114" s="32">
        <f t="shared" si="44"/>
        <v>188</v>
      </c>
    </row>
    <row r="115" spans="1:10" ht="15.6" x14ac:dyDescent="0.3">
      <c r="A115" s="591" t="s">
        <v>199</v>
      </c>
      <c r="B115" s="592"/>
      <c r="C115" s="11" t="s">
        <v>3</v>
      </c>
      <c r="D115" s="26">
        <f>Bangula!L115</f>
        <v>25</v>
      </c>
      <c r="E115" s="26">
        <f>Chikwawa!L115</f>
        <v>56</v>
      </c>
      <c r="F115" s="26">
        <f>'Miseu Folo'!L115</f>
        <v>6</v>
      </c>
      <c r="G115" s="26">
        <f>Nchalo!L115</f>
        <v>62</v>
      </c>
      <c r="H115" s="26">
        <f>Nsanje!L115</f>
        <v>49</v>
      </c>
      <c r="I115" s="26">
        <f>Ngabu!L115</f>
        <v>34</v>
      </c>
      <c r="J115" s="32">
        <f t="shared" si="44"/>
        <v>232</v>
      </c>
    </row>
    <row r="116" spans="1:10" ht="15.6" x14ac:dyDescent="0.3">
      <c r="A116" s="591" t="s">
        <v>200</v>
      </c>
      <c r="B116" s="592"/>
      <c r="C116" s="11" t="s">
        <v>3</v>
      </c>
      <c r="D116" s="26">
        <f>Bangula!L116</f>
        <v>1</v>
      </c>
      <c r="E116" s="26">
        <f>Chikwawa!L116</f>
        <v>3</v>
      </c>
      <c r="F116" s="26">
        <f>'Miseu Folo'!L116</f>
        <v>14</v>
      </c>
      <c r="G116" s="26">
        <f>Nchalo!L116</f>
        <v>1</v>
      </c>
      <c r="H116" s="26">
        <f>Nsanje!L116</f>
        <v>1</v>
      </c>
      <c r="I116" s="26">
        <f>Ngabu!L116</f>
        <v>1</v>
      </c>
      <c r="J116" s="32">
        <f t="shared" si="44"/>
        <v>21</v>
      </c>
    </row>
    <row r="117" spans="1:10" ht="15.6" x14ac:dyDescent="0.3">
      <c r="A117" s="593" t="s">
        <v>94</v>
      </c>
      <c r="B117" s="594"/>
      <c r="C117" s="11" t="s">
        <v>3</v>
      </c>
      <c r="D117" s="33">
        <f>SUM(D113:D116)</f>
        <v>239</v>
      </c>
      <c r="E117" s="33">
        <f t="shared" ref="E117:I117" si="45">SUM(E113:E116)</f>
        <v>724</v>
      </c>
      <c r="F117" s="33">
        <f t="shared" si="45"/>
        <v>414</v>
      </c>
      <c r="G117" s="33">
        <f t="shared" si="45"/>
        <v>397</v>
      </c>
      <c r="H117" s="33">
        <f t="shared" si="45"/>
        <v>610</v>
      </c>
      <c r="I117" s="33">
        <f t="shared" si="45"/>
        <v>404</v>
      </c>
      <c r="J117" s="33">
        <f t="shared" si="44"/>
        <v>2788</v>
      </c>
    </row>
    <row r="118" spans="1:10" s="2" customFormat="1" ht="15.6" x14ac:dyDescent="0.3">
      <c r="A118" s="80" t="s">
        <v>191</v>
      </c>
      <c r="B118" s="81"/>
      <c r="C118" s="11" t="s">
        <v>3</v>
      </c>
      <c r="D118" s="33">
        <f t="shared" ref="D118:J118" si="46">D117+D111</f>
        <v>782</v>
      </c>
      <c r="E118" s="33">
        <f t="shared" si="46"/>
        <v>2665</v>
      </c>
      <c r="F118" s="33">
        <f t="shared" si="46"/>
        <v>617</v>
      </c>
      <c r="G118" s="33">
        <f t="shared" si="46"/>
        <v>1819</v>
      </c>
      <c r="H118" s="33">
        <f t="shared" si="46"/>
        <v>1741</v>
      </c>
      <c r="I118" s="33">
        <f t="shared" si="46"/>
        <v>1108</v>
      </c>
      <c r="J118" s="55">
        <f t="shared" si="46"/>
        <v>8732</v>
      </c>
    </row>
    <row r="119" spans="1:10" ht="15.6" x14ac:dyDescent="0.3">
      <c r="A119" s="593" t="s">
        <v>192</v>
      </c>
      <c r="B119" s="594"/>
      <c r="C119" s="11" t="s">
        <v>3</v>
      </c>
      <c r="D119" s="33">
        <f>D118+D105</f>
        <v>1040</v>
      </c>
      <c r="E119" s="33">
        <f t="shared" ref="E119:J119" si="47">E118+E105</f>
        <v>3496</v>
      </c>
      <c r="F119" s="33">
        <f t="shared" si="47"/>
        <v>617</v>
      </c>
      <c r="G119" s="33">
        <f t="shared" si="47"/>
        <v>2497</v>
      </c>
      <c r="H119" s="33">
        <f t="shared" si="47"/>
        <v>2269</v>
      </c>
      <c r="I119" s="33">
        <f t="shared" si="47"/>
        <v>1748</v>
      </c>
      <c r="J119" s="55">
        <f t="shared" si="47"/>
        <v>11667</v>
      </c>
    </row>
    <row r="120" spans="1:10" ht="15" thickBot="1" x14ac:dyDescent="0.35">
      <c r="A120" s="595" t="s">
        <v>201</v>
      </c>
      <c r="B120" s="596"/>
      <c r="C120" s="596"/>
      <c r="D120" s="596"/>
      <c r="E120" s="596"/>
      <c r="F120" s="596"/>
      <c r="G120" s="596"/>
      <c r="H120" s="596"/>
      <c r="I120" s="596"/>
      <c r="J120" s="597"/>
    </row>
    <row r="121" spans="1:10" ht="16.2" thickBot="1" x14ac:dyDescent="0.35">
      <c r="A121" s="591" t="s">
        <v>93</v>
      </c>
      <c r="B121" s="592"/>
      <c r="C121" s="5" t="s">
        <v>3</v>
      </c>
      <c r="D121" s="180">
        <f>Bangula!L121</f>
        <v>11578.266617438947</v>
      </c>
      <c r="E121" s="179">
        <f>Chikwawa!L121</f>
        <v>22485.552386616178</v>
      </c>
      <c r="F121" s="179">
        <f>'Miseu Folo'!L121</f>
        <v>7235.2383615360004</v>
      </c>
      <c r="G121" s="180">
        <f>Nchalo!L121</f>
        <v>21327.18419461733</v>
      </c>
      <c r="H121" s="180">
        <f>Nsanje!L121</f>
        <v>26097.222383642591</v>
      </c>
      <c r="I121" s="180">
        <f>Ngabu!L121</f>
        <v>18620.260630156874</v>
      </c>
      <c r="J121" s="31">
        <f>SUM(D121:I121)</f>
        <v>107343.72457400792</v>
      </c>
    </row>
    <row r="122" spans="1:10" ht="15.6" x14ac:dyDescent="0.3">
      <c r="A122" s="591" t="s">
        <v>92</v>
      </c>
      <c r="B122" s="592"/>
      <c r="C122" s="5" t="s">
        <v>3</v>
      </c>
      <c r="D122" s="180">
        <f>Bangula!L122</f>
        <v>7184</v>
      </c>
      <c r="E122" s="179">
        <f>Chikwawa!L122</f>
        <v>17187</v>
      </c>
      <c r="F122" s="179">
        <f>'Miseu Folo'!L122</f>
        <v>5389</v>
      </c>
      <c r="G122" s="180">
        <f>Nchalo!L122</f>
        <v>16557</v>
      </c>
      <c r="H122" s="180">
        <f>Nsanje!L122</f>
        <v>18276</v>
      </c>
      <c r="I122" s="180">
        <f>Ngabu!L122</f>
        <v>11741</v>
      </c>
      <c r="J122" s="31">
        <f>SUM(D122:I122)</f>
        <v>76334</v>
      </c>
    </row>
    <row r="123" spans="1:10" ht="15.6" x14ac:dyDescent="0.3">
      <c r="A123" s="647" t="s">
        <v>91</v>
      </c>
      <c r="B123" s="648"/>
      <c r="C123" s="30" t="s">
        <v>6</v>
      </c>
      <c r="D123" s="29">
        <f t="shared" ref="D123:J123" si="48">D122/D121</f>
        <v>0.62047284255655388</v>
      </c>
      <c r="E123" s="29">
        <f t="shared" si="48"/>
        <v>0.76435747294471734</v>
      </c>
      <c r="F123" s="29">
        <f t="shared" si="48"/>
        <v>0.74482687794351332</v>
      </c>
      <c r="G123" s="29">
        <f t="shared" si="48"/>
        <v>0.7763331459470747</v>
      </c>
      <c r="H123" s="29">
        <f t="shared" si="48"/>
        <v>0.70030441291158885</v>
      </c>
      <c r="I123" s="29">
        <f t="shared" si="48"/>
        <v>0.6305497131970641</v>
      </c>
      <c r="J123" s="109">
        <f t="shared" si="48"/>
        <v>0.71111749012744263</v>
      </c>
    </row>
    <row r="124" spans="1:10" x14ac:dyDescent="0.3">
      <c r="A124" s="649" t="s">
        <v>90</v>
      </c>
      <c r="B124" s="650"/>
      <c r="C124" s="650"/>
      <c r="D124" s="650"/>
      <c r="E124" s="650"/>
      <c r="F124" s="650"/>
      <c r="G124" s="650"/>
      <c r="H124" s="650"/>
      <c r="I124" s="650"/>
      <c r="J124" s="651"/>
    </row>
    <row r="125" spans="1:10" ht="15.6" x14ac:dyDescent="0.3">
      <c r="A125" s="605" t="s">
        <v>227</v>
      </c>
      <c r="B125" s="24" t="s">
        <v>85</v>
      </c>
      <c r="C125" s="11" t="s">
        <v>3</v>
      </c>
      <c r="D125" s="26">
        <f>Bangula!J125</f>
        <v>0</v>
      </c>
      <c r="E125" s="26">
        <f>Chikwawa!J125</f>
        <v>0</v>
      </c>
      <c r="F125" s="26">
        <f>'Miseu Folo'!J125</f>
        <v>0</v>
      </c>
      <c r="G125" s="26">
        <f>Nchalo!J125</f>
        <v>0</v>
      </c>
      <c r="H125" s="26">
        <f>Nsanje!J125</f>
        <v>0</v>
      </c>
      <c r="I125" s="26">
        <f>Ngabu!J125</f>
        <v>1</v>
      </c>
      <c r="J125" s="25">
        <f>SUM(D125:I125)</f>
        <v>1</v>
      </c>
    </row>
    <row r="126" spans="1:10" ht="15.6" x14ac:dyDescent="0.3">
      <c r="A126" s="655"/>
      <c r="B126" s="24" t="s">
        <v>84</v>
      </c>
      <c r="C126" s="11" t="s">
        <v>3</v>
      </c>
      <c r="D126" s="26">
        <f>Bangula!J126+Bangula!K126+Bangula!L126</f>
        <v>0</v>
      </c>
      <c r="E126" s="26">
        <f>Chikwawa!J126+Chikwawa!K126+Chikwawa!L126</f>
        <v>0</v>
      </c>
      <c r="F126" s="26">
        <f>'Miseu Folo'!J126+'Miseu Folo'!K126+'Miseu Folo'!L126</f>
        <v>0</v>
      </c>
      <c r="G126" s="26">
        <f>Nchalo!J126+Nchalo!K126+Nchalo!L126</f>
        <v>0</v>
      </c>
      <c r="H126" s="26">
        <f>Nsanje!J126+Nsanje!K126+Nsanje!L126</f>
        <v>0</v>
      </c>
      <c r="I126" s="26">
        <f>Ngabu!J126+Ngabu!K126+Ngabu!L126</f>
        <v>0</v>
      </c>
      <c r="J126" s="18">
        <f>SUM(D126:I126)</f>
        <v>0</v>
      </c>
    </row>
    <row r="127" spans="1:10" ht="15.6" x14ac:dyDescent="0.3">
      <c r="A127" s="655"/>
      <c r="B127" s="82" t="s">
        <v>88</v>
      </c>
      <c r="C127" s="11" t="s">
        <v>3</v>
      </c>
      <c r="D127" s="26">
        <f>Bangula!J127+Bangula!K127+Bangula!L127</f>
        <v>0</v>
      </c>
      <c r="E127" s="26">
        <f>Chikwawa!J127+Chikwawa!K127+Chikwawa!L127</f>
        <v>0</v>
      </c>
      <c r="F127" s="26">
        <f>'Miseu Folo'!J127+'Miseu Folo'!K127+'Miseu Folo'!L127</f>
        <v>0</v>
      </c>
      <c r="G127" s="26">
        <f>Nchalo!J127+Nchalo!K127+Nchalo!L127</f>
        <v>0</v>
      </c>
      <c r="H127" s="26">
        <f>Nsanje!J127+Nsanje!K127+Nsanje!L127</f>
        <v>0</v>
      </c>
      <c r="I127" s="26">
        <f>Ngabu!J127+Ngabu!K127+Ngabu!L127</f>
        <v>0</v>
      </c>
      <c r="J127" s="18">
        <f>SUM(D127:I127)</f>
        <v>0</v>
      </c>
    </row>
    <row r="128" spans="1:10" ht="15.6" x14ac:dyDescent="0.3">
      <c r="A128" s="655"/>
      <c r="B128" s="24" t="s">
        <v>82</v>
      </c>
      <c r="C128" s="11" t="s">
        <v>3</v>
      </c>
      <c r="D128" s="26">
        <f>Bangula!J128+Bangula!K128+Bangula!L128</f>
        <v>0</v>
      </c>
      <c r="E128" s="26">
        <f>Chikwawa!J128+Chikwawa!K128+Chikwawa!L128</f>
        <v>0</v>
      </c>
      <c r="F128" s="26">
        <f>'Miseu Folo'!J128+'Miseu Folo'!K128+'Miseu Folo'!L128</f>
        <v>0</v>
      </c>
      <c r="G128" s="26">
        <f>Nchalo!J128+Nchalo!K128+Nchalo!L128</f>
        <v>0</v>
      </c>
      <c r="H128" s="26">
        <f>Nsanje!J128+Nsanje!K128+Nsanje!L128</f>
        <v>0</v>
      </c>
      <c r="I128" s="26">
        <f>Ngabu!J128+Ngabu!K128+Ngabu!L128</f>
        <v>0</v>
      </c>
      <c r="J128" s="18">
        <f>SUM(D128:I128)</f>
        <v>0</v>
      </c>
    </row>
    <row r="129" spans="1:10" ht="15.6" x14ac:dyDescent="0.3">
      <c r="A129" s="606"/>
      <c r="B129" s="24" t="s">
        <v>81</v>
      </c>
      <c r="C129" s="11" t="s">
        <v>3</v>
      </c>
      <c r="D129" s="140">
        <f t="shared" ref="D129:J129" si="49">D125+D126-D127-D128</f>
        <v>0</v>
      </c>
      <c r="E129" s="141">
        <f t="shared" si="49"/>
        <v>0</v>
      </c>
      <c r="F129" s="141">
        <f t="shared" si="49"/>
        <v>0</v>
      </c>
      <c r="G129" s="140">
        <f t="shared" si="49"/>
        <v>0</v>
      </c>
      <c r="H129" s="140">
        <f t="shared" si="49"/>
        <v>0</v>
      </c>
      <c r="I129" s="140">
        <f t="shared" si="49"/>
        <v>1</v>
      </c>
      <c r="J129" s="25">
        <f t="shared" si="49"/>
        <v>1</v>
      </c>
    </row>
    <row r="130" spans="1:10" ht="15.6" x14ac:dyDescent="0.3">
      <c r="A130" s="605" t="s">
        <v>228</v>
      </c>
      <c r="B130" s="28" t="s">
        <v>85</v>
      </c>
      <c r="C130" s="27" t="s">
        <v>3</v>
      </c>
      <c r="D130" s="26">
        <f>Bangula!J130</f>
        <v>0</v>
      </c>
      <c r="E130" s="26">
        <f>Chikwawa!J130</f>
        <v>0</v>
      </c>
      <c r="F130" s="26">
        <f>'Miseu Folo'!J130</f>
        <v>0</v>
      </c>
      <c r="G130" s="26">
        <f>Nchalo!J130</f>
        <v>1</v>
      </c>
      <c r="H130" s="26">
        <f>Nsanje!J130</f>
        <v>0</v>
      </c>
      <c r="I130" s="26">
        <f>Ngabu!J130</f>
        <v>0</v>
      </c>
      <c r="J130" s="25">
        <f>SUM(D130:I130)</f>
        <v>1</v>
      </c>
    </row>
    <row r="131" spans="1:10" ht="15.6" x14ac:dyDescent="0.3">
      <c r="A131" s="655"/>
      <c r="B131" s="24" t="s">
        <v>84</v>
      </c>
      <c r="C131" s="11" t="s">
        <v>3</v>
      </c>
      <c r="D131" s="26">
        <f>Bangula!J131+Bangula!K131+Bangula!L131</f>
        <v>0</v>
      </c>
      <c r="E131" s="26">
        <f>Chikwawa!J131+Chikwawa!K131+Chikwawa!L131</f>
        <v>0</v>
      </c>
      <c r="F131" s="26">
        <f>'Miseu Folo'!J131+'Miseu Folo'!K131+'Miseu Folo'!L131</f>
        <v>0</v>
      </c>
      <c r="G131" s="26">
        <f>Nchalo!J131+Nchalo!K131+Nchalo!L131</f>
        <v>0</v>
      </c>
      <c r="H131" s="26">
        <f>Nsanje!J131+Nsanje!K131+Nsanje!L131</f>
        <v>0</v>
      </c>
      <c r="I131" s="26">
        <f>Ngabu!J131+Ngabu!K131+Ngabu!L131</f>
        <v>0</v>
      </c>
      <c r="J131" s="18">
        <f>SUM(D131:I131)</f>
        <v>0</v>
      </c>
    </row>
    <row r="132" spans="1:10" ht="15.6" x14ac:dyDescent="0.3">
      <c r="A132" s="655"/>
      <c r="B132" s="82" t="s">
        <v>88</v>
      </c>
      <c r="C132" s="11" t="s">
        <v>3</v>
      </c>
      <c r="D132" s="26">
        <f>Bangula!J132+Bangula!K132+Bangula!L132</f>
        <v>0</v>
      </c>
      <c r="E132" s="26">
        <f>Chikwawa!J132+Chikwawa!K132+Chikwawa!L132</f>
        <v>0</v>
      </c>
      <c r="F132" s="26">
        <f>'Miseu Folo'!J132+'Miseu Folo'!K132+'Miseu Folo'!L132</f>
        <v>0</v>
      </c>
      <c r="G132" s="26">
        <f>Nchalo!J132+Nchalo!K132+Nchalo!L132</f>
        <v>0</v>
      </c>
      <c r="H132" s="26">
        <f>Nsanje!J132+Nsanje!K132+Nsanje!L132</f>
        <v>0</v>
      </c>
      <c r="I132" s="26">
        <f>Ngabu!J132+Ngabu!K132+Ngabu!L132</f>
        <v>0</v>
      </c>
      <c r="J132" s="18">
        <f>SUM(D132:I132)</f>
        <v>0</v>
      </c>
    </row>
    <row r="133" spans="1:10" ht="15.6" x14ac:dyDescent="0.3">
      <c r="A133" s="655"/>
      <c r="B133" s="24" t="s">
        <v>82</v>
      </c>
      <c r="C133" s="11" t="s">
        <v>3</v>
      </c>
      <c r="D133" s="26">
        <f>Bangula!J133+Bangula!K133+Bangula!L133</f>
        <v>0</v>
      </c>
      <c r="E133" s="26">
        <f>Chikwawa!J133+Chikwawa!K133+Chikwawa!L133</f>
        <v>0</v>
      </c>
      <c r="F133" s="26">
        <f>'Miseu Folo'!J133+'Miseu Folo'!K133+'Miseu Folo'!L133</f>
        <v>0</v>
      </c>
      <c r="G133" s="26">
        <f>Nchalo!J133+Nchalo!K133+Nchalo!L133</f>
        <v>0</v>
      </c>
      <c r="H133" s="26">
        <f>Nsanje!J133+Nsanje!K133+Nsanje!L133</f>
        <v>0</v>
      </c>
      <c r="I133" s="26">
        <f>Ngabu!J133+Ngabu!K133+Ngabu!L133</f>
        <v>0</v>
      </c>
      <c r="J133" s="18">
        <f>SUM(D133:I133)</f>
        <v>0</v>
      </c>
    </row>
    <row r="134" spans="1:10" ht="15.6" x14ac:dyDescent="0.3">
      <c r="A134" s="606"/>
      <c r="B134" s="24" t="s">
        <v>81</v>
      </c>
      <c r="C134" s="11" t="s">
        <v>3</v>
      </c>
      <c r="D134" s="140">
        <f t="shared" ref="D134:J134" si="50">D130+D131-D132-D133</f>
        <v>0</v>
      </c>
      <c r="E134" s="141">
        <f t="shared" si="50"/>
        <v>0</v>
      </c>
      <c r="F134" s="141">
        <f t="shared" si="50"/>
        <v>0</v>
      </c>
      <c r="G134" s="140">
        <f t="shared" si="50"/>
        <v>1</v>
      </c>
      <c r="H134" s="140">
        <f t="shared" si="50"/>
        <v>0</v>
      </c>
      <c r="I134" s="140">
        <f t="shared" si="50"/>
        <v>0</v>
      </c>
      <c r="J134" s="25">
        <f t="shared" si="50"/>
        <v>1</v>
      </c>
    </row>
    <row r="135" spans="1:10" ht="15.6" x14ac:dyDescent="0.3">
      <c r="A135" s="605" t="s">
        <v>89</v>
      </c>
      <c r="B135" s="24" t="s">
        <v>85</v>
      </c>
      <c r="C135" s="11" t="s">
        <v>3</v>
      </c>
      <c r="D135" s="26">
        <f>Bangula!J135</f>
        <v>2</v>
      </c>
      <c r="E135" s="26">
        <f>Chikwawa!J135</f>
        <v>0</v>
      </c>
      <c r="F135" s="26">
        <f>'Miseu Folo'!J135</f>
        <v>0</v>
      </c>
      <c r="G135" s="26">
        <f>Nchalo!J135</f>
        <v>0</v>
      </c>
      <c r="H135" s="26">
        <f>Nsanje!J135</f>
        <v>0</v>
      </c>
      <c r="I135" s="26">
        <f>Ngabu!J135</f>
        <v>1</v>
      </c>
      <c r="J135" s="25">
        <f>SUM(D135:I135)</f>
        <v>3</v>
      </c>
    </row>
    <row r="136" spans="1:10" ht="15.6" x14ac:dyDescent="0.3">
      <c r="A136" s="655"/>
      <c r="B136" s="24" t="s">
        <v>84</v>
      </c>
      <c r="C136" s="11" t="s">
        <v>3</v>
      </c>
      <c r="D136" s="26">
        <f>Bangula!J136+Bangula!K136+Bangula!L136</f>
        <v>0</v>
      </c>
      <c r="E136" s="26">
        <f>Chikwawa!J136+Chikwawa!K136+Chikwawa!L136</f>
        <v>0</v>
      </c>
      <c r="F136" s="26">
        <f>'Miseu Folo'!J136+'Miseu Folo'!K136+'Miseu Folo'!L136</f>
        <v>0</v>
      </c>
      <c r="G136" s="26">
        <f>Nchalo!J136+Nchalo!K136+Nchalo!L136</f>
        <v>0</v>
      </c>
      <c r="H136" s="26">
        <f>Nsanje!J136+Nsanje!K136+Nsanje!L136</f>
        <v>0</v>
      </c>
      <c r="I136" s="26">
        <f>Ngabu!J136+Ngabu!K136+Ngabu!L136</f>
        <v>0</v>
      </c>
      <c r="J136" s="18">
        <f>SUM(D136:I136)</f>
        <v>0</v>
      </c>
    </row>
    <row r="137" spans="1:10" ht="15.6" x14ac:dyDescent="0.3">
      <c r="A137" s="655"/>
      <c r="B137" s="82" t="s">
        <v>88</v>
      </c>
      <c r="C137" s="11" t="s">
        <v>3</v>
      </c>
      <c r="D137" s="26">
        <f>Bangula!J137+Bangula!K137+Bangula!L137</f>
        <v>0</v>
      </c>
      <c r="E137" s="26">
        <f>Chikwawa!J137+Chikwawa!K137+Chikwawa!L137</f>
        <v>0</v>
      </c>
      <c r="F137" s="26">
        <f>'Miseu Folo'!J137+'Miseu Folo'!K137+'Miseu Folo'!L137</f>
        <v>0</v>
      </c>
      <c r="G137" s="26">
        <f>Nchalo!J137+Nchalo!K137+Nchalo!L137</f>
        <v>0</v>
      </c>
      <c r="H137" s="26">
        <f>Nsanje!J137+Nsanje!K137+Nsanje!L137</f>
        <v>0</v>
      </c>
      <c r="I137" s="26">
        <f>Ngabu!J137+Ngabu!K137+Ngabu!L137</f>
        <v>0</v>
      </c>
      <c r="J137" s="18">
        <f>SUM(D137:I137)</f>
        <v>0</v>
      </c>
    </row>
    <row r="138" spans="1:10" ht="15.6" x14ac:dyDescent="0.3">
      <c r="A138" s="655"/>
      <c r="B138" s="24" t="s">
        <v>82</v>
      </c>
      <c r="C138" s="11" t="s">
        <v>3</v>
      </c>
      <c r="D138" s="26">
        <f>Bangula!J138+Bangula!K138+Bangula!L138</f>
        <v>0</v>
      </c>
      <c r="E138" s="26">
        <f>Chikwawa!J138+Chikwawa!K138+Chikwawa!L138</f>
        <v>0</v>
      </c>
      <c r="F138" s="26">
        <f>'Miseu Folo'!J138+'Miseu Folo'!K138+'Miseu Folo'!L138</f>
        <v>0</v>
      </c>
      <c r="G138" s="26">
        <f>Nchalo!J138+Nchalo!K138+Nchalo!L138</f>
        <v>0</v>
      </c>
      <c r="H138" s="26">
        <f>Nsanje!J138+Nsanje!K138+Nsanje!L138</f>
        <v>0</v>
      </c>
      <c r="I138" s="26">
        <f>Ngabu!J138+Ngabu!K138+Ngabu!L138</f>
        <v>0</v>
      </c>
      <c r="J138" s="18">
        <f>SUM(D138:I138)</f>
        <v>0</v>
      </c>
    </row>
    <row r="139" spans="1:10" ht="15.6" x14ac:dyDescent="0.3">
      <c r="A139" s="606"/>
      <c r="B139" s="24" t="s">
        <v>81</v>
      </c>
      <c r="C139" s="11" t="s">
        <v>3</v>
      </c>
      <c r="D139" s="140">
        <f t="shared" ref="D139:J139" si="51">D135+D136-D137-D138</f>
        <v>2</v>
      </c>
      <c r="E139" s="141">
        <f t="shared" si="51"/>
        <v>0</v>
      </c>
      <c r="F139" s="141">
        <f t="shared" si="51"/>
        <v>0</v>
      </c>
      <c r="G139" s="140">
        <f t="shared" si="51"/>
        <v>0</v>
      </c>
      <c r="H139" s="140">
        <f t="shared" si="51"/>
        <v>0</v>
      </c>
      <c r="I139" s="140">
        <f t="shared" si="51"/>
        <v>1</v>
      </c>
      <c r="J139" s="25">
        <f t="shared" si="51"/>
        <v>3</v>
      </c>
    </row>
    <row r="140" spans="1:10" ht="15.6" x14ac:dyDescent="0.3">
      <c r="A140" s="605" t="s">
        <v>87</v>
      </c>
      <c r="B140" s="24" t="s">
        <v>85</v>
      </c>
      <c r="C140" s="11" t="s">
        <v>3</v>
      </c>
      <c r="D140" s="26">
        <f>Bangula!J140</f>
        <v>57</v>
      </c>
      <c r="E140" s="26">
        <f>Chikwawa!J140</f>
        <v>330</v>
      </c>
      <c r="F140" s="26">
        <f>'Miseu Folo'!J140</f>
        <v>5</v>
      </c>
      <c r="G140" s="26">
        <f>Nchalo!J140</f>
        <v>379</v>
      </c>
      <c r="H140" s="26">
        <f>Nsanje!J140</f>
        <v>78</v>
      </c>
      <c r="I140" s="26">
        <f>Ngabu!J140</f>
        <v>38</v>
      </c>
      <c r="J140" s="25">
        <f>SUM(D140:I140)</f>
        <v>887</v>
      </c>
    </row>
    <row r="141" spans="1:10" ht="15.6" x14ac:dyDescent="0.3">
      <c r="A141" s="655"/>
      <c r="B141" s="24" t="s">
        <v>84</v>
      </c>
      <c r="C141" s="11" t="s">
        <v>3</v>
      </c>
      <c r="D141" s="26">
        <f>Bangula!J141+Bangula!K141+Bangula!L141</f>
        <v>13</v>
      </c>
      <c r="E141" s="26">
        <f>Chikwawa!J141+Chikwawa!K141+Chikwawa!L141</f>
        <v>38</v>
      </c>
      <c r="F141" s="26">
        <f>'Miseu Folo'!J141+'Miseu Folo'!K141+'Miseu Folo'!L141</f>
        <v>0</v>
      </c>
      <c r="G141" s="26">
        <f>Nchalo!J141+Nchalo!K141+Nchalo!L141</f>
        <v>135</v>
      </c>
      <c r="H141" s="26">
        <f>Nsanje!J141+Nsanje!K141+Nsanje!L141</f>
        <v>23</v>
      </c>
      <c r="I141" s="26">
        <f>Ngabu!J141+Ngabu!K141+Ngabu!L141</f>
        <v>9</v>
      </c>
      <c r="J141" s="18">
        <f>SUM(D141:I141)</f>
        <v>218</v>
      </c>
    </row>
    <row r="142" spans="1:10" ht="15.6" x14ac:dyDescent="0.3">
      <c r="A142" s="655"/>
      <c r="B142" s="24" t="s">
        <v>83</v>
      </c>
      <c r="C142" s="11" t="s">
        <v>3</v>
      </c>
      <c r="D142" s="26">
        <f>Bangula!J142+Bangula!K142+Bangula!L142</f>
        <v>12</v>
      </c>
      <c r="E142" s="26">
        <f>Chikwawa!J142+Chikwawa!K142+Chikwawa!L142</f>
        <v>36</v>
      </c>
      <c r="F142" s="26">
        <f>'Miseu Folo'!J142+'Miseu Folo'!K142+'Miseu Folo'!L142</f>
        <v>0</v>
      </c>
      <c r="G142" s="26">
        <f>Nchalo!J142+Nchalo!K142+Nchalo!L142</f>
        <v>0</v>
      </c>
      <c r="H142" s="26">
        <f>Nsanje!J142+Nsanje!K142+Nsanje!L142</f>
        <v>3</v>
      </c>
      <c r="I142" s="26">
        <f>Ngabu!J142+Ngabu!K142+Ngabu!L142</f>
        <v>0</v>
      </c>
      <c r="J142" s="18">
        <f>SUM(D142:I142)</f>
        <v>51</v>
      </c>
    </row>
    <row r="143" spans="1:10" ht="15.6" x14ac:dyDescent="0.3">
      <c r="A143" s="655"/>
      <c r="B143" s="24" t="s">
        <v>82</v>
      </c>
      <c r="C143" s="11" t="s">
        <v>3</v>
      </c>
      <c r="D143" s="26">
        <f>Bangula!J143+Bangula!K143+Bangula!L143</f>
        <v>0</v>
      </c>
      <c r="E143" s="26">
        <f>Chikwawa!J143+Chikwawa!K143+Chikwawa!L143</f>
        <v>0</v>
      </c>
      <c r="F143" s="26">
        <f>'Miseu Folo'!J143+'Miseu Folo'!K143+'Miseu Folo'!L143</f>
        <v>2</v>
      </c>
      <c r="G143" s="26">
        <f>Nchalo!J143+Nchalo!K143+Nchalo!L143</f>
        <v>6</v>
      </c>
      <c r="H143" s="26">
        <f>Nsanje!J143+Nsanje!K143+Nsanje!L143</f>
        <v>2</v>
      </c>
      <c r="I143" s="26">
        <f>Ngabu!J143+Ngabu!K143+Ngabu!L143</f>
        <v>40</v>
      </c>
      <c r="J143" s="18">
        <f>SUM(D143:I143)</f>
        <v>50</v>
      </c>
    </row>
    <row r="144" spans="1:10" ht="15.6" x14ac:dyDescent="0.3">
      <c r="A144" s="606"/>
      <c r="B144" s="24" t="s">
        <v>81</v>
      </c>
      <c r="C144" s="11" t="s">
        <v>3</v>
      </c>
      <c r="D144" s="140">
        <f t="shared" ref="D144:J144" si="52">D140+D141-D142-D143</f>
        <v>58</v>
      </c>
      <c r="E144" s="141">
        <f t="shared" si="52"/>
        <v>332</v>
      </c>
      <c r="F144" s="141">
        <f t="shared" si="52"/>
        <v>3</v>
      </c>
      <c r="G144" s="140">
        <f t="shared" si="52"/>
        <v>508</v>
      </c>
      <c r="H144" s="140">
        <f t="shared" si="52"/>
        <v>96</v>
      </c>
      <c r="I144" s="140">
        <f t="shared" si="52"/>
        <v>7</v>
      </c>
      <c r="J144" s="25">
        <f t="shared" si="52"/>
        <v>1004</v>
      </c>
    </row>
    <row r="145" spans="1:10" s="2" customFormat="1" ht="15.6" x14ac:dyDescent="0.3">
      <c r="A145" s="605" t="s">
        <v>86</v>
      </c>
      <c r="B145" s="24" t="s">
        <v>85</v>
      </c>
      <c r="C145" s="11" t="s">
        <v>3</v>
      </c>
      <c r="D145" s="139">
        <f t="shared" ref="D145:J149" si="53">D125+D130+D135+D140</f>
        <v>59</v>
      </c>
      <c r="E145" s="139">
        <f t="shared" si="53"/>
        <v>330</v>
      </c>
      <c r="F145" s="139">
        <f t="shared" si="53"/>
        <v>5</v>
      </c>
      <c r="G145" s="139">
        <f t="shared" si="53"/>
        <v>380</v>
      </c>
      <c r="H145" s="139">
        <f t="shared" si="53"/>
        <v>78</v>
      </c>
      <c r="I145" s="139">
        <f t="shared" si="53"/>
        <v>40</v>
      </c>
      <c r="J145" s="110">
        <f t="shared" si="53"/>
        <v>892</v>
      </c>
    </row>
    <row r="146" spans="1:10" ht="15.6" x14ac:dyDescent="0.3">
      <c r="A146" s="655"/>
      <c r="B146" s="24" t="s">
        <v>84</v>
      </c>
      <c r="C146" s="11" t="s">
        <v>3</v>
      </c>
      <c r="D146" s="139">
        <f t="shared" si="53"/>
        <v>13</v>
      </c>
      <c r="E146" s="139">
        <f t="shared" si="53"/>
        <v>38</v>
      </c>
      <c r="F146" s="139">
        <f t="shared" si="53"/>
        <v>0</v>
      </c>
      <c r="G146" s="139">
        <f t="shared" si="53"/>
        <v>135</v>
      </c>
      <c r="H146" s="139">
        <f t="shared" si="53"/>
        <v>23</v>
      </c>
      <c r="I146" s="139">
        <f t="shared" si="53"/>
        <v>9</v>
      </c>
      <c r="J146" s="110">
        <f t="shared" si="53"/>
        <v>218</v>
      </c>
    </row>
    <row r="147" spans="1:10" ht="15.6" x14ac:dyDescent="0.3">
      <c r="A147" s="655"/>
      <c r="B147" s="24" t="s">
        <v>83</v>
      </c>
      <c r="C147" s="11" t="s">
        <v>3</v>
      </c>
      <c r="D147" s="139">
        <f t="shared" si="53"/>
        <v>12</v>
      </c>
      <c r="E147" s="139">
        <f t="shared" si="53"/>
        <v>36</v>
      </c>
      <c r="F147" s="139">
        <f t="shared" si="53"/>
        <v>0</v>
      </c>
      <c r="G147" s="139">
        <f t="shared" si="53"/>
        <v>0</v>
      </c>
      <c r="H147" s="139">
        <f t="shared" si="53"/>
        <v>3</v>
      </c>
      <c r="I147" s="139">
        <f t="shared" si="53"/>
        <v>0</v>
      </c>
      <c r="J147" s="110">
        <f t="shared" si="53"/>
        <v>51</v>
      </c>
    </row>
    <row r="148" spans="1:10" ht="15.6" x14ac:dyDescent="0.3">
      <c r="A148" s="655"/>
      <c r="B148" s="24" t="s">
        <v>82</v>
      </c>
      <c r="C148" s="11" t="s">
        <v>3</v>
      </c>
      <c r="D148" s="139">
        <f t="shared" si="53"/>
        <v>0</v>
      </c>
      <c r="E148" s="139">
        <f t="shared" si="53"/>
        <v>0</v>
      </c>
      <c r="F148" s="139">
        <f t="shared" si="53"/>
        <v>2</v>
      </c>
      <c r="G148" s="139">
        <f t="shared" si="53"/>
        <v>6</v>
      </c>
      <c r="H148" s="139">
        <f t="shared" si="53"/>
        <v>2</v>
      </c>
      <c r="I148" s="139">
        <f t="shared" si="53"/>
        <v>40</v>
      </c>
      <c r="J148" s="110">
        <f t="shared" si="53"/>
        <v>50</v>
      </c>
    </row>
    <row r="149" spans="1:10" ht="15.6" x14ac:dyDescent="0.3">
      <c r="A149" s="606"/>
      <c r="B149" s="24" t="s">
        <v>81</v>
      </c>
      <c r="C149" s="11" t="s">
        <v>3</v>
      </c>
      <c r="D149" s="140">
        <f t="shared" ref="D149:I149" si="54">D145+D146-D147-D148</f>
        <v>60</v>
      </c>
      <c r="E149" s="141">
        <f t="shared" si="54"/>
        <v>332</v>
      </c>
      <c r="F149" s="141">
        <f t="shared" si="54"/>
        <v>3</v>
      </c>
      <c r="G149" s="140">
        <f t="shared" si="54"/>
        <v>509</v>
      </c>
      <c r="H149" s="140">
        <f t="shared" si="54"/>
        <v>96</v>
      </c>
      <c r="I149" s="140">
        <f t="shared" si="54"/>
        <v>9</v>
      </c>
      <c r="J149" s="110">
        <f t="shared" si="53"/>
        <v>1009</v>
      </c>
    </row>
    <row r="150" spans="1:10" x14ac:dyDescent="0.3">
      <c r="A150" s="595" t="s">
        <v>80</v>
      </c>
      <c r="B150" s="596"/>
      <c r="C150" s="596"/>
      <c r="D150" s="596"/>
      <c r="E150" s="596"/>
      <c r="F150" s="596"/>
      <c r="G150" s="596"/>
      <c r="H150" s="596"/>
      <c r="I150" s="596"/>
      <c r="J150" s="597"/>
    </row>
    <row r="151" spans="1:10" ht="15.6" customHeight="1" x14ac:dyDescent="0.3">
      <c r="A151" s="682" t="s">
        <v>79</v>
      </c>
      <c r="B151" s="683"/>
      <c r="C151" s="683"/>
      <c r="D151" s="683"/>
      <c r="E151" s="683"/>
      <c r="F151" s="683"/>
      <c r="G151" s="683"/>
      <c r="H151" s="683"/>
      <c r="I151" s="683"/>
      <c r="J151" s="684"/>
    </row>
    <row r="152" spans="1:10" ht="15.6" x14ac:dyDescent="0.3">
      <c r="A152" s="652" t="s">
        <v>78</v>
      </c>
      <c r="B152" s="92" t="s">
        <v>63</v>
      </c>
      <c r="C152" s="11"/>
      <c r="D152" s="177"/>
      <c r="E152" s="177"/>
      <c r="F152" s="177"/>
      <c r="G152" s="177"/>
      <c r="H152" s="177"/>
      <c r="I152" s="177"/>
      <c r="J152" s="9"/>
    </row>
    <row r="153" spans="1:10" ht="15.6" x14ac:dyDescent="0.3">
      <c r="A153" s="653"/>
      <c r="B153" s="19" t="s">
        <v>73</v>
      </c>
      <c r="C153" s="11" t="s">
        <v>57</v>
      </c>
      <c r="D153" s="26">
        <f>Bangula!J153+Bangula!K153+Bangula!L153</f>
        <v>38</v>
      </c>
      <c r="E153" s="26">
        <f>Chikwawa!J153+Chikwawa!K153+Chikwawa!L153</f>
        <v>183</v>
      </c>
      <c r="F153" s="26">
        <f>'Miseu Folo'!J153+'Miseu Folo'!K153+'Miseu Folo'!L153</f>
        <v>19</v>
      </c>
      <c r="G153" s="26">
        <f>Nchalo!J153+Nchalo!K153+Nchalo!L153</f>
        <v>97</v>
      </c>
      <c r="H153" s="26">
        <f>Nsanje!J153+Nsanje!K153+Nsanje!L153</f>
        <v>236</v>
      </c>
      <c r="I153" s="26">
        <f>Ngabu!J153+Ngabu!K153+Ngabu!L153</f>
        <v>40</v>
      </c>
      <c r="J153" s="18">
        <f t="shared" ref="J153:J165" si="55">SUM(D153:I153)</f>
        <v>613</v>
      </c>
    </row>
    <row r="154" spans="1:10" ht="15.6" x14ac:dyDescent="0.3">
      <c r="A154" s="653"/>
      <c r="B154" s="19" t="s">
        <v>72</v>
      </c>
      <c r="C154" s="11" t="s">
        <v>57</v>
      </c>
      <c r="D154" s="26">
        <f>Bangula!J154+Bangula!K154+Bangula!L154</f>
        <v>3</v>
      </c>
      <c r="E154" s="26">
        <f>Chikwawa!J154+Chikwawa!K154+Chikwawa!L154</f>
        <v>66</v>
      </c>
      <c r="F154" s="26">
        <f>'Miseu Folo'!J154+'Miseu Folo'!K154+'Miseu Folo'!L154</f>
        <v>8</v>
      </c>
      <c r="G154" s="26">
        <f>Nchalo!J154+Nchalo!K154+Nchalo!L154</f>
        <v>121</v>
      </c>
      <c r="H154" s="26">
        <f>Nsanje!J154+Nsanje!K154+Nsanje!L154</f>
        <v>94</v>
      </c>
      <c r="I154" s="26">
        <f>Ngabu!J154+Ngabu!K154+Ngabu!L154</f>
        <v>18</v>
      </c>
      <c r="J154" s="18">
        <f t="shared" si="55"/>
        <v>310</v>
      </c>
    </row>
    <row r="155" spans="1:10" ht="15.6" x14ac:dyDescent="0.3">
      <c r="A155" s="653"/>
      <c r="B155" s="19" t="s">
        <v>53</v>
      </c>
      <c r="C155" s="11" t="s">
        <v>57</v>
      </c>
      <c r="D155" s="26">
        <f>Bangula!J155+Bangula!K155+Bangula!L155</f>
        <v>1</v>
      </c>
      <c r="E155" s="26">
        <f>Chikwawa!J155+Chikwawa!K155+Chikwawa!L155</f>
        <v>10</v>
      </c>
      <c r="F155" s="26">
        <f>'Miseu Folo'!J155+'Miseu Folo'!K155+'Miseu Folo'!L155</f>
        <v>9</v>
      </c>
      <c r="G155" s="26">
        <f>Nchalo!J155+Nchalo!K155+Nchalo!L155</f>
        <v>46</v>
      </c>
      <c r="H155" s="26">
        <f>Nsanje!J155+Nsanje!K155+Nsanje!L155</f>
        <v>67</v>
      </c>
      <c r="I155" s="26">
        <f>Ngabu!J155+Ngabu!K155+Ngabu!L155</f>
        <v>12</v>
      </c>
      <c r="J155" s="18">
        <f t="shared" si="55"/>
        <v>145</v>
      </c>
    </row>
    <row r="156" spans="1:10" ht="15.6" x14ac:dyDescent="0.3">
      <c r="A156" s="653"/>
      <c r="B156" s="19" t="s">
        <v>71</v>
      </c>
      <c r="C156" s="11" t="s">
        <v>57</v>
      </c>
      <c r="D156" s="26">
        <f>Bangula!J156+Bangula!K156+Bangula!L156</f>
        <v>1</v>
      </c>
      <c r="E156" s="26">
        <f>Chikwawa!J156+Chikwawa!K156+Chikwawa!L156</f>
        <v>7</v>
      </c>
      <c r="F156" s="26">
        <f>'Miseu Folo'!J156+'Miseu Folo'!K156+'Miseu Folo'!L156</f>
        <v>2</v>
      </c>
      <c r="G156" s="26">
        <f>Nchalo!J156+Nchalo!K156+Nchalo!L156</f>
        <v>40</v>
      </c>
      <c r="H156" s="26">
        <f>Nsanje!J156+Nsanje!K156+Nsanje!L156</f>
        <v>28</v>
      </c>
      <c r="I156" s="26">
        <f>Ngabu!J156+Ngabu!K156+Ngabu!L156</f>
        <v>9</v>
      </c>
      <c r="J156" s="18">
        <f t="shared" si="55"/>
        <v>87</v>
      </c>
    </row>
    <row r="157" spans="1:10" ht="15.6" x14ac:dyDescent="0.3">
      <c r="A157" s="653"/>
      <c r="B157" s="19" t="s">
        <v>52</v>
      </c>
      <c r="C157" s="11" t="s">
        <v>57</v>
      </c>
      <c r="D157" s="26">
        <f>Bangula!J157+Bangula!K157+Bangula!L157</f>
        <v>1</v>
      </c>
      <c r="E157" s="26">
        <f>Chikwawa!J157+Chikwawa!K157+Chikwawa!L157</f>
        <v>4</v>
      </c>
      <c r="F157" s="26">
        <f>'Miseu Folo'!J157+'Miseu Folo'!K157+'Miseu Folo'!L157</f>
        <v>6</v>
      </c>
      <c r="G157" s="26">
        <f>Nchalo!J157+Nchalo!K157+Nchalo!L157</f>
        <v>30</v>
      </c>
      <c r="H157" s="26">
        <f>Nsanje!J157+Nsanje!K157+Nsanje!L157</f>
        <v>22</v>
      </c>
      <c r="I157" s="26">
        <f>Ngabu!J157+Ngabu!K157+Ngabu!L157</f>
        <v>7</v>
      </c>
      <c r="J157" s="18">
        <f t="shared" si="55"/>
        <v>70</v>
      </c>
    </row>
    <row r="158" spans="1:10" ht="15.6" x14ac:dyDescent="0.3">
      <c r="A158" s="653"/>
      <c r="B158" s="19" t="s">
        <v>51</v>
      </c>
      <c r="C158" s="11" t="s">
        <v>57</v>
      </c>
      <c r="D158" s="26">
        <f>Bangula!J158+Bangula!K158+Bangula!L158</f>
        <v>4</v>
      </c>
      <c r="E158" s="26">
        <f>Chikwawa!J158+Chikwawa!K158+Chikwawa!L158</f>
        <v>6</v>
      </c>
      <c r="F158" s="26">
        <f>'Miseu Folo'!J158+'Miseu Folo'!K158+'Miseu Folo'!L158</f>
        <v>7</v>
      </c>
      <c r="G158" s="26">
        <f>Nchalo!J158+Nchalo!K158+Nchalo!L158</f>
        <v>37</v>
      </c>
      <c r="H158" s="26">
        <f>Nsanje!J158+Nsanje!K158+Nsanje!L158</f>
        <v>17</v>
      </c>
      <c r="I158" s="26">
        <f>Ngabu!J158+Ngabu!K158+Ngabu!L158</f>
        <v>7</v>
      </c>
      <c r="J158" s="18">
        <f t="shared" si="55"/>
        <v>78</v>
      </c>
    </row>
    <row r="159" spans="1:10" ht="15.6" x14ac:dyDescent="0.3">
      <c r="A159" s="653"/>
      <c r="B159" s="19" t="s">
        <v>62</v>
      </c>
      <c r="C159" s="11" t="s">
        <v>57</v>
      </c>
      <c r="D159" s="26">
        <f>Bangula!J159+Bangula!K159+Bangula!L159</f>
        <v>0</v>
      </c>
      <c r="E159" s="26">
        <f>Chikwawa!J159+Chikwawa!K159+Chikwawa!L159</f>
        <v>0</v>
      </c>
      <c r="F159" s="26">
        <f>'Miseu Folo'!J159+'Miseu Folo'!K159+'Miseu Folo'!L159</f>
        <v>0</v>
      </c>
      <c r="G159" s="26">
        <f>Nchalo!J159+Nchalo!K159+Nchalo!L159</f>
        <v>12</v>
      </c>
      <c r="H159" s="26">
        <f>Nsanje!J159+Nsanje!K159+Nsanje!L159</f>
        <v>6</v>
      </c>
      <c r="I159" s="26">
        <f>Ngabu!J159+Ngabu!K159+Ngabu!L159</f>
        <v>0</v>
      </c>
      <c r="J159" s="18">
        <f t="shared" si="55"/>
        <v>18</v>
      </c>
    </row>
    <row r="160" spans="1:10" ht="15.6" x14ac:dyDescent="0.3">
      <c r="A160" s="653"/>
      <c r="B160" s="19" t="s">
        <v>50</v>
      </c>
      <c r="C160" s="11" t="s">
        <v>57</v>
      </c>
      <c r="D160" s="26">
        <f>Bangula!J160+Bangula!K160+Bangula!L160</f>
        <v>0</v>
      </c>
      <c r="E160" s="26">
        <f>Chikwawa!J160+Chikwawa!K160+Chikwawa!L160</f>
        <v>0</v>
      </c>
      <c r="F160" s="26">
        <f>'Miseu Folo'!J160+'Miseu Folo'!K160+'Miseu Folo'!L160</f>
        <v>2</v>
      </c>
      <c r="G160" s="26">
        <f>Nchalo!J160+Nchalo!K160+Nchalo!L160</f>
        <v>5</v>
      </c>
      <c r="H160" s="26">
        <f>Nsanje!J160+Nsanje!K160+Nsanje!L160</f>
        <v>6</v>
      </c>
      <c r="I160" s="26">
        <f>Ngabu!J160+Ngabu!K160+Ngabu!L160</f>
        <v>2</v>
      </c>
      <c r="J160" s="18">
        <f t="shared" si="55"/>
        <v>15</v>
      </c>
    </row>
    <row r="161" spans="1:10" ht="15.6" x14ac:dyDescent="0.3">
      <c r="A161" s="653"/>
      <c r="B161" s="19" t="s">
        <v>49</v>
      </c>
      <c r="C161" s="11" t="s">
        <v>57</v>
      </c>
      <c r="D161" s="26">
        <f>Bangula!J161+Bangula!K161+Bangula!L161</f>
        <v>2</v>
      </c>
      <c r="E161" s="26">
        <f>Chikwawa!J161+Chikwawa!K161+Chikwawa!L161</f>
        <v>2</v>
      </c>
      <c r="F161" s="26">
        <f>'Miseu Folo'!J161+'Miseu Folo'!K161+'Miseu Folo'!L161</f>
        <v>3</v>
      </c>
      <c r="G161" s="26">
        <f>Nchalo!J161+Nchalo!K161+Nchalo!L161</f>
        <v>10</v>
      </c>
      <c r="H161" s="26">
        <f>Nsanje!J161+Nsanje!K161+Nsanje!L161</f>
        <v>10</v>
      </c>
      <c r="I161" s="26">
        <f>Ngabu!J161+Ngabu!K161+Ngabu!L161</f>
        <v>0</v>
      </c>
      <c r="J161" s="18">
        <f t="shared" si="55"/>
        <v>27</v>
      </c>
    </row>
    <row r="162" spans="1:10" ht="15.6" x14ac:dyDescent="0.3">
      <c r="A162" s="653"/>
      <c r="B162" s="19" t="s">
        <v>77</v>
      </c>
      <c r="C162" s="11" t="s">
        <v>57</v>
      </c>
      <c r="D162" s="26">
        <f>Bangula!J162+Bangula!K162+Bangula!L162</f>
        <v>0</v>
      </c>
      <c r="E162" s="26">
        <f>Chikwawa!J162+Chikwawa!K162+Chikwawa!L162</f>
        <v>1</v>
      </c>
      <c r="F162" s="26">
        <f>'Miseu Folo'!J162+'Miseu Folo'!K162+'Miseu Folo'!L162</f>
        <v>0</v>
      </c>
      <c r="G162" s="26">
        <f>Nchalo!J162+Nchalo!K162+Nchalo!L162</f>
        <v>10</v>
      </c>
      <c r="H162" s="26">
        <f>Nsanje!J162+Nsanje!K162+Nsanje!L162</f>
        <v>2</v>
      </c>
      <c r="I162" s="26">
        <f>Ngabu!J162+Ngabu!K162+Ngabu!L162</f>
        <v>0</v>
      </c>
      <c r="J162" s="18">
        <f t="shared" si="55"/>
        <v>13</v>
      </c>
    </row>
    <row r="163" spans="1:10" ht="15.6" x14ac:dyDescent="0.3">
      <c r="A163" s="653"/>
      <c r="B163" s="19" t="s">
        <v>69</v>
      </c>
      <c r="C163" s="11" t="s">
        <v>57</v>
      </c>
      <c r="D163" s="26">
        <f>Bangula!J163+Bangula!K163+Bangula!L163</f>
        <v>0</v>
      </c>
      <c r="E163" s="26">
        <f>Chikwawa!J163+Chikwawa!K163+Chikwawa!L163</f>
        <v>0</v>
      </c>
      <c r="F163" s="26">
        <f>'Miseu Folo'!J163+'Miseu Folo'!K163+'Miseu Folo'!L163</f>
        <v>0</v>
      </c>
      <c r="G163" s="26">
        <f>Nchalo!J163+Nchalo!K163+Nchalo!L163</f>
        <v>0</v>
      </c>
      <c r="H163" s="26">
        <f>Nsanje!J163+Nsanje!K163+Nsanje!L163</f>
        <v>0</v>
      </c>
      <c r="I163" s="26">
        <f>Ngabu!J163+Ngabu!K163+Ngabu!L163</f>
        <v>0</v>
      </c>
      <c r="J163" s="18">
        <f t="shared" si="55"/>
        <v>0</v>
      </c>
    </row>
    <row r="164" spans="1:10" ht="15.6" x14ac:dyDescent="0.3">
      <c r="A164" s="653"/>
      <c r="B164" s="19" t="s">
        <v>68</v>
      </c>
      <c r="C164" s="11" t="s">
        <v>57</v>
      </c>
      <c r="D164" s="26">
        <f>Bangula!J164+Bangula!K164+Bangula!L164</f>
        <v>0</v>
      </c>
      <c r="E164" s="26">
        <f>Chikwawa!J164+Chikwawa!K164+Chikwawa!L164</f>
        <v>0</v>
      </c>
      <c r="F164" s="26">
        <f>'Miseu Folo'!J164+'Miseu Folo'!K164+'Miseu Folo'!L164</f>
        <v>0</v>
      </c>
      <c r="G164" s="26">
        <f>Nchalo!J164+Nchalo!K164+Nchalo!L164</f>
        <v>0</v>
      </c>
      <c r="H164" s="26">
        <f>Nsanje!J164+Nsanje!K164+Nsanje!L164</f>
        <v>0</v>
      </c>
      <c r="I164" s="26">
        <f>Ngabu!J164+Ngabu!K164+Ngabu!L164</f>
        <v>0</v>
      </c>
      <c r="J164" s="18">
        <f t="shared" si="55"/>
        <v>0</v>
      </c>
    </row>
    <row r="165" spans="1:10" ht="15.6" x14ac:dyDescent="0.3">
      <c r="A165" s="654"/>
      <c r="B165" s="19" t="s">
        <v>76</v>
      </c>
      <c r="C165" s="11" t="s">
        <v>57</v>
      </c>
      <c r="D165" s="26">
        <f>Bangula!J165+Bangula!K165+Bangula!L165</f>
        <v>0</v>
      </c>
      <c r="E165" s="26">
        <f>Chikwawa!J165+Chikwawa!K165+Chikwawa!L165</f>
        <v>0</v>
      </c>
      <c r="F165" s="26">
        <f>'Miseu Folo'!J165+'Miseu Folo'!K165+'Miseu Folo'!L165</f>
        <v>0</v>
      </c>
      <c r="G165" s="26">
        <f>Nchalo!J165+Nchalo!K165+Nchalo!L165</f>
        <v>0</v>
      </c>
      <c r="H165" s="26">
        <f>Nsanje!J165+Nsanje!K165+Nsanje!L165</f>
        <v>0</v>
      </c>
      <c r="I165" s="26">
        <f>Ngabu!J165+Ngabu!K165+Ngabu!L165</f>
        <v>0</v>
      </c>
      <c r="J165" s="18">
        <f t="shared" si="55"/>
        <v>0</v>
      </c>
    </row>
    <row r="166" spans="1:10" ht="15.6" x14ac:dyDescent="0.3">
      <c r="A166" s="652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18"/>
    </row>
    <row r="167" spans="1:10" ht="15.6" x14ac:dyDescent="0.3">
      <c r="A167" s="653"/>
      <c r="B167" s="19" t="s">
        <v>74</v>
      </c>
      <c r="C167" s="11" t="s">
        <v>57</v>
      </c>
      <c r="D167" s="26">
        <f>Bangula!J167+Bangula!K167+Bangula!L167</f>
        <v>7</v>
      </c>
      <c r="E167" s="26">
        <f>Chikwawa!J167+Chikwawa!K167+Chikwawa!L167</f>
        <v>3</v>
      </c>
      <c r="F167" s="26">
        <f>'Miseu Folo'!J167+'Miseu Folo'!K167+'Miseu Folo'!L167</f>
        <v>6</v>
      </c>
      <c r="G167" s="26">
        <f>Nchalo!J167+Nchalo!K167+Nchalo!L167</f>
        <v>17</v>
      </c>
      <c r="H167" s="26">
        <f>Nsanje!J167+Nsanje!K167+Nsanje!L167</f>
        <v>27</v>
      </c>
      <c r="I167" s="26">
        <f>Ngabu!J167+Ngabu!K167+Ngabu!L167</f>
        <v>16</v>
      </c>
      <c r="J167" s="18">
        <f t="shared" ref="J167:J175" si="56">SUM(D167:I167)</f>
        <v>76</v>
      </c>
    </row>
    <row r="168" spans="1:10" ht="15.6" x14ac:dyDescent="0.3">
      <c r="A168" s="653"/>
      <c r="B168" s="19" t="s">
        <v>73</v>
      </c>
      <c r="C168" s="11" t="s">
        <v>57</v>
      </c>
      <c r="D168" s="26">
        <f>Bangula!J168+Bangula!K168+Bangula!L168</f>
        <v>0</v>
      </c>
      <c r="E168" s="26">
        <f>Chikwawa!J168+Chikwawa!K168+Chikwawa!L168</f>
        <v>2</v>
      </c>
      <c r="F168" s="26">
        <f>'Miseu Folo'!J168+'Miseu Folo'!K168+'Miseu Folo'!L168</f>
        <v>2</v>
      </c>
      <c r="G168" s="26">
        <f>Nchalo!J168+Nchalo!K168+Nchalo!L168</f>
        <v>12</v>
      </c>
      <c r="H168" s="26">
        <f>Nsanje!J168+Nsanje!K168+Nsanje!L168</f>
        <v>20</v>
      </c>
      <c r="I168" s="26">
        <f>Ngabu!J168+Ngabu!K168+Ngabu!L168</f>
        <v>0</v>
      </c>
      <c r="J168" s="18">
        <f t="shared" si="56"/>
        <v>36</v>
      </c>
    </row>
    <row r="169" spans="1:10" ht="15.6" x14ac:dyDescent="0.3">
      <c r="A169" s="653"/>
      <c r="B169" s="19" t="s">
        <v>72</v>
      </c>
      <c r="C169" s="11" t="s">
        <v>57</v>
      </c>
      <c r="D169" s="26">
        <f>Bangula!J169+Bangula!K169+Bangula!L169</f>
        <v>0</v>
      </c>
      <c r="E169" s="26">
        <f>Chikwawa!J169+Chikwawa!K169+Chikwawa!L169</f>
        <v>0</v>
      </c>
      <c r="F169" s="26">
        <f>'Miseu Folo'!J169+'Miseu Folo'!K169+'Miseu Folo'!L169</f>
        <v>0</v>
      </c>
      <c r="G169" s="26">
        <f>Nchalo!J169+Nchalo!K169+Nchalo!L169</f>
        <v>6</v>
      </c>
      <c r="H169" s="26">
        <f>Nsanje!J169+Nsanje!K169+Nsanje!L169</f>
        <v>0</v>
      </c>
      <c r="I169" s="26">
        <f>Ngabu!J169+Ngabu!K169+Ngabu!L169</f>
        <v>0</v>
      </c>
      <c r="J169" s="18">
        <f t="shared" si="56"/>
        <v>6</v>
      </c>
    </row>
    <row r="170" spans="1:10" ht="15.6" x14ac:dyDescent="0.3">
      <c r="A170" s="653"/>
      <c r="B170" s="19" t="s">
        <v>71</v>
      </c>
      <c r="C170" s="11" t="s">
        <v>57</v>
      </c>
      <c r="D170" s="26">
        <f>Bangula!J170+Bangula!K170+Bangula!L170</f>
        <v>0</v>
      </c>
      <c r="E170" s="26">
        <f>Chikwawa!J170+Chikwawa!K170+Chikwawa!L170</f>
        <v>0</v>
      </c>
      <c r="F170" s="26">
        <f>'Miseu Folo'!J170+'Miseu Folo'!K170+'Miseu Folo'!L170</f>
        <v>0</v>
      </c>
      <c r="G170" s="26">
        <f>Nchalo!J170+Nchalo!K170+Nchalo!L170</f>
        <v>3</v>
      </c>
      <c r="H170" s="26">
        <f>Nsanje!J170+Nsanje!K170+Nsanje!L170</f>
        <v>0</v>
      </c>
      <c r="I170" s="26">
        <f>Ngabu!J170+Ngabu!K170+Ngabu!L170</f>
        <v>0</v>
      </c>
      <c r="J170" s="18">
        <f t="shared" si="56"/>
        <v>3</v>
      </c>
    </row>
    <row r="171" spans="1:10" ht="15.6" x14ac:dyDescent="0.3">
      <c r="A171" s="653"/>
      <c r="B171" s="19" t="s">
        <v>52</v>
      </c>
      <c r="C171" s="11" t="s">
        <v>57</v>
      </c>
      <c r="D171" s="26">
        <f>Bangula!J171+Bangula!K171+Bangula!L171</f>
        <v>0</v>
      </c>
      <c r="E171" s="26">
        <f>Chikwawa!J171+Chikwawa!K171+Chikwawa!L171</f>
        <v>0</v>
      </c>
      <c r="F171" s="26">
        <f>'Miseu Folo'!J171+'Miseu Folo'!K171+'Miseu Folo'!L171</f>
        <v>0</v>
      </c>
      <c r="G171" s="26">
        <f>Nchalo!J171+Nchalo!K171+Nchalo!L171</f>
        <v>4</v>
      </c>
      <c r="H171" s="26">
        <f>Nsanje!J171+Nsanje!K171+Nsanje!L171</f>
        <v>0</v>
      </c>
      <c r="I171" s="26">
        <f>Ngabu!J171+Ngabu!K171+Ngabu!L171</f>
        <v>0</v>
      </c>
      <c r="J171" s="18">
        <f t="shared" si="56"/>
        <v>4</v>
      </c>
    </row>
    <row r="172" spans="1:10" ht="15.6" x14ac:dyDescent="0.3">
      <c r="A172" s="653"/>
      <c r="B172" s="19" t="s">
        <v>62</v>
      </c>
      <c r="C172" s="11" t="s">
        <v>57</v>
      </c>
      <c r="D172" s="26">
        <f>Bangula!J172+Bangula!K172+Bangula!L172</f>
        <v>0</v>
      </c>
      <c r="E172" s="26">
        <f>Chikwawa!J172+Chikwawa!K172+Chikwawa!L172</f>
        <v>0</v>
      </c>
      <c r="F172" s="26">
        <f>'Miseu Folo'!J172+'Miseu Folo'!K172+'Miseu Folo'!L172</f>
        <v>0</v>
      </c>
      <c r="G172" s="26">
        <f>Nchalo!J172+Nchalo!K172+Nchalo!L172</f>
        <v>9</v>
      </c>
      <c r="H172" s="26">
        <f>Nsanje!J172+Nsanje!K172+Nsanje!L172</f>
        <v>0</v>
      </c>
      <c r="I172" s="26">
        <f>Ngabu!J172+Ngabu!K172+Ngabu!L172</f>
        <v>0</v>
      </c>
      <c r="J172" s="18">
        <f t="shared" si="56"/>
        <v>9</v>
      </c>
    </row>
    <row r="173" spans="1:10" ht="15.6" x14ac:dyDescent="0.3">
      <c r="A173" s="653"/>
      <c r="B173" s="19" t="s">
        <v>61</v>
      </c>
      <c r="C173" s="11" t="s">
        <v>57</v>
      </c>
      <c r="D173" s="26">
        <f>Bangula!J173+Bangula!K173+Bangula!L173</f>
        <v>0</v>
      </c>
      <c r="E173" s="26">
        <f>Chikwawa!J173+Chikwawa!K173+Chikwawa!L173</f>
        <v>0</v>
      </c>
      <c r="F173" s="26">
        <f>'Miseu Folo'!J173+'Miseu Folo'!K173+'Miseu Folo'!L173</f>
        <v>0</v>
      </c>
      <c r="G173" s="26">
        <f>Nchalo!J173+Nchalo!K173+Nchalo!L173</f>
        <v>3</v>
      </c>
      <c r="H173" s="26">
        <f>Nsanje!J173+Nsanje!K173+Nsanje!L173</f>
        <v>0</v>
      </c>
      <c r="I173" s="26">
        <f>Ngabu!J173+Ngabu!K173+Ngabu!L173</f>
        <v>0</v>
      </c>
      <c r="J173" s="18">
        <f t="shared" si="56"/>
        <v>3</v>
      </c>
    </row>
    <row r="174" spans="1:10" ht="15.6" x14ac:dyDescent="0.3">
      <c r="A174" s="653"/>
      <c r="B174" s="19" t="s">
        <v>60</v>
      </c>
      <c r="C174" s="11" t="s">
        <v>57</v>
      </c>
      <c r="D174" s="26">
        <f>Bangula!J174+Bangula!K174+Bangula!L174</f>
        <v>0</v>
      </c>
      <c r="E174" s="26">
        <f>Chikwawa!J174+Chikwawa!K174+Chikwawa!L174</f>
        <v>0</v>
      </c>
      <c r="F174" s="26">
        <f>'Miseu Folo'!J174+'Miseu Folo'!K174+'Miseu Folo'!L174</f>
        <v>0</v>
      </c>
      <c r="G174" s="26">
        <f>Nchalo!J174+Nchalo!K174+Nchalo!L174</f>
        <v>0</v>
      </c>
      <c r="H174" s="26">
        <f>Nsanje!J174+Nsanje!K174+Nsanje!L174</f>
        <v>0</v>
      </c>
      <c r="I174" s="26">
        <f>Ngabu!J174+Ngabu!K174+Ngabu!L174</f>
        <v>0</v>
      </c>
      <c r="J174" s="18">
        <f t="shared" si="56"/>
        <v>0</v>
      </c>
    </row>
    <row r="175" spans="1:10" ht="15.6" x14ac:dyDescent="0.3">
      <c r="A175" s="654"/>
      <c r="B175" s="19" t="s">
        <v>69</v>
      </c>
      <c r="C175" s="11" t="s">
        <v>57</v>
      </c>
      <c r="D175" s="26">
        <f>Bangula!J175+Bangula!K175+Bangula!L175</f>
        <v>0</v>
      </c>
      <c r="E175" s="26">
        <f>Chikwawa!J175+Chikwawa!K175+Chikwawa!L175</f>
        <v>0</v>
      </c>
      <c r="F175" s="26">
        <f>'Miseu Folo'!J175+'Miseu Folo'!K175+'Miseu Folo'!L175</f>
        <v>0</v>
      </c>
      <c r="G175" s="26">
        <f>Nchalo!J175+Nchalo!K175+Nchalo!L175</f>
        <v>0</v>
      </c>
      <c r="H175" s="26">
        <f>Nsanje!J175+Nsanje!K175+Nsanje!L175</f>
        <v>0</v>
      </c>
      <c r="I175" s="26">
        <f>Ngabu!J175+Ngabu!K175+Ngabu!L175</f>
        <v>0</v>
      </c>
      <c r="J175" s="18">
        <f t="shared" si="56"/>
        <v>0</v>
      </c>
    </row>
    <row r="176" spans="1:10" ht="15.6" x14ac:dyDescent="0.3">
      <c r="A176" s="652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18"/>
    </row>
    <row r="177" spans="1:10" ht="15.6" x14ac:dyDescent="0.3">
      <c r="A177" s="653"/>
      <c r="B177" s="19" t="s">
        <v>60</v>
      </c>
      <c r="C177" s="11" t="s">
        <v>57</v>
      </c>
      <c r="D177" s="26">
        <f>Bangula!J177+Bangula!K177+Bangula!L177</f>
        <v>0</v>
      </c>
      <c r="E177" s="26">
        <f>Chikwawa!J177+Chikwawa!K177+Chikwawa!L177</f>
        <v>0</v>
      </c>
      <c r="F177" s="26">
        <f>'Miseu Folo'!J177+'Miseu Folo'!K177+'Miseu Folo'!L177</f>
        <v>0</v>
      </c>
      <c r="G177" s="26">
        <f>Nchalo!J177+Nchalo!K177+Nchalo!L177</f>
        <v>0</v>
      </c>
      <c r="H177" s="26">
        <f>Nsanje!J177+Nsanje!K177+Nsanje!L177</f>
        <v>0</v>
      </c>
      <c r="I177" s="26">
        <f>Ngabu!J177+Ngabu!K177+Ngabu!L177</f>
        <v>0</v>
      </c>
      <c r="J177" s="18">
        <f t="shared" ref="J177:J182" si="57">SUM(D177:I177)</f>
        <v>0</v>
      </c>
    </row>
    <row r="178" spans="1:10" ht="15.6" x14ac:dyDescent="0.3">
      <c r="A178" s="653"/>
      <c r="B178" s="19" t="s">
        <v>69</v>
      </c>
      <c r="C178" s="11" t="s">
        <v>57</v>
      </c>
      <c r="D178" s="26">
        <f>Bangula!J178+Bangula!K178+Bangula!L178</f>
        <v>0</v>
      </c>
      <c r="E178" s="26">
        <f>Chikwawa!J178+Chikwawa!K178+Chikwawa!L178</f>
        <v>0</v>
      </c>
      <c r="F178" s="26">
        <f>'Miseu Folo'!J178+'Miseu Folo'!K178+'Miseu Folo'!L178</f>
        <v>0</v>
      </c>
      <c r="G178" s="26">
        <f>Nchalo!J178+Nchalo!K178+Nchalo!L178</f>
        <v>0</v>
      </c>
      <c r="H178" s="26">
        <f>Nsanje!J178+Nsanje!K178+Nsanje!L178</f>
        <v>0</v>
      </c>
      <c r="I178" s="26">
        <f>Ngabu!J178+Ngabu!K178+Ngabu!L178</f>
        <v>0</v>
      </c>
      <c r="J178" s="18">
        <f t="shared" si="57"/>
        <v>0</v>
      </c>
    </row>
    <row r="179" spans="1:10" ht="15.6" x14ac:dyDescent="0.3">
      <c r="A179" s="653"/>
      <c r="B179" s="19" t="s">
        <v>68</v>
      </c>
      <c r="C179" s="11" t="s">
        <v>57</v>
      </c>
      <c r="D179" s="26">
        <f>Bangula!J179+Bangula!K179+Bangula!L179</f>
        <v>0</v>
      </c>
      <c r="E179" s="26">
        <f>Chikwawa!J179+Chikwawa!K179+Chikwawa!L179</f>
        <v>0</v>
      </c>
      <c r="F179" s="26">
        <f>'Miseu Folo'!J179+'Miseu Folo'!K179+'Miseu Folo'!L179</f>
        <v>0</v>
      </c>
      <c r="G179" s="26">
        <f>Nchalo!J179+Nchalo!K179+Nchalo!L179</f>
        <v>0</v>
      </c>
      <c r="H179" s="26">
        <f>Nsanje!J179+Nsanje!K179+Nsanje!L179</f>
        <v>0</v>
      </c>
      <c r="I179" s="26">
        <f>Ngabu!J179+Ngabu!K179+Ngabu!L179</f>
        <v>0</v>
      </c>
      <c r="J179" s="18">
        <f t="shared" si="57"/>
        <v>0</v>
      </c>
    </row>
    <row r="180" spans="1:10" ht="15.6" x14ac:dyDescent="0.3">
      <c r="A180" s="653"/>
      <c r="B180" s="19" t="s">
        <v>67</v>
      </c>
      <c r="C180" s="11" t="s">
        <v>57</v>
      </c>
      <c r="D180" s="26">
        <f>Bangula!J180+Bangula!K180+Bangula!L180</f>
        <v>0</v>
      </c>
      <c r="E180" s="26">
        <f>Chikwawa!J180+Chikwawa!K180+Chikwawa!L180</f>
        <v>0</v>
      </c>
      <c r="F180" s="26">
        <f>'Miseu Folo'!J180+'Miseu Folo'!K180+'Miseu Folo'!L180</f>
        <v>0</v>
      </c>
      <c r="G180" s="26">
        <f>Nchalo!J180+Nchalo!K180+Nchalo!L180</f>
        <v>0</v>
      </c>
      <c r="H180" s="26">
        <f>Nsanje!J180+Nsanje!K180+Nsanje!L180</f>
        <v>0</v>
      </c>
      <c r="I180" s="26">
        <f>Ngabu!J180+Ngabu!K180+Ngabu!L180</f>
        <v>0</v>
      </c>
      <c r="J180" s="18">
        <f t="shared" si="57"/>
        <v>0</v>
      </c>
    </row>
    <row r="181" spans="1:10" ht="15.6" x14ac:dyDescent="0.3">
      <c r="A181" s="653"/>
      <c r="B181" s="19" t="s">
        <v>66</v>
      </c>
      <c r="C181" s="11" t="s">
        <v>57</v>
      </c>
      <c r="D181" s="26">
        <f>Bangula!J181+Bangula!K181+Bangula!L181</f>
        <v>0</v>
      </c>
      <c r="E181" s="26">
        <f>Chikwawa!J181+Chikwawa!K181+Chikwawa!L181</f>
        <v>0</v>
      </c>
      <c r="F181" s="26">
        <f>'Miseu Folo'!J181+'Miseu Folo'!K181+'Miseu Folo'!L181</f>
        <v>0</v>
      </c>
      <c r="G181" s="26">
        <f>Nchalo!J181+Nchalo!K181+Nchalo!L181</f>
        <v>0</v>
      </c>
      <c r="H181" s="26">
        <f>Nsanje!J181+Nsanje!K181+Nsanje!L181</f>
        <v>0</v>
      </c>
      <c r="I181" s="26">
        <f>Ngabu!J181+Ngabu!K181+Ngabu!L181</f>
        <v>0</v>
      </c>
      <c r="J181" s="18">
        <f t="shared" si="57"/>
        <v>0</v>
      </c>
    </row>
    <row r="182" spans="1:10" ht="15.6" x14ac:dyDescent="0.3">
      <c r="A182" s="654"/>
      <c r="B182" s="19" t="s">
        <v>65</v>
      </c>
      <c r="C182" s="11" t="s">
        <v>57</v>
      </c>
      <c r="D182" s="26">
        <f>Bangula!J182+Bangula!K182+Bangula!L182</f>
        <v>0</v>
      </c>
      <c r="E182" s="26">
        <f>Chikwawa!J182+Chikwawa!K182+Chikwawa!L182</f>
        <v>0</v>
      </c>
      <c r="F182" s="26">
        <f>'Miseu Folo'!J182+'Miseu Folo'!K182+'Miseu Folo'!L182</f>
        <v>0</v>
      </c>
      <c r="G182" s="26">
        <f>Nchalo!J182+Nchalo!K182+Nchalo!L182</f>
        <v>0</v>
      </c>
      <c r="H182" s="26">
        <f>Nsanje!J182+Nsanje!K182+Nsanje!L182</f>
        <v>0</v>
      </c>
      <c r="I182" s="26">
        <f>Ngabu!J182+Ngabu!K182+Ngabu!L182</f>
        <v>0</v>
      </c>
      <c r="J182" s="18">
        <f t="shared" si="57"/>
        <v>0</v>
      </c>
    </row>
    <row r="183" spans="1:10" ht="15.6" x14ac:dyDescent="0.3">
      <c r="A183" s="652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18"/>
    </row>
    <row r="184" spans="1:10" ht="15.6" x14ac:dyDescent="0.3">
      <c r="A184" s="653"/>
      <c r="B184" s="19" t="s">
        <v>73</v>
      </c>
      <c r="C184" s="11"/>
      <c r="D184" s="26">
        <f>Bangula!J184+Bangula!K184+Bangula!L184</f>
        <v>0</v>
      </c>
      <c r="E184" s="26">
        <f>Chikwawa!J184+Chikwawa!K184+Chikwawa!L184</f>
        <v>0</v>
      </c>
      <c r="F184" s="26">
        <f>'Miseu Folo'!J184+'Miseu Folo'!K184+'Miseu Folo'!L184</f>
        <v>0</v>
      </c>
      <c r="G184" s="26">
        <f>Nchalo!J184+Nchalo!K184+Nchalo!L184</f>
        <v>0</v>
      </c>
      <c r="H184" s="26">
        <f>Nsanje!J184+Nsanje!K184+Nsanje!L184</f>
        <v>0</v>
      </c>
      <c r="I184" s="26">
        <f>Ngabu!J184+Ngabu!K184+Ngabu!L184</f>
        <v>0</v>
      </c>
      <c r="J184" s="18">
        <f>SUM(D184:I184)</f>
        <v>0</v>
      </c>
    </row>
    <row r="185" spans="1:10" ht="15.6" x14ac:dyDescent="0.3">
      <c r="A185" s="653"/>
      <c r="B185" s="19" t="s">
        <v>72</v>
      </c>
      <c r="C185" s="11"/>
      <c r="D185" s="26">
        <f>Bangula!J185+Bangula!K185+Bangula!L185</f>
        <v>0</v>
      </c>
      <c r="E185" s="26">
        <f>Chikwawa!J185+Chikwawa!K185+Chikwawa!L185</f>
        <v>0</v>
      </c>
      <c r="F185" s="26">
        <f>'Miseu Folo'!J185+'Miseu Folo'!K185+'Miseu Folo'!L185</f>
        <v>0</v>
      </c>
      <c r="G185" s="26">
        <f>Nchalo!J185+Nchalo!K185+Nchalo!L185</f>
        <v>0</v>
      </c>
      <c r="H185" s="26">
        <f>Nsanje!J185+Nsanje!K185+Nsanje!L185</f>
        <v>0</v>
      </c>
      <c r="I185" s="26">
        <f>Ngabu!J185+Ngabu!K185+Ngabu!L185</f>
        <v>0</v>
      </c>
      <c r="J185" s="18">
        <f>SUM(D185:I185)</f>
        <v>0</v>
      </c>
    </row>
    <row r="186" spans="1:10" ht="15.6" x14ac:dyDescent="0.3">
      <c r="A186" s="653"/>
      <c r="B186" s="19" t="s">
        <v>53</v>
      </c>
      <c r="C186" s="11"/>
      <c r="D186" s="26">
        <f>Bangula!J186+Bangula!K186+Bangula!L186</f>
        <v>0</v>
      </c>
      <c r="E186" s="26">
        <f>Chikwawa!J186+Chikwawa!K186+Chikwawa!L186</f>
        <v>0</v>
      </c>
      <c r="F186" s="26">
        <f>'Miseu Folo'!J186+'Miseu Folo'!K186+'Miseu Folo'!L186</f>
        <v>0</v>
      </c>
      <c r="G186" s="26">
        <f>Nchalo!J186+Nchalo!K186+Nchalo!L186</f>
        <v>0</v>
      </c>
      <c r="H186" s="26">
        <f>Nsanje!J186+Nsanje!K186+Nsanje!L186</f>
        <v>0</v>
      </c>
      <c r="I186" s="26">
        <f>Ngabu!J186+Ngabu!K186+Ngabu!L186</f>
        <v>0</v>
      </c>
      <c r="J186" s="18">
        <f>SUM(D186:I186)</f>
        <v>0</v>
      </c>
    </row>
    <row r="187" spans="1:10" ht="15.6" x14ac:dyDescent="0.3">
      <c r="A187" s="654"/>
      <c r="B187" s="19" t="s">
        <v>52</v>
      </c>
      <c r="C187" s="11"/>
      <c r="D187" s="26">
        <f>Bangula!J187+Bangula!K187+Bangula!L187</f>
        <v>0</v>
      </c>
      <c r="E187" s="26">
        <f>Chikwawa!J187+Chikwawa!K187+Chikwawa!L187</f>
        <v>0</v>
      </c>
      <c r="F187" s="26">
        <f>'Miseu Folo'!J187+'Miseu Folo'!K187+'Miseu Folo'!L187</f>
        <v>0</v>
      </c>
      <c r="G187" s="26">
        <f>Nchalo!J187+Nchalo!K187+Nchalo!L187</f>
        <v>0</v>
      </c>
      <c r="H187" s="26">
        <f>Nsanje!J187+Nsanje!K187+Nsanje!L187</f>
        <v>0</v>
      </c>
      <c r="I187" s="26">
        <f>Ngabu!J187+Ngabu!K187+Ngabu!L187</f>
        <v>0</v>
      </c>
      <c r="J187" s="18">
        <f>SUM(D187:I187)</f>
        <v>0</v>
      </c>
    </row>
    <row r="188" spans="1:10" ht="15.6" x14ac:dyDescent="0.3">
      <c r="A188" s="652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18"/>
    </row>
    <row r="189" spans="1:10" ht="15.6" x14ac:dyDescent="0.3">
      <c r="A189" s="653"/>
      <c r="B189" s="20" t="s">
        <v>52</v>
      </c>
      <c r="C189" s="11" t="s">
        <v>57</v>
      </c>
      <c r="D189" s="26">
        <f>Bangula!J189+Bangula!K189+Bangula!L189</f>
        <v>0</v>
      </c>
      <c r="E189" s="26">
        <f>Chikwawa!J189+Chikwawa!K189+Chikwawa!L189</f>
        <v>0</v>
      </c>
      <c r="F189" s="26">
        <f>'Miseu Folo'!J189+'Miseu Folo'!K189+'Miseu Folo'!L189</f>
        <v>0</v>
      </c>
      <c r="G189" s="26">
        <f>Nchalo!J189+Nchalo!K189+Nchalo!L189</f>
        <v>0</v>
      </c>
      <c r="H189" s="26">
        <f>Nsanje!J189+Nsanje!K189+Nsanje!L189</f>
        <v>0</v>
      </c>
      <c r="I189" s="26">
        <f>Ngabu!J189+Ngabu!K189+Ngabu!L189</f>
        <v>0</v>
      </c>
      <c r="J189" s="18">
        <f>SUM(D189:I189)</f>
        <v>0</v>
      </c>
    </row>
    <row r="190" spans="1:10" ht="15.6" x14ac:dyDescent="0.3">
      <c r="A190" s="653"/>
      <c r="B190" s="19" t="s">
        <v>62</v>
      </c>
      <c r="C190" s="11" t="s">
        <v>57</v>
      </c>
      <c r="D190" s="26">
        <f>Bangula!J190+Bangula!K190+Bangula!L190</f>
        <v>0</v>
      </c>
      <c r="E190" s="26">
        <f>Chikwawa!J190+Chikwawa!K190+Chikwawa!L190</f>
        <v>0</v>
      </c>
      <c r="F190" s="26">
        <f>'Miseu Folo'!J190+'Miseu Folo'!K190+'Miseu Folo'!L190</f>
        <v>0</v>
      </c>
      <c r="G190" s="26">
        <f>Nchalo!J190+Nchalo!K190+Nchalo!L190</f>
        <v>0</v>
      </c>
      <c r="H190" s="26">
        <f>Nsanje!J190+Nsanje!K190+Nsanje!L190</f>
        <v>0</v>
      </c>
      <c r="I190" s="26">
        <f>Ngabu!J190+Ngabu!K190+Ngabu!L190</f>
        <v>0</v>
      </c>
      <c r="J190" s="18">
        <f>SUM(D190:I190)</f>
        <v>0</v>
      </c>
    </row>
    <row r="191" spans="1:10" ht="15.6" x14ac:dyDescent="0.3">
      <c r="A191" s="653"/>
      <c r="B191" s="19" t="s">
        <v>61</v>
      </c>
      <c r="C191" s="11" t="s">
        <v>57</v>
      </c>
      <c r="D191" s="26">
        <f>Bangula!J191+Bangula!K191+Bangula!L191</f>
        <v>0</v>
      </c>
      <c r="E191" s="26">
        <f>Chikwawa!J191+Chikwawa!K191+Chikwawa!L191</f>
        <v>0</v>
      </c>
      <c r="F191" s="26">
        <f>'Miseu Folo'!J191+'Miseu Folo'!K191+'Miseu Folo'!L191</f>
        <v>0</v>
      </c>
      <c r="G191" s="26">
        <f>Nchalo!J191+Nchalo!K191+Nchalo!L191</f>
        <v>2</v>
      </c>
      <c r="H191" s="26">
        <f>Nsanje!J191+Nsanje!K191+Nsanje!L191</f>
        <v>0</v>
      </c>
      <c r="I191" s="26">
        <f>Ngabu!J191+Ngabu!K191+Ngabu!L191</f>
        <v>0</v>
      </c>
      <c r="J191" s="18">
        <f>SUM(D191:I191)</f>
        <v>2</v>
      </c>
    </row>
    <row r="192" spans="1:10" ht="15.6" x14ac:dyDescent="0.3">
      <c r="A192" s="654"/>
      <c r="B192" s="19" t="s">
        <v>60</v>
      </c>
      <c r="C192" s="11" t="s">
        <v>57</v>
      </c>
      <c r="D192" s="26">
        <f>Bangula!J192+Bangula!K192+Bangula!L192</f>
        <v>0</v>
      </c>
      <c r="E192" s="26">
        <f>Chikwawa!J192+Chikwawa!K192+Chikwawa!L192</f>
        <v>0</v>
      </c>
      <c r="F192" s="26">
        <f>'Miseu Folo'!J192+'Miseu Folo'!K192+'Miseu Folo'!L192</f>
        <v>0</v>
      </c>
      <c r="G192" s="26">
        <f>Nchalo!J192+Nchalo!K192+Nchalo!L192</f>
        <v>0</v>
      </c>
      <c r="H192" s="26">
        <f>Nsanje!J192+Nsanje!K192+Nsanje!L192</f>
        <v>0</v>
      </c>
      <c r="I192" s="26">
        <f>Ngabu!J192+Ngabu!K192+Ngabu!L192</f>
        <v>0</v>
      </c>
      <c r="J192" s="18">
        <f>SUM(D192:I192)</f>
        <v>0</v>
      </c>
    </row>
    <row r="193" spans="1:10" ht="15.6" x14ac:dyDescent="0.3">
      <c r="A193" s="680" t="s">
        <v>59</v>
      </c>
      <c r="B193" s="681"/>
      <c r="C193" s="11"/>
      <c r="D193" s="10">
        <f>SUM(D153:D192)</f>
        <v>57</v>
      </c>
      <c r="E193" s="10">
        <f t="shared" ref="E193:J193" si="58">SUM(E153:E192)</f>
        <v>284</v>
      </c>
      <c r="F193" s="10">
        <f t="shared" si="58"/>
        <v>64</v>
      </c>
      <c r="G193" s="10">
        <f t="shared" si="58"/>
        <v>464</v>
      </c>
      <c r="H193" s="10">
        <f t="shared" si="58"/>
        <v>535</v>
      </c>
      <c r="I193" s="10">
        <f t="shared" si="58"/>
        <v>111</v>
      </c>
      <c r="J193" s="103">
        <f t="shared" si="58"/>
        <v>1515</v>
      </c>
    </row>
    <row r="194" spans="1:10" ht="15.6" x14ac:dyDescent="0.3">
      <c r="A194" s="658" t="s">
        <v>58</v>
      </c>
      <c r="B194" s="659"/>
      <c r="C194" s="11" t="s">
        <v>57</v>
      </c>
      <c r="D194" s="26">
        <f>Bangula!J194+Bangula!K194+Bangula!L194</f>
        <v>0</v>
      </c>
      <c r="E194" s="26">
        <f>Chikwawa!J194+Chikwawa!K194+Chikwawa!L194</f>
        <v>0</v>
      </c>
      <c r="F194" s="26">
        <f>'Miseu Folo'!J194+'Miseu Folo'!K194+'Miseu Folo'!L194</f>
        <v>0</v>
      </c>
      <c r="G194" s="26">
        <f>Nchalo!J194+Nchalo!K194+Nchalo!L194</f>
        <v>0</v>
      </c>
      <c r="H194" s="26">
        <f>Nsanje!J194+Nsanje!K194+Nsanje!L194</f>
        <v>0</v>
      </c>
      <c r="I194" s="26">
        <f>Ngabu!J194+Ngabu!K194+Ngabu!L194</f>
        <v>0</v>
      </c>
      <c r="J194" s="9">
        <f>SUM(D194:I194)</f>
        <v>0</v>
      </c>
    </row>
    <row r="195" spans="1:10" ht="15.6" x14ac:dyDescent="0.3">
      <c r="A195" s="660"/>
      <c r="B195" s="661"/>
      <c r="C195" s="16" t="s">
        <v>55</v>
      </c>
      <c r="D195" s="26">
        <f>Bangula!J195+Bangula!K195+Bangula!L195</f>
        <v>0</v>
      </c>
      <c r="E195" s="26">
        <f>Chikwawa!J195+Chikwawa!K195+Chikwawa!L195</f>
        <v>0</v>
      </c>
      <c r="F195" s="26">
        <f>'Miseu Folo'!J195+'Miseu Folo'!K195+'Miseu Folo'!L195</f>
        <v>0</v>
      </c>
      <c r="G195" s="26">
        <f>Nchalo!J195+Nchalo!K195+Nchalo!L195</f>
        <v>0</v>
      </c>
      <c r="H195" s="26">
        <f>Nsanje!J195+Nsanje!K195+Nsanje!L195</f>
        <v>0</v>
      </c>
      <c r="I195" s="26">
        <f>Ngabu!J195+Ngabu!K195+Ngabu!L195</f>
        <v>0</v>
      </c>
      <c r="J195" s="9">
        <f>SUM(D195:I195)</f>
        <v>0</v>
      </c>
    </row>
    <row r="196" spans="1:10" ht="15.6" x14ac:dyDescent="0.3">
      <c r="A196" s="85" t="s">
        <v>202</v>
      </c>
      <c r="B196" s="86"/>
      <c r="C196" s="16" t="s">
        <v>55</v>
      </c>
      <c r="D196" s="26">
        <f>Bangula!J196+Bangula!K196+Bangula!L196</f>
        <v>66</v>
      </c>
      <c r="E196" s="26">
        <f>Chikwawa!J196+Chikwawa!K196+Chikwawa!L196</f>
        <v>66</v>
      </c>
      <c r="F196" s="26">
        <f>'Miseu Folo'!J196+'Miseu Folo'!K196+'Miseu Folo'!L196</f>
        <v>0</v>
      </c>
      <c r="G196" s="26">
        <f>Nchalo!J196+Nchalo!K196+Nchalo!L196</f>
        <v>22</v>
      </c>
      <c r="H196" s="26">
        <f>Nsanje!J196+Nsanje!K196+Nsanje!L196</f>
        <v>53</v>
      </c>
      <c r="I196" s="26">
        <f>Ngabu!J196+Ngabu!K196+Ngabu!L196</f>
        <v>45</v>
      </c>
      <c r="J196" s="9">
        <f>SUM(D196:I196)</f>
        <v>252</v>
      </c>
    </row>
    <row r="197" spans="1:10" ht="15.6" x14ac:dyDescent="0.3">
      <c r="A197" s="591" t="s">
        <v>56</v>
      </c>
      <c r="B197" s="592"/>
      <c r="C197" s="16" t="s">
        <v>55</v>
      </c>
      <c r="D197" s="26">
        <f>Bangula!J197+Bangula!K197+Bangula!L197</f>
        <v>127</v>
      </c>
      <c r="E197" s="26">
        <f>Chikwawa!J197+Chikwawa!K197+Chikwawa!L197</f>
        <v>60</v>
      </c>
      <c r="F197" s="26">
        <f>'Miseu Folo'!J197+'Miseu Folo'!K197+'Miseu Folo'!L197</f>
        <v>0</v>
      </c>
      <c r="G197" s="26">
        <f>Nchalo!J197+Nchalo!K197+Nchalo!L197</f>
        <v>0</v>
      </c>
      <c r="H197" s="26">
        <f>Nsanje!J197+Nsanje!K197+Nsanje!L197</f>
        <v>401</v>
      </c>
      <c r="I197" s="26">
        <f>Ngabu!J197+Ngabu!K197+Ngabu!L197</f>
        <v>50</v>
      </c>
      <c r="J197" s="9">
        <f>SUM(D197:I197)</f>
        <v>638</v>
      </c>
    </row>
    <row r="198" spans="1:10" x14ac:dyDescent="0.3">
      <c r="A198" s="595" t="s">
        <v>203</v>
      </c>
      <c r="B198" s="596"/>
      <c r="C198" s="596"/>
      <c r="D198" s="596"/>
      <c r="E198" s="596"/>
      <c r="F198" s="596"/>
      <c r="G198" s="596"/>
      <c r="H198" s="596"/>
      <c r="I198" s="596"/>
      <c r="J198" s="597"/>
    </row>
    <row r="199" spans="1:10" ht="15.6" x14ac:dyDescent="0.3">
      <c r="A199" s="658" t="s">
        <v>54</v>
      </c>
      <c r="B199" s="79" t="s">
        <v>53</v>
      </c>
      <c r="C199" s="11" t="s">
        <v>47</v>
      </c>
      <c r="D199" s="26">
        <f>Bangula!J199+Bangula!K199+Bangula!L199</f>
        <v>0</v>
      </c>
      <c r="E199" s="26">
        <f>Chikwawa!J199+Chikwawa!K199+Chikwawa!L199</f>
        <v>0</v>
      </c>
      <c r="F199" s="26">
        <f>'Miseu Folo'!J199+'Miseu Folo'!K199+'Miseu Folo'!L199</f>
        <v>0</v>
      </c>
      <c r="G199" s="26">
        <f>Nchalo!J199+Nchalo!K199+Nchalo!L199</f>
        <v>0</v>
      </c>
      <c r="H199" s="26">
        <f>Nsanje!J199+Nsanje!K199+Nsanje!L199</f>
        <v>0</v>
      </c>
      <c r="I199" s="26">
        <f>Ngabu!J199+Ngabu!K199+Ngabu!L199</f>
        <v>0</v>
      </c>
      <c r="J199" s="9">
        <f t="shared" ref="J199:J204" si="59">SUM(D199:I199)</f>
        <v>0</v>
      </c>
    </row>
    <row r="200" spans="1:10" ht="15.6" x14ac:dyDescent="0.3">
      <c r="A200" s="662"/>
      <c r="B200" s="79" t="s">
        <v>52</v>
      </c>
      <c r="C200" s="11" t="s">
        <v>47</v>
      </c>
      <c r="D200" s="26">
        <f>Bangula!J200+Bangula!K200+Bangula!L200</f>
        <v>0</v>
      </c>
      <c r="E200" s="26">
        <f>Chikwawa!J200+Chikwawa!K200+Chikwawa!L200</f>
        <v>0</v>
      </c>
      <c r="F200" s="26">
        <f>'Miseu Folo'!J200+'Miseu Folo'!K200+'Miseu Folo'!L200</f>
        <v>210</v>
      </c>
      <c r="G200" s="26">
        <f>Nchalo!J200+Nchalo!K200+Nchalo!L200</f>
        <v>0</v>
      </c>
      <c r="H200" s="26">
        <f>Nsanje!J200+Nsanje!K200+Nsanje!L200</f>
        <v>0</v>
      </c>
      <c r="I200" s="26">
        <f>Ngabu!J200+Ngabu!K200+Ngabu!L200</f>
        <v>0</v>
      </c>
      <c r="J200" s="9">
        <f t="shared" si="59"/>
        <v>210</v>
      </c>
    </row>
    <row r="201" spans="1:10" ht="15.6" x14ac:dyDescent="0.3">
      <c r="A201" s="662"/>
      <c r="B201" s="79" t="s">
        <v>51</v>
      </c>
      <c r="C201" s="11" t="s">
        <v>47</v>
      </c>
      <c r="D201" s="26">
        <f>Bangula!J201+Bangula!K201+Bangula!L201</f>
        <v>0</v>
      </c>
      <c r="E201" s="26">
        <f>Chikwawa!J201+Chikwawa!K201+Chikwawa!L201</f>
        <v>0</v>
      </c>
      <c r="F201" s="26">
        <f>'Miseu Folo'!J201+'Miseu Folo'!K201+'Miseu Folo'!L201</f>
        <v>180</v>
      </c>
      <c r="G201" s="26">
        <f>Nchalo!J201+Nchalo!K201+Nchalo!L201</f>
        <v>240</v>
      </c>
      <c r="H201" s="26">
        <f>Nsanje!J201+Nsanje!K201+Nsanje!L201</f>
        <v>0</v>
      </c>
      <c r="I201" s="26">
        <f>Ngabu!J201+Ngabu!K201+Ngabu!L201</f>
        <v>0</v>
      </c>
      <c r="J201" s="9">
        <f t="shared" si="59"/>
        <v>420</v>
      </c>
    </row>
    <row r="202" spans="1:10" ht="15.6" x14ac:dyDescent="0.3">
      <c r="A202" s="662"/>
      <c r="B202" s="79" t="s">
        <v>50</v>
      </c>
      <c r="C202" s="11" t="s">
        <v>47</v>
      </c>
      <c r="D202" s="26">
        <f>Bangula!J202+Bangula!K202+Bangula!L202</f>
        <v>0</v>
      </c>
      <c r="E202" s="26">
        <f>Chikwawa!J202+Chikwawa!K202+Chikwawa!L202</f>
        <v>700</v>
      </c>
      <c r="F202" s="26">
        <f>'Miseu Folo'!J202+'Miseu Folo'!K202+'Miseu Folo'!L202</f>
        <v>0</v>
      </c>
      <c r="G202" s="26">
        <f>Nchalo!J202+Nchalo!K202+Nchalo!L202</f>
        <v>0</v>
      </c>
      <c r="H202" s="26">
        <f>Nsanje!J202+Nsanje!K202+Nsanje!L202</f>
        <v>0</v>
      </c>
      <c r="I202" s="26">
        <f>Ngabu!J202+Ngabu!K202+Ngabu!L202</f>
        <v>0</v>
      </c>
      <c r="J202" s="9">
        <f t="shared" si="59"/>
        <v>700</v>
      </c>
    </row>
    <row r="203" spans="1:10" ht="15.6" x14ac:dyDescent="0.3">
      <c r="A203" s="660"/>
      <c r="B203" s="79" t="s">
        <v>49</v>
      </c>
      <c r="C203" s="11" t="s">
        <v>47</v>
      </c>
      <c r="D203" s="26">
        <f>Bangula!J203+Bangula!K203+Bangula!L203</f>
        <v>0</v>
      </c>
      <c r="E203" s="26">
        <f>Chikwawa!J203+Chikwawa!K203+Chikwawa!L203</f>
        <v>0</v>
      </c>
      <c r="F203" s="26">
        <f>'Miseu Folo'!J203+'Miseu Folo'!K203+'Miseu Folo'!L203</f>
        <v>0</v>
      </c>
      <c r="G203" s="26">
        <f>Nchalo!J203+Nchalo!K203+Nchalo!L203</f>
        <v>0</v>
      </c>
      <c r="H203" s="26">
        <f>Nsanje!J203+Nsanje!K203+Nsanje!L203</f>
        <v>0</v>
      </c>
      <c r="I203" s="26">
        <f>Ngabu!J203+Ngabu!K203+Ngabu!L203</f>
        <v>0</v>
      </c>
      <c r="J203" s="9">
        <f t="shared" si="59"/>
        <v>0</v>
      </c>
    </row>
    <row r="204" spans="1:10" ht="15.6" x14ac:dyDescent="0.3">
      <c r="A204" s="83" t="s">
        <v>48</v>
      </c>
      <c r="B204" s="79"/>
      <c r="C204" s="11" t="s">
        <v>47</v>
      </c>
      <c r="D204" s="15">
        <f t="shared" ref="D204:I204" si="60">SUM(D199:D203)</f>
        <v>0</v>
      </c>
      <c r="E204" s="15">
        <f t="shared" si="60"/>
        <v>700</v>
      </c>
      <c r="F204" s="15">
        <f t="shared" si="60"/>
        <v>390</v>
      </c>
      <c r="G204" s="15">
        <f t="shared" si="60"/>
        <v>240</v>
      </c>
      <c r="H204" s="15">
        <f t="shared" si="60"/>
        <v>0</v>
      </c>
      <c r="I204" s="15">
        <f t="shared" si="60"/>
        <v>0</v>
      </c>
      <c r="J204" s="111">
        <f t="shared" si="59"/>
        <v>1330</v>
      </c>
    </row>
    <row r="205" spans="1:10" s="2" customFormat="1" x14ac:dyDescent="0.3">
      <c r="A205" s="595" t="s">
        <v>46</v>
      </c>
      <c r="B205" s="596"/>
      <c r="C205" s="596"/>
      <c r="D205" s="596"/>
      <c r="E205" s="596"/>
      <c r="F205" s="596"/>
      <c r="G205" s="596"/>
      <c r="H205" s="596"/>
      <c r="I205" s="596"/>
      <c r="J205" s="597"/>
    </row>
    <row r="206" spans="1:10" ht="15.6" x14ac:dyDescent="0.3">
      <c r="A206" s="591" t="s">
        <v>43</v>
      </c>
      <c r="B206" s="592"/>
      <c r="C206" s="11" t="s">
        <v>31</v>
      </c>
      <c r="D206" s="15">
        <f>Bangula!J206+Bangula!K206+Bangula!L206</f>
        <v>13249988</v>
      </c>
      <c r="E206" s="15">
        <f>Chikwawa!J206+Chikwawa!K206+Chikwawa!L206</f>
        <v>41459701</v>
      </c>
      <c r="F206" s="15">
        <f>'Miseu Folo'!J206+'Miseu Folo'!K206+'Miseu Folo'!L206</f>
        <v>2247993</v>
      </c>
      <c r="G206" s="15">
        <f>Nchalo!J206+Nchalo!K206+Nchalo!L206</f>
        <v>32570490</v>
      </c>
      <c r="H206" s="15">
        <f>Nsanje!J206+Nsanje!K206+Nsanje!L206</f>
        <v>25416480</v>
      </c>
      <c r="I206" s="15">
        <f>Ngabu!J206+Ngabu!K206+Ngabu!L206</f>
        <v>11527851</v>
      </c>
      <c r="J206" s="9">
        <f>SUM(D206:I206)</f>
        <v>126472503</v>
      </c>
    </row>
    <row r="207" spans="1:10" ht="15.6" x14ac:dyDescent="0.3">
      <c r="A207" s="591" t="s">
        <v>42</v>
      </c>
      <c r="B207" s="592"/>
      <c r="C207" s="11" t="s">
        <v>31</v>
      </c>
      <c r="D207" s="15">
        <f>Bangula!J207+Bangula!K207+Bangula!L207</f>
        <v>601470</v>
      </c>
      <c r="E207" s="15">
        <f>Chikwawa!J207+Chikwawa!K207+Chikwawa!L207</f>
        <v>306800</v>
      </c>
      <c r="F207" s="15">
        <f>'Miseu Folo'!J207+'Miseu Folo'!K207+'Miseu Folo'!L207</f>
        <v>0</v>
      </c>
      <c r="G207" s="15">
        <f>Nchalo!J207+Nchalo!K207+Nchalo!L207</f>
        <v>349100</v>
      </c>
      <c r="H207" s="15">
        <f>Nsanje!J207+Nsanje!K207+Nsanje!L207</f>
        <v>492100</v>
      </c>
      <c r="I207" s="15">
        <f>Ngabu!J207+Ngabu!K207+Ngabu!L207</f>
        <v>476750</v>
      </c>
      <c r="J207" s="9">
        <f>SUM(D207:I207)</f>
        <v>2226220</v>
      </c>
    </row>
    <row r="208" spans="1:10" ht="15.6" x14ac:dyDescent="0.3">
      <c r="A208" s="598" t="s">
        <v>41</v>
      </c>
      <c r="B208" s="599"/>
      <c r="C208" s="11" t="s">
        <v>31</v>
      </c>
      <c r="D208" s="15">
        <f>Bangula!J208+Bangula!K208+Bangula!L208</f>
        <v>0</v>
      </c>
      <c r="E208" s="15">
        <f>Chikwawa!J208+Chikwawa!K208+Chikwawa!L208</f>
        <v>730000</v>
      </c>
      <c r="F208" s="15">
        <f>'Miseu Folo'!J208+'Miseu Folo'!K208+'Miseu Folo'!L208</f>
        <v>0</v>
      </c>
      <c r="G208" s="15">
        <f>Nchalo!J208+Nchalo!K208+Nchalo!L208</f>
        <v>1681575</v>
      </c>
      <c r="H208" s="15">
        <f>Nsanje!J208+Nsanje!K208+Nsanje!L208</f>
        <v>0</v>
      </c>
      <c r="I208" s="15">
        <f>Ngabu!J208+Ngabu!K208+Ngabu!L208</f>
        <v>85000</v>
      </c>
      <c r="J208" s="9">
        <f>SUM(D208:I208)</f>
        <v>2496575</v>
      </c>
    </row>
    <row r="209" spans="1:10" ht="15.6" x14ac:dyDescent="0.3">
      <c r="A209" s="591" t="s">
        <v>40</v>
      </c>
      <c r="B209" s="592"/>
      <c r="C209" s="11" t="s">
        <v>31</v>
      </c>
      <c r="D209" s="15">
        <f>Bangula!J209+Bangula!K209+Bangula!L209</f>
        <v>10000</v>
      </c>
      <c r="E209" s="15">
        <f>Chikwawa!J209+Chikwawa!K209+Chikwawa!L209</f>
        <v>1129580</v>
      </c>
      <c r="F209" s="15">
        <f>'Miseu Folo'!J209+'Miseu Folo'!K209+'Miseu Folo'!L209</f>
        <v>47000</v>
      </c>
      <c r="G209" s="15">
        <f>Nchalo!J209+Nchalo!K209+Nchalo!L209</f>
        <v>312000</v>
      </c>
      <c r="H209" s="15">
        <f>Nsanje!J209+Nsanje!K209+Nsanje!L209</f>
        <v>180080</v>
      </c>
      <c r="I209" s="15">
        <f>Ngabu!J209+Ngabu!K209+Ngabu!L209</f>
        <v>267750</v>
      </c>
      <c r="J209" s="9">
        <f>SUM(D209:I209)</f>
        <v>1946410</v>
      </c>
    </row>
    <row r="210" spans="1:10" ht="15.6" x14ac:dyDescent="0.3">
      <c r="A210" s="656" t="s">
        <v>45</v>
      </c>
      <c r="B210" s="657"/>
      <c r="C210" s="11" t="s">
        <v>31</v>
      </c>
      <c r="D210" s="10">
        <f t="shared" ref="D210:I210" si="61">SUM(D206:D209)</f>
        <v>13861458</v>
      </c>
      <c r="E210" s="10">
        <f t="shared" si="61"/>
        <v>43626081</v>
      </c>
      <c r="F210" s="10">
        <f t="shared" si="61"/>
        <v>2294993</v>
      </c>
      <c r="G210" s="10">
        <f t="shared" si="61"/>
        <v>34913165</v>
      </c>
      <c r="H210" s="10">
        <f t="shared" si="61"/>
        <v>26088660</v>
      </c>
      <c r="I210" s="10">
        <f t="shared" si="61"/>
        <v>12357351</v>
      </c>
      <c r="J210" s="9">
        <f>SUM(D210:I210)</f>
        <v>133141708</v>
      </c>
    </row>
    <row r="211" spans="1:10" s="2" customFormat="1" x14ac:dyDescent="0.3">
      <c r="A211" s="595" t="s">
        <v>44</v>
      </c>
      <c r="B211" s="596"/>
      <c r="C211" s="596"/>
      <c r="D211" s="596"/>
      <c r="E211" s="596"/>
      <c r="F211" s="596"/>
      <c r="G211" s="596"/>
      <c r="H211" s="596"/>
      <c r="I211" s="596"/>
      <c r="J211" s="597"/>
    </row>
    <row r="212" spans="1:10" ht="15.6" x14ac:dyDescent="0.3">
      <c r="A212" s="591" t="s">
        <v>43</v>
      </c>
      <c r="B212" s="592"/>
      <c r="C212" s="11" t="s">
        <v>31</v>
      </c>
      <c r="D212" s="15">
        <f>Bangula!J212+Bangula!K212+Bangula!L212</f>
        <v>0</v>
      </c>
      <c r="E212" s="15">
        <f>Chikwawa!J212+Chikwawa!K212+Chikwawa!L212</f>
        <v>0</v>
      </c>
      <c r="F212" s="15">
        <f>'Miseu Folo'!J212+'Miseu Folo'!K212+'Miseu Folo'!L212</f>
        <v>0</v>
      </c>
      <c r="G212" s="15">
        <f>Nchalo!J212+Nchalo!K212+Nchalo!L212</f>
        <v>0</v>
      </c>
      <c r="H212" s="15">
        <f>Nsanje!J212+Nsanje!K212+Nsanje!L212</f>
        <v>0</v>
      </c>
      <c r="I212" s="15">
        <f>Ngabu!J212+Ngabu!K212+Ngabu!L212</f>
        <v>0</v>
      </c>
      <c r="J212" s="9">
        <f>SUM(D212:I212)</f>
        <v>0</v>
      </c>
    </row>
    <row r="213" spans="1:10" ht="15.6" x14ac:dyDescent="0.3">
      <c r="A213" s="591" t="s">
        <v>42</v>
      </c>
      <c r="B213" s="592"/>
      <c r="C213" s="11" t="s">
        <v>31</v>
      </c>
      <c r="D213" s="15">
        <f>Bangula!J213+Bangula!K213+Bangula!L213</f>
        <v>0</v>
      </c>
      <c r="E213" s="15">
        <f>Chikwawa!J213+Chikwawa!K213+Chikwawa!L213</f>
        <v>0</v>
      </c>
      <c r="F213" s="15">
        <f>'Miseu Folo'!J213+'Miseu Folo'!K213+'Miseu Folo'!L213</f>
        <v>0</v>
      </c>
      <c r="G213" s="15">
        <f>Nchalo!J213+Nchalo!K213+Nchalo!L213</f>
        <v>0</v>
      </c>
      <c r="H213" s="15">
        <f>Nsanje!J213+Nsanje!K213+Nsanje!L213</f>
        <v>0</v>
      </c>
      <c r="I213" s="15">
        <f>Ngabu!J213+Ngabu!K213+Ngabu!L213</f>
        <v>0</v>
      </c>
      <c r="J213" s="9">
        <f>SUM(D213:I213)</f>
        <v>0</v>
      </c>
    </row>
    <row r="214" spans="1:10" ht="15.6" x14ac:dyDescent="0.3">
      <c r="A214" s="598" t="s">
        <v>41</v>
      </c>
      <c r="B214" s="599"/>
      <c r="C214" s="11" t="s">
        <v>31</v>
      </c>
      <c r="D214" s="15">
        <f>Bangula!J214+Bangula!K214+Bangula!L214</f>
        <v>0</v>
      </c>
      <c r="E214" s="15">
        <f>Chikwawa!J214+Chikwawa!K214+Chikwawa!L214</f>
        <v>0</v>
      </c>
      <c r="F214" s="15">
        <f>'Miseu Folo'!J214+'Miseu Folo'!K214+'Miseu Folo'!L214</f>
        <v>0</v>
      </c>
      <c r="G214" s="15">
        <f>Nchalo!J214+Nchalo!K214+Nchalo!L214</f>
        <v>0</v>
      </c>
      <c r="H214" s="15">
        <f>Nsanje!J214+Nsanje!K214+Nsanje!L214</f>
        <v>0</v>
      </c>
      <c r="I214" s="15">
        <f>Ngabu!J214+Ngabu!K214+Ngabu!L214</f>
        <v>0</v>
      </c>
      <c r="J214" s="9">
        <f>SUM(D214:I214)</f>
        <v>0</v>
      </c>
    </row>
    <row r="215" spans="1:10" ht="15.6" x14ac:dyDescent="0.3">
      <c r="A215" s="591" t="s">
        <v>40</v>
      </c>
      <c r="B215" s="592"/>
      <c r="C215" s="11" t="s">
        <v>31</v>
      </c>
      <c r="D215" s="15">
        <f>Bangula!J215+Bangula!K215+Bangula!L215</f>
        <v>8632381.5800000001</v>
      </c>
      <c r="E215" s="15">
        <f>Chikwawa!J215+Chikwawa!K215+Chikwawa!L215</f>
        <v>38348619.759999998</v>
      </c>
      <c r="F215" s="15">
        <f>'Miseu Folo'!J215+'Miseu Folo'!K215+'Miseu Folo'!L215</f>
        <v>6223734</v>
      </c>
      <c r="G215" s="15">
        <f>Nchalo!J215+Nchalo!K215+Nchalo!L215</f>
        <v>15872705.059999999</v>
      </c>
      <c r="H215" s="15">
        <f>Nsanje!J215+Nsanje!K215+Nsanje!L215</f>
        <v>32957262</v>
      </c>
      <c r="I215" s="15">
        <f>Ngabu!J215+Ngabu!K215+Ngabu!L215</f>
        <v>13278487.43</v>
      </c>
      <c r="J215" s="9">
        <f>SUM(D215:I215)</f>
        <v>115313189.82999998</v>
      </c>
    </row>
    <row r="216" spans="1:10" ht="15.6" x14ac:dyDescent="0.3">
      <c r="A216" s="656" t="s">
        <v>39</v>
      </c>
      <c r="B216" s="657"/>
      <c r="C216" s="11" t="s">
        <v>31</v>
      </c>
      <c r="D216" s="10">
        <f t="shared" ref="D216:I216" si="62">SUM(D212:D215)</f>
        <v>8632381.5800000001</v>
      </c>
      <c r="E216" s="10">
        <f t="shared" si="62"/>
        <v>38348619.759999998</v>
      </c>
      <c r="F216" s="10">
        <f t="shared" si="62"/>
        <v>6223734</v>
      </c>
      <c r="G216" s="10">
        <f t="shared" si="62"/>
        <v>15872705.059999999</v>
      </c>
      <c r="H216" s="10">
        <f>SUM(H212:H215)</f>
        <v>32957262</v>
      </c>
      <c r="I216" s="10">
        <f t="shared" si="62"/>
        <v>13278487.43</v>
      </c>
      <c r="J216" s="9">
        <f>SUM(D216:I216)</f>
        <v>115313189.82999998</v>
      </c>
    </row>
    <row r="217" spans="1:10" s="2" customFormat="1" ht="15.6" x14ac:dyDescent="0.3">
      <c r="A217" s="76" t="s">
        <v>38</v>
      </c>
      <c r="B217" s="77"/>
      <c r="C217" s="11" t="s">
        <v>31</v>
      </c>
      <c r="D217" s="10">
        <f>D210+D216</f>
        <v>22493839.579999998</v>
      </c>
      <c r="E217" s="10">
        <f t="shared" ref="E217:J217" si="63">E210+E216</f>
        <v>81974700.75999999</v>
      </c>
      <c r="F217" s="10">
        <f t="shared" si="63"/>
        <v>8518727</v>
      </c>
      <c r="G217" s="10">
        <f t="shared" si="63"/>
        <v>50785870.060000002</v>
      </c>
      <c r="H217" s="10">
        <f t="shared" si="63"/>
        <v>59045922</v>
      </c>
      <c r="I217" s="10">
        <f t="shared" si="63"/>
        <v>25635838.43</v>
      </c>
      <c r="J217" s="40">
        <f t="shared" si="63"/>
        <v>248454897.82999998</v>
      </c>
    </row>
    <row r="218" spans="1:10" s="2" customFormat="1" x14ac:dyDescent="0.3">
      <c r="A218" s="595" t="s">
        <v>37</v>
      </c>
      <c r="B218" s="596"/>
      <c r="C218" s="596"/>
      <c r="D218" s="596"/>
      <c r="E218" s="596"/>
      <c r="F218" s="596"/>
      <c r="G218" s="596"/>
      <c r="H218" s="596"/>
      <c r="I218" s="596"/>
      <c r="J218" s="597"/>
    </row>
    <row r="219" spans="1:10" ht="15.6" x14ac:dyDescent="0.3">
      <c r="A219" s="591" t="s">
        <v>35</v>
      </c>
      <c r="B219" s="592"/>
      <c r="C219" s="11" t="s">
        <v>31</v>
      </c>
      <c r="D219" s="15">
        <f>Bangula!J219+Bangula!K219+Bangula!L219</f>
        <v>13381345.33</v>
      </c>
      <c r="E219" s="15">
        <f>Chikwawa!J219+Chikwawa!K219+Chikwawa!L219</f>
        <v>45170880.890000001</v>
      </c>
      <c r="F219" s="15">
        <f>'Miseu Folo'!J219+'Miseu Folo'!K219+'Miseu Folo'!L219</f>
        <v>3060396.66</v>
      </c>
      <c r="G219" s="15">
        <f>Nchalo!J219+Nchalo!K219+Nchalo!L219</f>
        <v>34998381.57</v>
      </c>
      <c r="H219" s="15">
        <f>Nsanje!J219+Nsanje!K219+Nsanje!L219</f>
        <v>25737706.939999998</v>
      </c>
      <c r="I219" s="15">
        <f>Ngabu!J219+Ngabu!K219+Ngabu!L219</f>
        <v>15425470.059999999</v>
      </c>
      <c r="J219" s="9">
        <f>SUM(D219:I219)</f>
        <v>137774181.44999999</v>
      </c>
    </row>
    <row r="220" spans="1:10" ht="15.6" x14ac:dyDescent="0.3">
      <c r="A220" s="591" t="s">
        <v>34</v>
      </c>
      <c r="B220" s="592"/>
      <c r="C220" s="11" t="s">
        <v>31</v>
      </c>
      <c r="D220" s="15">
        <f>Bangula!J220+Bangula!K220+Bangula!L220</f>
        <v>663911.99</v>
      </c>
      <c r="E220" s="15">
        <f>Chikwawa!J220+Chikwawa!K220+Chikwawa!L220</f>
        <v>391426.67000000004</v>
      </c>
      <c r="F220" s="15">
        <f>'Miseu Folo'!J220+'Miseu Folo'!K220+'Miseu Folo'!L220</f>
        <v>0</v>
      </c>
      <c r="G220" s="15">
        <f>Nchalo!J220+Nchalo!K220+Nchalo!L220</f>
        <v>427944.28</v>
      </c>
      <c r="H220" s="15">
        <f>Nsanje!J220+Nsanje!K220+Nsanje!L220</f>
        <v>428812.62</v>
      </c>
      <c r="I220" s="15">
        <f>Ngabu!J220+Ngabu!K220+Ngabu!L220</f>
        <v>643044.80000000005</v>
      </c>
      <c r="J220" s="9">
        <f>SUM(D220:I220)</f>
        <v>2555140.3600000003</v>
      </c>
    </row>
    <row r="221" spans="1:10" ht="15.6" x14ac:dyDescent="0.3">
      <c r="A221" s="591" t="s">
        <v>33</v>
      </c>
      <c r="B221" s="592"/>
      <c r="C221" s="11" t="s">
        <v>31</v>
      </c>
      <c r="D221" s="15">
        <f>Bangula!J221+Bangula!K221+Bangula!L221</f>
        <v>768448.95</v>
      </c>
      <c r="E221" s="15">
        <f>Chikwawa!J221+Chikwawa!K221+Chikwawa!L221</f>
        <v>4329043.0999999996</v>
      </c>
      <c r="F221" s="15">
        <f>'Miseu Folo'!J221+'Miseu Folo'!K221+'Miseu Folo'!L221</f>
        <v>99402.8</v>
      </c>
      <c r="G221" s="15">
        <f>Nchalo!J221+Nchalo!K221+Nchalo!L221</f>
        <v>479428.02</v>
      </c>
      <c r="H221" s="15">
        <f>Nsanje!J221+Nsanje!K221+Nsanje!L221</f>
        <v>654535.57999999996</v>
      </c>
      <c r="I221" s="15">
        <f>Ngabu!J221+Ngabu!K221+Ngabu!L221</f>
        <v>1510901.31</v>
      </c>
      <c r="J221" s="9">
        <f>SUM(D221:I221)</f>
        <v>7841759.7599999998</v>
      </c>
    </row>
    <row r="222" spans="1:10" ht="15.6" x14ac:dyDescent="0.3">
      <c r="A222" s="591" t="s">
        <v>32</v>
      </c>
      <c r="B222" s="592"/>
      <c r="C222" s="11" t="s">
        <v>31</v>
      </c>
      <c r="D222" s="15">
        <f>Bangula!J222+Bangula!K222+Bangula!L222</f>
        <v>0</v>
      </c>
      <c r="E222" s="15">
        <f>Chikwawa!J222+Chikwawa!K222+Chikwawa!L222</f>
        <v>1607267.99</v>
      </c>
      <c r="F222" s="15">
        <f>'Miseu Folo'!J222+'Miseu Folo'!K222+'Miseu Folo'!L222</f>
        <v>61364.119999999995</v>
      </c>
      <c r="G222" s="15">
        <f>Nchalo!J222+Nchalo!K222+Nchalo!L222</f>
        <v>1025658.31</v>
      </c>
      <c r="H222" s="15">
        <f>Nsanje!J222+Nsanje!K222+Nsanje!L222</f>
        <v>1571995.1400000001</v>
      </c>
      <c r="I222" s="15">
        <f>Ngabu!J222+Ngabu!K222+Ngabu!L222</f>
        <v>472690.86</v>
      </c>
      <c r="J222" s="9">
        <f>SUM(D222:I222)</f>
        <v>4738976.4200000009</v>
      </c>
    </row>
    <row r="223" spans="1:10" ht="15.6" x14ac:dyDescent="0.3">
      <c r="A223" s="656" t="s">
        <v>36</v>
      </c>
      <c r="B223" s="657"/>
      <c r="C223" s="11" t="s">
        <v>31</v>
      </c>
      <c r="D223" s="12">
        <f t="shared" ref="D223:I223" si="64">SUM(D219:D222)</f>
        <v>14813706.27</v>
      </c>
      <c r="E223" s="10">
        <f t="shared" si="64"/>
        <v>51498618.650000006</v>
      </c>
      <c r="F223" s="10">
        <f t="shared" si="64"/>
        <v>3221163.58</v>
      </c>
      <c r="G223" s="10">
        <f t="shared" si="64"/>
        <v>36931412.180000007</v>
      </c>
      <c r="H223" s="10">
        <f t="shared" si="64"/>
        <v>28393050.279999997</v>
      </c>
      <c r="I223" s="10">
        <f t="shared" si="64"/>
        <v>18052107.029999997</v>
      </c>
      <c r="J223" s="9">
        <f>SUM(D223:I223)</f>
        <v>152910057.99000001</v>
      </c>
    </row>
    <row r="224" spans="1:10" x14ac:dyDescent="0.3">
      <c r="A224" s="595" t="s">
        <v>211</v>
      </c>
      <c r="B224" s="596"/>
      <c r="C224" s="596"/>
      <c r="D224" s="596"/>
      <c r="E224" s="596"/>
      <c r="F224" s="596"/>
      <c r="G224" s="596"/>
      <c r="H224" s="596"/>
      <c r="I224" s="596"/>
      <c r="J224" s="597"/>
    </row>
    <row r="225" spans="1:10" ht="15.6" x14ac:dyDescent="0.3">
      <c r="A225" s="591" t="s">
        <v>35</v>
      </c>
      <c r="B225" s="592"/>
      <c r="C225" s="11" t="s">
        <v>31</v>
      </c>
      <c r="D225" s="15">
        <f>Bangula!J225+Bangula!K225+Bangula!L225</f>
        <v>0</v>
      </c>
      <c r="E225" s="15">
        <f>Chikwawa!J225+Chikwawa!K225+Chikwawa!L225</f>
        <v>0</v>
      </c>
      <c r="F225" s="15">
        <f>'Miseu Folo'!J225+'Miseu Folo'!K225+'Miseu Folo'!L225</f>
        <v>0</v>
      </c>
      <c r="G225" s="15">
        <f>Nchalo!J225+Nchalo!K225+Nchalo!L225</f>
        <v>0</v>
      </c>
      <c r="H225" s="15">
        <f>Nsanje!J225+Nsanje!K225+Nsanje!L225</f>
        <v>0</v>
      </c>
      <c r="I225" s="15">
        <f>Ngabu!J225+Ngabu!K225+Ngabu!L225</f>
        <v>0</v>
      </c>
      <c r="J225" s="9">
        <f t="shared" ref="J225:J230" si="65">SUM(D225:I225)</f>
        <v>0</v>
      </c>
    </row>
    <row r="226" spans="1:10" ht="15.6" x14ac:dyDescent="0.3">
      <c r="A226" s="591" t="s">
        <v>34</v>
      </c>
      <c r="B226" s="592"/>
      <c r="C226" s="11" t="s">
        <v>31</v>
      </c>
      <c r="D226" s="15">
        <f>Bangula!J226+Bangula!K226+Bangula!L226</f>
        <v>0</v>
      </c>
      <c r="E226" s="15">
        <f>Chikwawa!J226+Chikwawa!K226+Chikwawa!L226</f>
        <v>0</v>
      </c>
      <c r="F226" s="15">
        <f>'Miseu Folo'!J226+'Miseu Folo'!K226+'Miseu Folo'!L226</f>
        <v>0</v>
      </c>
      <c r="G226" s="15">
        <f>Nchalo!J226+Nchalo!K226+Nchalo!L226</f>
        <v>0</v>
      </c>
      <c r="H226" s="15">
        <f>Nsanje!J226+Nsanje!K226+Nsanje!L226</f>
        <v>0</v>
      </c>
      <c r="I226" s="15">
        <f>Ngabu!J226+Ngabu!K226+Ngabu!L226</f>
        <v>0</v>
      </c>
      <c r="J226" s="9">
        <f t="shared" si="65"/>
        <v>0</v>
      </c>
    </row>
    <row r="227" spans="1:10" ht="15.6" x14ac:dyDescent="0.3">
      <c r="A227" s="591" t="s">
        <v>33</v>
      </c>
      <c r="B227" s="592"/>
      <c r="C227" s="11" t="s">
        <v>31</v>
      </c>
      <c r="D227" s="15">
        <f>Bangula!J227+Bangula!K227+Bangula!L227</f>
        <v>8499739.2400000002</v>
      </c>
      <c r="E227" s="15">
        <f>Chikwawa!J227+Chikwawa!K227+Chikwawa!L227</f>
        <v>37545649.230000004</v>
      </c>
      <c r="F227" s="15">
        <f>'Miseu Folo'!J227+'Miseu Folo'!K227+'Miseu Folo'!L227</f>
        <v>6223734</v>
      </c>
      <c r="G227" s="15">
        <f>Nchalo!J227+Nchalo!K227+Nchalo!L227</f>
        <v>15289406.099999998</v>
      </c>
      <c r="H227" s="15">
        <f>Nsanje!J227+Nsanje!K227+Nsanje!L227</f>
        <v>30461804.289999999</v>
      </c>
      <c r="I227" s="15">
        <f>Ngabu!J227+Ngabu!K227+Ngabu!L227</f>
        <v>12969623.66</v>
      </c>
      <c r="J227" s="9">
        <f t="shared" si="65"/>
        <v>110989956.52000001</v>
      </c>
    </row>
    <row r="228" spans="1:10" ht="15.6" x14ac:dyDescent="0.3">
      <c r="A228" s="591" t="s">
        <v>32</v>
      </c>
      <c r="B228" s="592"/>
      <c r="C228" s="11" t="s">
        <v>31</v>
      </c>
      <c r="D228" s="15">
        <f>Bangula!J228+Bangula!K228+Bangula!L228</f>
        <v>0</v>
      </c>
      <c r="E228" s="15">
        <f>Chikwawa!J228+Chikwawa!K228+Chikwawa!L228</f>
        <v>0</v>
      </c>
      <c r="F228" s="15">
        <f>'Miseu Folo'!J228+'Miseu Folo'!K228+'Miseu Folo'!L228</f>
        <v>0</v>
      </c>
      <c r="G228" s="15">
        <f>Nchalo!J228+Nchalo!K228+Nchalo!L228</f>
        <v>0</v>
      </c>
      <c r="H228" s="15">
        <f>Nsanje!J228+Nsanje!K228+Nsanje!L228</f>
        <v>0</v>
      </c>
      <c r="I228" s="15">
        <f>Ngabu!J228+Ngabu!K228+Ngabu!L228</f>
        <v>0</v>
      </c>
      <c r="J228" s="9">
        <f t="shared" si="65"/>
        <v>0</v>
      </c>
    </row>
    <row r="229" spans="1:10" ht="15.6" x14ac:dyDescent="0.3">
      <c r="A229" s="656" t="s">
        <v>212</v>
      </c>
      <c r="B229" s="657"/>
      <c r="C229" s="11" t="s">
        <v>31</v>
      </c>
      <c r="D229" s="12">
        <f t="shared" ref="D229:I229" si="66">SUM(D225:D228)</f>
        <v>8499739.2400000002</v>
      </c>
      <c r="E229" s="10">
        <f t="shared" si="66"/>
        <v>37545649.230000004</v>
      </c>
      <c r="F229" s="10">
        <f t="shared" si="66"/>
        <v>6223734</v>
      </c>
      <c r="G229" s="10">
        <f t="shared" si="66"/>
        <v>15289406.099999998</v>
      </c>
      <c r="H229" s="10">
        <f t="shared" si="66"/>
        <v>30461804.289999999</v>
      </c>
      <c r="I229" s="10">
        <f t="shared" si="66"/>
        <v>12969623.66</v>
      </c>
      <c r="J229" s="9">
        <f t="shared" si="65"/>
        <v>110989956.52000001</v>
      </c>
    </row>
    <row r="230" spans="1:10" ht="15.6" x14ac:dyDescent="0.3">
      <c r="A230" s="76" t="s">
        <v>213</v>
      </c>
      <c r="B230" s="120"/>
      <c r="C230" s="11" t="s">
        <v>31</v>
      </c>
      <c r="D230" s="12">
        <f>D223+D229</f>
        <v>23313445.509999998</v>
      </c>
      <c r="E230" s="12">
        <f t="shared" ref="E230:I230" si="67">E223+E229</f>
        <v>89044267.88000001</v>
      </c>
      <c r="F230" s="12">
        <f t="shared" si="67"/>
        <v>9444897.5800000001</v>
      </c>
      <c r="G230" s="12">
        <f t="shared" si="67"/>
        <v>52220818.280000001</v>
      </c>
      <c r="H230" s="12">
        <f t="shared" si="67"/>
        <v>58854854.569999993</v>
      </c>
      <c r="I230" s="12">
        <f t="shared" si="67"/>
        <v>31021730.689999998</v>
      </c>
      <c r="J230" s="9">
        <f t="shared" si="65"/>
        <v>263900014.50999999</v>
      </c>
    </row>
    <row r="231" spans="1:10" x14ac:dyDescent="0.3">
      <c r="A231" s="595" t="s">
        <v>30</v>
      </c>
      <c r="B231" s="596"/>
      <c r="C231" s="596"/>
      <c r="D231" s="596"/>
      <c r="E231" s="596"/>
      <c r="F231" s="596"/>
      <c r="G231" s="596"/>
      <c r="H231" s="596"/>
      <c r="I231" s="596"/>
      <c r="J231" s="597"/>
    </row>
    <row r="232" spans="1:10" ht="15.6" x14ac:dyDescent="0.3">
      <c r="A232" s="591" t="s">
        <v>29</v>
      </c>
      <c r="B232" s="592"/>
      <c r="C232" s="11" t="s">
        <v>18</v>
      </c>
      <c r="D232" s="15">
        <f>Bangula!J232+Bangula!K232+Bangula!L232</f>
        <v>885774.7</v>
      </c>
      <c r="E232" s="15">
        <f>Chikwawa!J232+Chikwawa!K232+Chikwawa!L232</f>
        <v>3001822.12</v>
      </c>
      <c r="F232" s="15">
        <f>'Miseu Folo'!J232+'Miseu Folo'!K232+'Miseu Folo'!L232</f>
        <v>264043.52000000002</v>
      </c>
      <c r="G232" s="15">
        <f>Nchalo!J232+Nchalo!K232+Nchalo!L232</f>
        <v>2160661.17</v>
      </c>
      <c r="H232" s="15">
        <f>Nsanje!J232+Nsanje!K232+Nsanje!L232</f>
        <v>1640347.8599999999</v>
      </c>
      <c r="I232" s="15">
        <f>Ngabu!J232+Ngabu!K232+Ngabu!L232</f>
        <v>1213974.55</v>
      </c>
      <c r="J232" s="9">
        <f>SUM(D232:I232)</f>
        <v>9166623.9199999999</v>
      </c>
    </row>
    <row r="233" spans="1:10" ht="15.6" x14ac:dyDescent="0.3">
      <c r="A233" s="591" t="s">
        <v>28</v>
      </c>
      <c r="B233" s="592"/>
      <c r="C233" s="11" t="s">
        <v>18</v>
      </c>
      <c r="D233" s="15">
        <f>Bangula!J233+Bangula!K233+Bangula!L233</f>
        <v>7824.35</v>
      </c>
      <c r="E233" s="15">
        <f>Chikwawa!J233+Chikwawa!K233+Chikwawa!L233</f>
        <v>5564.79</v>
      </c>
      <c r="F233" s="15">
        <f>'Miseu Folo'!J233+'Miseu Folo'!K233+'Miseu Folo'!L233</f>
        <v>0</v>
      </c>
      <c r="G233" s="15">
        <f>Nchalo!J233+Nchalo!K233+Nchalo!L233</f>
        <v>4173.12</v>
      </c>
      <c r="H233" s="15">
        <f>Nsanje!J233+Nsanje!K233+Nsanje!L233</f>
        <v>4173.12</v>
      </c>
      <c r="I233" s="15">
        <f>Ngabu!J233+Ngabu!K233+Ngabu!L233</f>
        <v>9911.91</v>
      </c>
      <c r="J233" s="9">
        <f>SUM(D233:I233)</f>
        <v>31647.289999999997</v>
      </c>
    </row>
    <row r="234" spans="1:10" ht="15.6" x14ac:dyDescent="0.3">
      <c r="A234" s="591" t="s">
        <v>27</v>
      </c>
      <c r="B234" s="592"/>
      <c r="C234" s="11" t="s">
        <v>18</v>
      </c>
      <c r="D234" s="15">
        <f>Bangula!J234+Bangula!K234+Bangula!L234</f>
        <v>46277.520000000004</v>
      </c>
      <c r="E234" s="15">
        <f>Chikwawa!J234+Chikwawa!K234+Chikwawa!L234</f>
        <v>219043.99</v>
      </c>
      <c r="F234" s="15">
        <f>'Miseu Folo'!J234+'Miseu Folo'!K234+'Miseu Folo'!L234</f>
        <v>40106.65</v>
      </c>
      <c r="G234" s="15">
        <f>Nchalo!J234+Nchalo!K234+Nchalo!L234</f>
        <v>67873.040000000008</v>
      </c>
      <c r="H234" s="15">
        <f>Nsanje!J234+Nsanje!K234+Nsanje!L234</f>
        <v>86383.040000000008</v>
      </c>
      <c r="I234" s="15">
        <f>Ngabu!J234+Ngabu!K234+Ngabu!L234</f>
        <v>101809.3</v>
      </c>
      <c r="J234" s="9">
        <f>SUM(D234:I234)</f>
        <v>561493.54000000015</v>
      </c>
    </row>
    <row r="235" spans="1:10" ht="15.6" x14ac:dyDescent="0.3">
      <c r="A235" s="591" t="s">
        <v>26</v>
      </c>
      <c r="B235" s="592"/>
      <c r="C235" s="11" t="s">
        <v>18</v>
      </c>
      <c r="D235" s="15">
        <f>Bangula!J235+Bangula!K235+Bangula!L235</f>
        <v>0</v>
      </c>
      <c r="E235" s="15">
        <f>Chikwawa!J235+Chikwawa!K235+Chikwawa!L235</f>
        <v>147551.70000000001</v>
      </c>
      <c r="F235" s="15">
        <f>'Miseu Folo'!J235+'Miseu Folo'!K235+'Miseu Folo'!L235</f>
        <v>16863.54</v>
      </c>
      <c r="G235" s="15">
        <f>Nchalo!J235+Nchalo!K235+Nchalo!L235</f>
        <v>63236.619999999995</v>
      </c>
      <c r="H235" s="15">
        <f>Nsanje!J235+Nsanje!K235+Nsanje!L235</f>
        <v>21079.54</v>
      </c>
      <c r="I235" s="15">
        <f>Ngabu!J235+Ngabu!K235+Ngabu!L235</f>
        <v>67452.62</v>
      </c>
      <c r="J235" s="9">
        <f>SUM(D235:I235)</f>
        <v>316184.02</v>
      </c>
    </row>
    <row r="236" spans="1:10" ht="15.6" x14ac:dyDescent="0.3">
      <c r="A236" s="656" t="s">
        <v>25</v>
      </c>
      <c r="B236" s="657"/>
      <c r="C236" s="11" t="s">
        <v>18</v>
      </c>
      <c r="D236" s="12"/>
      <c r="E236" s="12"/>
      <c r="F236" s="12"/>
      <c r="G236" s="12"/>
      <c r="H236" s="12"/>
      <c r="I236" s="12"/>
      <c r="J236" s="40">
        <f t="shared" ref="J236" si="68">SUM(J232:J235)</f>
        <v>10075948.77</v>
      </c>
    </row>
    <row r="237" spans="1:10" x14ac:dyDescent="0.3">
      <c r="A237" s="595" t="s">
        <v>24</v>
      </c>
      <c r="B237" s="596"/>
      <c r="C237" s="596"/>
      <c r="D237" s="596"/>
      <c r="E237" s="596"/>
      <c r="F237" s="596"/>
      <c r="G237" s="596"/>
      <c r="H237" s="596"/>
      <c r="I237" s="596"/>
      <c r="J237" s="597"/>
    </row>
    <row r="238" spans="1:10" ht="15.6" x14ac:dyDescent="0.3">
      <c r="A238" s="591" t="s">
        <v>23</v>
      </c>
      <c r="B238" s="592"/>
      <c r="C238" s="11" t="s">
        <v>18</v>
      </c>
      <c r="D238" s="15">
        <f>Bangula!J238+Bangula!K238+Bangula!L238</f>
        <v>1520779</v>
      </c>
      <c r="E238" s="15">
        <f>Chikwawa!J238+Chikwawa!K238+Chikwawa!L238</f>
        <v>5562497</v>
      </c>
      <c r="F238" s="15">
        <f>'Miseu Folo'!J238+'Miseu Folo'!K238+'Miseu Folo'!L238</f>
        <v>475969</v>
      </c>
      <c r="G238" s="15">
        <f>Nchalo!J238+Nchalo!K238+Nchalo!L238</f>
        <v>3876513</v>
      </c>
      <c r="H238" s="15">
        <f>Nsanje!J238+Nsanje!K238+Nsanje!L238</f>
        <v>2874567</v>
      </c>
      <c r="I238" s="15">
        <f>Ngabu!J238+Ngabu!K238+Ngabu!L238</f>
        <v>2226249</v>
      </c>
      <c r="J238" s="39">
        <f>SUM(D238:I238)</f>
        <v>16536574</v>
      </c>
    </row>
    <row r="239" spans="1:10" ht="15.6" x14ac:dyDescent="0.3">
      <c r="A239" s="591" t="s">
        <v>22</v>
      </c>
      <c r="B239" s="592"/>
      <c r="C239" s="11" t="s">
        <v>18</v>
      </c>
      <c r="D239" s="15">
        <f>Bangula!J239+Bangula!K239+Bangula!L239</f>
        <v>40185</v>
      </c>
      <c r="E239" s="15">
        <f>Chikwawa!J239+Chikwawa!K239+Chikwawa!L239</f>
        <v>28576</v>
      </c>
      <c r="F239" s="15">
        <f>'Miseu Folo'!J239+'Miseu Folo'!K239+'Miseu Folo'!L239</f>
        <v>0</v>
      </c>
      <c r="G239" s="15">
        <f>Nchalo!J239+Nchalo!K239+Nchalo!L239</f>
        <v>21432</v>
      </c>
      <c r="H239" s="15">
        <f>Nsanje!J239+Nsanje!K239+Nsanje!L239</f>
        <v>21432</v>
      </c>
      <c r="I239" s="15">
        <f>Ngabu!J239+Ngabu!K239+Ngabu!L239</f>
        <v>50910</v>
      </c>
      <c r="J239" s="39">
        <f>SUM(D239:I239)</f>
        <v>162535</v>
      </c>
    </row>
    <row r="240" spans="1:10" ht="15.6" x14ac:dyDescent="0.3">
      <c r="A240" s="591" t="s">
        <v>21</v>
      </c>
      <c r="B240" s="592"/>
      <c r="C240" s="11" t="s">
        <v>18</v>
      </c>
      <c r="D240" s="15">
        <f>Bangula!J240+Bangula!K240+Bangula!L240</f>
        <v>13395</v>
      </c>
      <c r="E240" s="15">
        <f>Chikwawa!J240+Chikwawa!K240+Chikwawa!L240</f>
        <v>63403</v>
      </c>
      <c r="F240" s="15">
        <f>'Miseu Folo'!J240+'Miseu Folo'!K240+'Miseu Folo'!L240</f>
        <v>11609</v>
      </c>
      <c r="G240" s="15">
        <f>Nchalo!J240+Nchalo!K240+Nchalo!L240</f>
        <v>19646</v>
      </c>
      <c r="H240" s="15">
        <f>Nsanje!J240+Nsanje!K240+Nsanje!L240</f>
        <v>25004</v>
      </c>
      <c r="I240" s="15">
        <f>Ngabu!J240+Ngabu!K240+Ngabu!L240</f>
        <v>29469</v>
      </c>
      <c r="J240" s="39">
        <f>SUM(D240:I240)</f>
        <v>162526</v>
      </c>
    </row>
    <row r="241" spans="1:10" ht="15.6" x14ac:dyDescent="0.3">
      <c r="A241" s="591" t="s">
        <v>20</v>
      </c>
      <c r="B241" s="592"/>
      <c r="C241" s="11" t="s">
        <v>18</v>
      </c>
      <c r="D241" s="15">
        <f>Bangula!J241+Bangula!K241+Bangula!L241</f>
        <v>0</v>
      </c>
      <c r="E241" s="15">
        <f>Chikwawa!J241+Chikwawa!K241+Chikwawa!L241</f>
        <v>31255</v>
      </c>
      <c r="F241" s="15">
        <f>'Miseu Folo'!J241+'Miseu Folo'!K241+'Miseu Folo'!L241</f>
        <v>3572</v>
      </c>
      <c r="G241" s="15">
        <f>Nchalo!J241+Nchalo!K241+Nchalo!L241</f>
        <v>13395</v>
      </c>
      <c r="H241" s="15">
        <f>Nsanje!J241+Nsanje!K241+Nsanje!L241</f>
        <v>4465</v>
      </c>
      <c r="I241" s="15">
        <f>Ngabu!J241+Ngabu!K241+Ngabu!L241</f>
        <v>14288</v>
      </c>
      <c r="J241" s="39">
        <f>SUM(D241:I241)</f>
        <v>66975</v>
      </c>
    </row>
    <row r="242" spans="1:10" ht="15.6" x14ac:dyDescent="0.3">
      <c r="A242" s="656" t="s">
        <v>19</v>
      </c>
      <c r="B242" s="657"/>
      <c r="C242" s="11" t="s">
        <v>18</v>
      </c>
      <c r="D242" s="12">
        <f t="shared" ref="D242:J242" si="69">SUM(D238:D241)</f>
        <v>1574359</v>
      </c>
      <c r="E242" s="12">
        <f t="shared" si="69"/>
        <v>5685731</v>
      </c>
      <c r="F242" s="12">
        <f t="shared" si="69"/>
        <v>491150</v>
      </c>
      <c r="G242" s="12">
        <f t="shared" si="69"/>
        <v>3930986</v>
      </c>
      <c r="H242" s="12">
        <f t="shared" si="69"/>
        <v>2925468</v>
      </c>
      <c r="I242" s="12">
        <f t="shared" si="69"/>
        <v>2320916</v>
      </c>
      <c r="J242" s="40">
        <f t="shared" si="69"/>
        <v>16928610</v>
      </c>
    </row>
    <row r="243" spans="1:10" ht="15.6" x14ac:dyDescent="0.3">
      <c r="A243" s="656" t="s">
        <v>214</v>
      </c>
      <c r="B243" s="657"/>
      <c r="C243" s="11" t="s">
        <v>18</v>
      </c>
      <c r="D243" s="10">
        <f>D230+D236+D242</f>
        <v>24887804.509999998</v>
      </c>
      <c r="E243" s="10">
        <f t="shared" ref="E243:I243" si="70">E230+E236+E242</f>
        <v>94729998.88000001</v>
      </c>
      <c r="F243" s="10">
        <f t="shared" si="70"/>
        <v>9936047.5800000001</v>
      </c>
      <c r="G243" s="10">
        <f t="shared" si="70"/>
        <v>56151804.280000001</v>
      </c>
      <c r="H243" s="10">
        <f t="shared" si="70"/>
        <v>61780322.569999993</v>
      </c>
      <c r="I243" s="10">
        <f t="shared" si="70"/>
        <v>33342646.689999998</v>
      </c>
      <c r="J243" s="40">
        <f t="shared" ref="J243" si="71">J216+J223+J236+J242</f>
        <v>295227806.58999997</v>
      </c>
    </row>
    <row r="244" spans="1:10" x14ac:dyDescent="0.3">
      <c r="A244" s="595" t="s">
        <v>204</v>
      </c>
      <c r="B244" s="596"/>
      <c r="C244" s="596"/>
      <c r="D244" s="596"/>
      <c r="E244" s="596"/>
      <c r="F244" s="596"/>
      <c r="G244" s="596"/>
      <c r="H244" s="596"/>
      <c r="I244" s="596"/>
      <c r="J244" s="597"/>
    </row>
    <row r="245" spans="1:10" ht="15.6" x14ac:dyDescent="0.3">
      <c r="A245" s="663" t="s">
        <v>205</v>
      </c>
      <c r="B245" s="664"/>
      <c r="C245" s="11" t="s">
        <v>18</v>
      </c>
      <c r="D245" s="15">
        <f>Bangula!J245+Bangula!K245+Bangula!L245</f>
        <v>71310565.319999993</v>
      </c>
      <c r="E245" s="15">
        <f>Chikwawa!J245+Chikwawa!K245+Chikwawa!L245</f>
        <v>287473090.19</v>
      </c>
      <c r="F245" s="15">
        <f>'Miseu Folo'!J245+'Miseu Folo'!K245+'Miseu Folo'!L245</f>
        <v>14082836.200000001</v>
      </c>
      <c r="G245" s="15">
        <f>Nchalo!J245+Nchalo!K245+Nchalo!L245</f>
        <v>165900526.34</v>
      </c>
      <c r="H245" s="15">
        <f>Nsanje!J245+Nsanje!K245+Nsanje!L245</f>
        <v>105410721.91000001</v>
      </c>
      <c r="I245" s="15">
        <f>Ngabu!J245+Ngabu!K245+Ngabu!L245</f>
        <v>134393401.47999999</v>
      </c>
      <c r="J245" s="40">
        <f t="shared" ref="J245:J246" si="72">SUM(J241:J244)</f>
        <v>312223391.58999997</v>
      </c>
    </row>
    <row r="246" spans="1:10" ht="15.6" x14ac:dyDescent="0.3">
      <c r="A246" s="663" t="s">
        <v>206</v>
      </c>
      <c r="B246" s="664"/>
      <c r="C246" s="11" t="s">
        <v>18</v>
      </c>
      <c r="D246" s="15">
        <f>Bangula!J246+Bangula!K246+Bangula!L246</f>
        <v>0</v>
      </c>
      <c r="E246" s="15">
        <f>Chikwawa!J246+Chikwawa!K246+Chikwawa!L246</f>
        <v>0</v>
      </c>
      <c r="F246" s="15">
        <f>'Miseu Folo'!J246+'Miseu Folo'!K246+'Miseu Folo'!L246</f>
        <v>0</v>
      </c>
      <c r="G246" s="15">
        <f>Nchalo!J246+Nchalo!K246+Nchalo!L246</f>
        <v>0</v>
      </c>
      <c r="H246" s="15">
        <f>Nsanje!J246+Nsanje!K246+Nsanje!L246</f>
        <v>0</v>
      </c>
      <c r="I246" s="15">
        <f>Ngabu!J246+Ngabu!K246+Ngabu!L246</f>
        <v>0</v>
      </c>
      <c r="J246" s="40">
        <f t="shared" si="72"/>
        <v>624379808.17999995</v>
      </c>
    </row>
    <row r="247" spans="1:10" ht="15.6" x14ac:dyDescent="0.3">
      <c r="A247" s="665" t="s">
        <v>207</v>
      </c>
      <c r="B247" s="666"/>
      <c r="C247" s="11" t="s">
        <v>18</v>
      </c>
      <c r="D247" s="178">
        <f>D245+D246</f>
        <v>71310565.319999993</v>
      </c>
      <c r="E247" s="178">
        <f t="shared" ref="E247:I247" si="73">E245+E246</f>
        <v>287473090.19</v>
      </c>
      <c r="F247" s="178">
        <f t="shared" si="73"/>
        <v>14082836.200000001</v>
      </c>
      <c r="G247" s="178">
        <f t="shared" si="73"/>
        <v>165900526.34</v>
      </c>
      <c r="H247" s="178">
        <f t="shared" si="73"/>
        <v>105410721.91000001</v>
      </c>
      <c r="I247" s="178">
        <f t="shared" si="73"/>
        <v>134393401.47999999</v>
      </c>
      <c r="J247" s="161">
        <f t="shared" ref="J247" si="74">SUM(J243:J246)</f>
        <v>1231831006.3599999</v>
      </c>
    </row>
    <row r="248" spans="1:10" x14ac:dyDescent="0.3">
      <c r="A248" s="595" t="s">
        <v>17</v>
      </c>
      <c r="B248" s="596"/>
      <c r="C248" s="596"/>
      <c r="D248" s="596"/>
      <c r="E248" s="596"/>
      <c r="F248" s="596"/>
      <c r="G248" s="596"/>
      <c r="H248" s="596"/>
      <c r="I248" s="596"/>
      <c r="J248" s="597"/>
    </row>
    <row r="249" spans="1:10" ht="15.6" x14ac:dyDescent="0.3">
      <c r="A249" s="620" t="s">
        <v>16</v>
      </c>
      <c r="B249" s="621"/>
      <c r="C249" s="5" t="s">
        <v>6</v>
      </c>
      <c r="D249" s="8">
        <f>D58/D243%</f>
        <v>16.920331920210025</v>
      </c>
      <c r="E249" s="8">
        <f t="shared" ref="E249:J249" si="75">E58/E243%</f>
        <v>10.034765816942233</v>
      </c>
      <c r="F249" s="8">
        <f t="shared" si="75"/>
        <v>35.670692309627604</v>
      </c>
      <c r="G249" s="8">
        <f t="shared" si="75"/>
        <v>12.393596157298758</v>
      </c>
      <c r="H249" s="8">
        <f t="shared" si="75"/>
        <v>24.031940094914468</v>
      </c>
      <c r="I249" s="8">
        <f t="shared" si="75"/>
        <v>27.034248463555311</v>
      </c>
      <c r="J249" s="8">
        <f t="shared" si="75"/>
        <v>16.286223886080567</v>
      </c>
    </row>
    <row r="250" spans="1:10" ht="15.6" x14ac:dyDescent="0.3">
      <c r="A250" s="620" t="s">
        <v>208</v>
      </c>
      <c r="B250" s="621"/>
      <c r="C250" s="5" t="s">
        <v>6</v>
      </c>
      <c r="D250" s="29">
        <f>D210/(D223+D245)%</f>
        <v>16.094717254606625</v>
      </c>
      <c r="E250" s="29">
        <f t="shared" ref="E250:J250" si="76">E210/(E223+E245)%</f>
        <v>12.870124515492293</v>
      </c>
      <c r="F250" s="29">
        <f t="shared" si="76"/>
        <v>13.262789119152426</v>
      </c>
      <c r="G250" s="29">
        <f t="shared" si="76"/>
        <v>17.212853781682625</v>
      </c>
      <c r="H250" s="29">
        <f t="shared" si="76"/>
        <v>19.49770142724703</v>
      </c>
      <c r="I250" s="29">
        <f t="shared" si="76"/>
        <v>8.1060774573029768</v>
      </c>
      <c r="J250" s="29">
        <f t="shared" si="76"/>
        <v>28.624410504173056</v>
      </c>
    </row>
    <row r="251" spans="1:10" ht="16.2" thickBot="1" x14ac:dyDescent="0.35">
      <c r="A251" s="669" t="s">
        <v>15</v>
      </c>
      <c r="B251" s="670"/>
      <c r="C251" s="5" t="s">
        <v>6</v>
      </c>
      <c r="D251" s="7">
        <f>D210/D223%</f>
        <v>93.571843179255907</v>
      </c>
      <c r="E251" s="7">
        <f t="shared" ref="E251:J251" si="77">E210/E223%</f>
        <v>84.713109096179593</v>
      </c>
      <c r="F251" s="7">
        <f t="shared" si="77"/>
        <v>71.24732858180397</v>
      </c>
      <c r="G251" s="7">
        <f t="shared" si="77"/>
        <v>94.535147559039245</v>
      </c>
      <c r="H251" s="7">
        <f t="shared" si="77"/>
        <v>91.883963655630183</v>
      </c>
      <c r="I251" s="7">
        <f t="shared" si="77"/>
        <v>68.453787579831356</v>
      </c>
      <c r="J251" s="7">
        <f t="shared" si="77"/>
        <v>87.071909951605136</v>
      </c>
    </row>
    <row r="252" spans="1:10" x14ac:dyDescent="0.3">
      <c r="A252" s="649" t="s">
        <v>14</v>
      </c>
      <c r="B252" s="650"/>
      <c r="C252" s="650"/>
      <c r="D252" s="650"/>
      <c r="E252" s="650"/>
      <c r="F252" s="650"/>
      <c r="G252" s="650"/>
      <c r="H252" s="650"/>
      <c r="I252" s="650"/>
      <c r="J252" s="651"/>
    </row>
    <row r="253" spans="1:10" s="2" customFormat="1" ht="15" customHeight="1" x14ac:dyDescent="0.3">
      <c r="A253" s="620" t="s">
        <v>13</v>
      </c>
      <c r="B253" s="621"/>
      <c r="C253" s="5" t="s">
        <v>3</v>
      </c>
      <c r="D253" s="26">
        <f>Bangula!J253+Bangula!K253+Bangula!L253</f>
        <v>14</v>
      </c>
      <c r="E253" s="26">
        <f>Chikwawa!J253+Chikwawa!K253+Chikwawa!L253</f>
        <v>31</v>
      </c>
      <c r="F253" s="26">
        <f>'Miseu Folo'!J253+'Miseu Folo'!K253+'Miseu Folo'!L253</f>
        <v>48</v>
      </c>
      <c r="G253" s="26">
        <f>Nchalo!J253+Nchalo!K253+Nchalo!L253</f>
        <v>39</v>
      </c>
      <c r="H253" s="26">
        <f>Nsanje!J253+Nsanje!K253+Nsanje!L253</f>
        <v>32</v>
      </c>
      <c r="I253" s="26">
        <f>Ngabu!J253+Ngabu!K253+Ngabu!L253</f>
        <v>63</v>
      </c>
      <c r="J253" s="114">
        <f>SUM(D253:I253)</f>
        <v>227</v>
      </c>
    </row>
    <row r="254" spans="1:10" s="2" customFormat="1" ht="15.6" x14ac:dyDescent="0.3">
      <c r="A254" s="620" t="s">
        <v>12</v>
      </c>
      <c r="B254" s="621"/>
      <c r="C254" s="5" t="s">
        <v>3</v>
      </c>
      <c r="D254" s="26">
        <f>Bangula!J254+Bangula!K254+Bangula!L254</f>
        <v>6</v>
      </c>
      <c r="E254" s="26">
        <f>Chikwawa!J254+Chikwawa!K254+Chikwawa!L254</f>
        <v>3</v>
      </c>
      <c r="F254" s="26">
        <f>'Miseu Folo'!J254+'Miseu Folo'!K254+'Miseu Folo'!L254</f>
        <v>9</v>
      </c>
      <c r="G254" s="26">
        <f>Nchalo!J254+Nchalo!K254+Nchalo!L254</f>
        <v>15</v>
      </c>
      <c r="H254" s="26">
        <f>Nsanje!J254+Nsanje!K254+Nsanje!L254</f>
        <v>32</v>
      </c>
      <c r="I254" s="26">
        <f>Ngabu!J254+Ngabu!K254+Ngabu!L254</f>
        <v>42</v>
      </c>
      <c r="J254" s="114">
        <f>SUM(D254:I254)</f>
        <v>107</v>
      </c>
    </row>
    <row r="255" spans="1:10" ht="15.75" customHeight="1" x14ac:dyDescent="0.3">
      <c r="A255" s="620" t="s">
        <v>11</v>
      </c>
      <c r="B255" s="621"/>
      <c r="C255" s="5" t="s">
        <v>3</v>
      </c>
      <c r="D255" s="26">
        <f>Bangula!J255+Bangula!K255+Bangula!L255</f>
        <v>16</v>
      </c>
      <c r="E255" s="26">
        <f>Chikwawa!J255+Chikwawa!K255+Chikwawa!L255</f>
        <v>99</v>
      </c>
      <c r="F255" s="26">
        <f>'Miseu Folo'!J255+'Miseu Folo'!K255+'Miseu Folo'!L255</f>
        <v>8</v>
      </c>
      <c r="G255" s="26">
        <f>Nchalo!J255+Nchalo!K255+Nchalo!L255</f>
        <v>38</v>
      </c>
      <c r="H255" s="26">
        <f>Nsanje!J255+Nsanje!K255+Nsanje!L255</f>
        <v>5</v>
      </c>
      <c r="I255" s="26">
        <f>Ngabu!J255+Ngabu!K255+Ngabu!L255</f>
        <v>15</v>
      </c>
      <c r="J255" s="114">
        <f>SUM(D255:I255)</f>
        <v>181</v>
      </c>
    </row>
    <row r="256" spans="1:10" ht="15.6" x14ac:dyDescent="0.3">
      <c r="A256" s="620" t="s">
        <v>10</v>
      </c>
      <c r="B256" s="621"/>
      <c r="C256" s="5" t="s">
        <v>3</v>
      </c>
      <c r="D256" s="26">
        <f>Bangula!J256+Bangula!K256+Bangula!L256</f>
        <v>130</v>
      </c>
      <c r="E256" s="26">
        <f>Chikwawa!J256+Chikwawa!K256+Chikwawa!L256</f>
        <v>206</v>
      </c>
      <c r="F256" s="26">
        <f>'Miseu Folo'!J256+'Miseu Folo'!K256+'Miseu Folo'!L256</f>
        <v>472</v>
      </c>
      <c r="G256" s="26">
        <f>Nchalo!J256+Nchalo!K256+Nchalo!L256</f>
        <v>118</v>
      </c>
      <c r="H256" s="26">
        <f>Nsanje!J256+Nsanje!K256+Nsanje!L256</f>
        <v>92</v>
      </c>
      <c r="I256" s="26">
        <f>Ngabu!J256+Ngabu!K256+Ngabu!L256</f>
        <v>73</v>
      </c>
      <c r="J256" s="114">
        <f>SUM(D256:I256)</f>
        <v>1091</v>
      </c>
    </row>
    <row r="257" spans="1:10" ht="15.6" customHeight="1" x14ac:dyDescent="0.3">
      <c r="A257" s="620" t="s">
        <v>9</v>
      </c>
      <c r="B257" s="621"/>
      <c r="C257" s="5" t="s">
        <v>3</v>
      </c>
      <c r="D257" s="26">
        <f>Bangula!J257+Bangula!K257+Bangula!L257</f>
        <v>92</v>
      </c>
      <c r="E257" s="26">
        <f>Chikwawa!J257+Chikwawa!K257+Chikwawa!L257</f>
        <v>87</v>
      </c>
      <c r="F257" s="26">
        <f>'Miseu Folo'!J257+'Miseu Folo'!K257+'Miseu Folo'!L257</f>
        <v>143.52941176470588</v>
      </c>
      <c r="G257" s="26">
        <f>Nchalo!J257+Nchalo!K257+Nchalo!L257</f>
        <v>83</v>
      </c>
      <c r="H257" s="26">
        <f>Nsanje!J257+Nsanje!K257+Nsanje!L257</f>
        <v>450</v>
      </c>
      <c r="I257" s="26">
        <f>Ngabu!J257+Ngabu!K257+Ngabu!L257</f>
        <v>71</v>
      </c>
      <c r="J257" s="114">
        <f>SUM(D257:I257)</f>
        <v>926.52941176470586</v>
      </c>
    </row>
    <row r="258" spans="1:10" ht="15.6" x14ac:dyDescent="0.3">
      <c r="A258" s="656" t="s">
        <v>8</v>
      </c>
      <c r="B258" s="657"/>
      <c r="C258" s="5" t="s">
        <v>3</v>
      </c>
      <c r="D258" s="1">
        <f t="shared" ref="D258:J258" si="78">D257/D256</f>
        <v>0.70769230769230773</v>
      </c>
      <c r="E258" s="1">
        <f t="shared" si="78"/>
        <v>0.42233009708737862</v>
      </c>
      <c r="F258" s="1">
        <f t="shared" si="78"/>
        <v>0.30408773678963114</v>
      </c>
      <c r="G258" s="3">
        <f t="shared" si="78"/>
        <v>0.70338983050847459</v>
      </c>
      <c r="H258" s="3">
        <f t="shared" si="78"/>
        <v>4.8913043478260869</v>
      </c>
      <c r="I258" s="3">
        <f t="shared" si="78"/>
        <v>0.9726027397260274</v>
      </c>
      <c r="J258" s="114">
        <f t="shared" si="78"/>
        <v>0.84924785679624737</v>
      </c>
    </row>
    <row r="259" spans="1:10" ht="15.6" x14ac:dyDescent="0.3">
      <c r="A259" s="656" t="s">
        <v>7</v>
      </c>
      <c r="B259" s="657"/>
      <c r="C259" s="5" t="s">
        <v>6</v>
      </c>
      <c r="D259" s="1">
        <f t="shared" ref="D259:J259" si="79">D92/D255*100</f>
        <v>112.5</v>
      </c>
      <c r="E259" s="1">
        <f t="shared" si="79"/>
        <v>48.484848484848484</v>
      </c>
      <c r="F259" s="1">
        <f t="shared" si="79"/>
        <v>537.5</v>
      </c>
      <c r="G259" s="6">
        <f t="shared" si="79"/>
        <v>52.631578947368418</v>
      </c>
      <c r="H259" s="175">
        <f t="shared" si="79"/>
        <v>940</v>
      </c>
      <c r="I259" s="6">
        <f t="shared" si="79"/>
        <v>126.66666666666666</v>
      </c>
      <c r="J259" s="115">
        <f t="shared" si="79"/>
        <v>107.73480662983425</v>
      </c>
    </row>
    <row r="260" spans="1:10" x14ac:dyDescent="0.3">
      <c r="A260" s="595" t="s">
        <v>5</v>
      </c>
      <c r="B260" s="596"/>
      <c r="C260" s="596"/>
      <c r="D260" s="596"/>
      <c r="E260" s="596"/>
      <c r="F260" s="596"/>
      <c r="G260" s="596"/>
      <c r="H260" s="596"/>
      <c r="I260" s="596"/>
      <c r="J260" s="597"/>
    </row>
    <row r="261" spans="1:10" s="2" customFormat="1" ht="15" customHeight="1" x14ac:dyDescent="0.3">
      <c r="A261" s="620" t="s">
        <v>4</v>
      </c>
      <c r="B261" s="621"/>
      <c r="C261" s="5" t="s">
        <v>3</v>
      </c>
      <c r="D261" s="26">
        <f>Bangula!J261+Bangula!K261+Bangula!L261</f>
        <v>38</v>
      </c>
      <c r="E261" s="26">
        <f>Chikwawa!J261+Chikwawa!K261+Chikwawa!L261</f>
        <v>39</v>
      </c>
      <c r="F261" s="26">
        <f>'Miseu Folo'!J261+'Miseu Folo'!K261+'Miseu Folo'!L261</f>
        <v>13</v>
      </c>
      <c r="G261" s="26">
        <f>Nchalo!J261+Nchalo!K261+Nchalo!L261</f>
        <v>53</v>
      </c>
      <c r="H261" s="26">
        <f>Nsanje!J261+Nsanje!K261+Nsanje!L261</f>
        <v>47</v>
      </c>
      <c r="I261" s="26">
        <f>Ngabu!J261+Ngabu!K261+Ngabu!L261</f>
        <v>49</v>
      </c>
      <c r="J261" s="114">
        <f>SUM(D261:I261)</f>
        <v>239</v>
      </c>
    </row>
    <row r="262" spans="1:10" s="2" customFormat="1" ht="15.75" customHeight="1" x14ac:dyDescent="0.3">
      <c r="A262" s="620" t="s">
        <v>2</v>
      </c>
      <c r="B262" s="621"/>
      <c r="C262" s="5" t="s">
        <v>0</v>
      </c>
      <c r="D262" s="26">
        <f>Bangula!J262+Bangula!K262+Bangula!L262</f>
        <v>61</v>
      </c>
      <c r="E262" s="26">
        <f>Chikwawa!J262+Chikwawa!K262+Chikwawa!L262</f>
        <v>170</v>
      </c>
      <c r="F262" s="26">
        <f>'Miseu Folo'!J262+'Miseu Folo'!K262+'Miseu Folo'!L262</f>
        <v>21</v>
      </c>
      <c r="G262" s="26">
        <f>Nchalo!J262+Nchalo!K262+Nchalo!L262</f>
        <v>24</v>
      </c>
      <c r="H262" s="26">
        <f>Nsanje!J262+Nsanje!K262+Nsanje!L262</f>
        <v>94</v>
      </c>
      <c r="I262" s="26">
        <f>Ngabu!J262+Ngabu!K262+Ngabu!L262</f>
        <v>27</v>
      </c>
      <c r="J262" s="114">
        <f>SUM(D262:I262)</f>
        <v>397</v>
      </c>
    </row>
    <row r="263" spans="1:10" ht="16.2" thickBot="1" x14ac:dyDescent="0.35">
      <c r="A263" s="667" t="s">
        <v>1</v>
      </c>
      <c r="B263" s="668"/>
      <c r="C263" s="116" t="s">
        <v>0</v>
      </c>
      <c r="D263" s="117">
        <f t="shared" ref="D263:J263" si="80">D261/D262</f>
        <v>0.62295081967213117</v>
      </c>
      <c r="E263" s="117">
        <f t="shared" si="80"/>
        <v>0.22941176470588234</v>
      </c>
      <c r="F263" s="117">
        <f t="shared" si="80"/>
        <v>0.61904761904761907</v>
      </c>
      <c r="G263" s="117">
        <f t="shared" si="80"/>
        <v>2.2083333333333335</v>
      </c>
      <c r="H263" s="117">
        <f t="shared" si="80"/>
        <v>0.5</v>
      </c>
      <c r="I263" s="117">
        <f t="shared" si="80"/>
        <v>1.8148148148148149</v>
      </c>
      <c r="J263" s="117">
        <f t="shared" si="80"/>
        <v>0.60201511335012592</v>
      </c>
    </row>
  </sheetData>
  <mergeCells count="155"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7:B7"/>
    <mergeCell ref="A8:J8"/>
    <mergeCell ref="A9:B9"/>
    <mergeCell ref="A10:J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1:J263"/>
  <sheetViews>
    <sheetView workbookViewId="0">
      <pane xSplit="5" ySplit="12" topLeftCell="G120" activePane="bottomRight" state="frozen"/>
      <selection pane="topRight" activeCell="F1" sqref="F1"/>
      <selection pane="bottomLeft" activeCell="A13" sqref="A13"/>
      <selection pane="bottomRight" activeCell="J1" sqref="J1:J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9" width="19.109375" customWidth="1"/>
    <col min="10" max="10" width="21.44140625" bestFit="1" customWidth="1"/>
  </cols>
  <sheetData>
    <row r="1" spans="1:10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21"/>
    </row>
    <row r="2" spans="1:10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3"/>
    </row>
    <row r="3" spans="1:10" ht="18" thickBot="1" x14ac:dyDescent="0.35">
      <c r="A3" s="210" t="s">
        <v>217</v>
      </c>
      <c r="B3" s="211"/>
      <c r="C3" s="211"/>
      <c r="D3" s="211"/>
      <c r="E3" s="211"/>
      <c r="F3" s="211"/>
      <c r="G3" s="211"/>
      <c r="H3" s="211"/>
      <c r="I3" s="211"/>
      <c r="J3" s="212"/>
    </row>
    <row r="4" spans="1:10" ht="18" thickBot="1" x14ac:dyDescent="0.35">
      <c r="A4" s="94" t="s">
        <v>226</v>
      </c>
      <c r="B4" s="124"/>
      <c r="C4" s="124"/>
      <c r="D4" s="124"/>
      <c r="E4" s="124"/>
      <c r="F4" s="124"/>
      <c r="G4" s="124"/>
      <c r="H4" s="124"/>
      <c r="I4" s="124"/>
      <c r="J4" s="125"/>
    </row>
    <row r="5" spans="1:10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126"/>
    </row>
    <row r="6" spans="1:10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9"/>
    </row>
    <row r="7" spans="1:10" ht="16.2" thickBot="1" x14ac:dyDescent="0.35">
      <c r="A7" s="589" t="s">
        <v>174</v>
      </c>
      <c r="B7" s="590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60" t="s">
        <v>223</v>
      </c>
      <c r="I7" s="60" t="s">
        <v>224</v>
      </c>
      <c r="J7" s="59" t="s">
        <v>160</v>
      </c>
    </row>
    <row r="8" spans="1:10" ht="15" thickBot="1" x14ac:dyDescent="0.35">
      <c r="A8" s="600" t="s">
        <v>159</v>
      </c>
      <c r="B8" s="601"/>
      <c r="C8" s="601"/>
      <c r="D8" s="601"/>
      <c r="E8" s="601"/>
      <c r="F8" s="601"/>
      <c r="G8" s="601"/>
      <c r="H8" s="601"/>
      <c r="I8" s="601"/>
      <c r="J8" s="602"/>
    </row>
    <row r="9" spans="1:10" ht="15.6" x14ac:dyDescent="0.3">
      <c r="A9" s="603" t="s">
        <v>176</v>
      </c>
      <c r="B9" s="604"/>
      <c r="C9" s="58" t="s">
        <v>152</v>
      </c>
      <c r="D9" s="57">
        <f>Bangula!M9+Bangula!N9+Bangula!O9</f>
        <v>25456</v>
      </c>
      <c r="E9" s="57">
        <f>Chikwawa!M9+Chikwawa!N9+Chikwawa!O9</f>
        <v>83614</v>
      </c>
      <c r="F9" s="57">
        <f>'Miseu Folo'!M9+'Miseu Folo'!N9+'Miseu Folo'!O9</f>
        <v>10958</v>
      </c>
      <c r="G9" s="57">
        <f>Nchalo!M9+Nchalo!N9+Nchalo!O9</f>
        <v>65666</v>
      </c>
      <c r="H9" s="57">
        <f>Nsanje!M9+Nsanje!N9+Nsanje!O9</f>
        <v>71608</v>
      </c>
      <c r="I9" s="57">
        <f>Ngabu!M9+Ngabu!N9+Ngabu!O9</f>
        <v>36833</v>
      </c>
      <c r="J9" s="56">
        <f>SUM(D9:I9)</f>
        <v>294135</v>
      </c>
    </row>
    <row r="10" spans="1:10" x14ac:dyDescent="0.3">
      <c r="A10" s="595" t="s">
        <v>177</v>
      </c>
      <c r="B10" s="596"/>
      <c r="C10" s="596"/>
      <c r="D10" s="685"/>
      <c r="E10" s="685"/>
      <c r="F10" s="685"/>
      <c r="G10" s="685"/>
      <c r="H10" s="685"/>
      <c r="I10" s="685"/>
      <c r="J10" s="597"/>
    </row>
    <row r="11" spans="1:10" ht="15.6" x14ac:dyDescent="0.3">
      <c r="A11" s="598" t="s">
        <v>157</v>
      </c>
      <c r="B11" s="599"/>
      <c r="C11" s="11" t="s">
        <v>152</v>
      </c>
      <c r="D11" s="26">
        <f>Bangula!M11+Bangula!N11+Bangula!O11</f>
        <v>12816</v>
      </c>
      <c r="E11" s="26">
        <f>Chikwawa!M11+Chikwawa!N11+Chikwawa!O11</f>
        <v>52269</v>
      </c>
      <c r="F11" s="26">
        <f>'Miseu Folo'!M11+'Miseu Folo'!N11+'Miseu Folo'!O11</f>
        <v>3395</v>
      </c>
      <c r="G11" s="26">
        <f>Nchalo!M11+Nchalo!N11+Nchalo!O11</f>
        <v>42176</v>
      </c>
      <c r="H11" s="26">
        <f>Nsanje!M11+Nsanje!N11+Nsanje!O11</f>
        <v>30064</v>
      </c>
      <c r="I11" s="26">
        <f>Ngabu!M11+Ngabu!N11+Ngabu!O11</f>
        <v>17824</v>
      </c>
      <c r="J11" s="55">
        <f>SUM(D11:I11)</f>
        <v>158544</v>
      </c>
    </row>
    <row r="12" spans="1:10" ht="15.6" x14ac:dyDescent="0.3">
      <c r="A12" s="598" t="s">
        <v>156</v>
      </c>
      <c r="B12" s="599"/>
      <c r="C12" s="11" t="s">
        <v>152</v>
      </c>
      <c r="D12" s="26">
        <f>Bangula!M12+Bangula!N12+Bangula!O12</f>
        <v>2964</v>
      </c>
      <c r="E12" s="26">
        <f>Chikwawa!M12+Chikwawa!N12+Chikwawa!O12</f>
        <v>2233</v>
      </c>
      <c r="F12" s="26">
        <f>'Miseu Folo'!M12+'Miseu Folo'!N12+'Miseu Folo'!O12</f>
        <v>0</v>
      </c>
      <c r="G12" s="26">
        <f>Nchalo!M12+Nchalo!N12+Nchalo!O12</f>
        <v>2320</v>
      </c>
      <c r="H12" s="26">
        <f>Nsanje!M12+Nsanje!N12+Nsanje!O12</f>
        <v>2185</v>
      </c>
      <c r="I12" s="26">
        <f>Ngabu!M12+Ngabu!N12+Ngabu!O12</f>
        <v>2920</v>
      </c>
      <c r="J12" s="55">
        <f>SUM(D12:I12)</f>
        <v>12622</v>
      </c>
    </row>
    <row r="13" spans="1:10" ht="15.6" x14ac:dyDescent="0.3">
      <c r="A13" s="598" t="s">
        <v>155</v>
      </c>
      <c r="B13" s="599"/>
      <c r="C13" s="11" t="s">
        <v>152</v>
      </c>
      <c r="D13" s="26">
        <f>Bangula!M13+Bangula!N13+Bangula!O13</f>
        <v>128</v>
      </c>
      <c r="E13" s="26">
        <f>Chikwawa!M13+Chikwawa!N13+Chikwawa!O13</f>
        <v>736</v>
      </c>
      <c r="F13" s="26">
        <f>'Miseu Folo'!M13+'Miseu Folo'!N13+'Miseu Folo'!O13</f>
        <v>25</v>
      </c>
      <c r="G13" s="26">
        <f>Nchalo!M13+Nchalo!N13+Nchalo!O13</f>
        <v>186</v>
      </c>
      <c r="H13" s="26">
        <f>Nsanje!M13+Nsanje!N13+Nsanje!O13</f>
        <v>380</v>
      </c>
      <c r="I13" s="26">
        <f>Ngabu!M13+Ngabu!N13+Ngabu!O13</f>
        <v>470</v>
      </c>
      <c r="J13" s="55">
        <f>SUM(D13:I13)</f>
        <v>1925</v>
      </c>
    </row>
    <row r="14" spans="1:10" ht="15.6" x14ac:dyDescent="0.3">
      <c r="A14" s="591" t="s">
        <v>154</v>
      </c>
      <c r="B14" s="592"/>
      <c r="C14" s="11" t="s">
        <v>152</v>
      </c>
      <c r="D14" s="26">
        <f>Bangula!M14+Bangula!N14+Bangula!O14</f>
        <v>0</v>
      </c>
      <c r="E14" s="26">
        <f>Chikwawa!M14+Chikwawa!N14+Chikwawa!O14</f>
        <v>309</v>
      </c>
      <c r="F14" s="26">
        <f>'Miseu Folo'!M14+'Miseu Folo'!N14+'Miseu Folo'!O14</f>
        <v>13</v>
      </c>
      <c r="G14" s="26">
        <f>Nchalo!M14+Nchalo!N14+Nchalo!O14</f>
        <v>337</v>
      </c>
      <c r="H14" s="26">
        <f>Nsanje!M14+Nsanje!N14+Nsanje!O14</f>
        <v>219</v>
      </c>
      <c r="I14" s="26">
        <f>Ngabu!M14+Ngabu!N14+Ngabu!O14</f>
        <v>223</v>
      </c>
      <c r="J14" s="55">
        <f>SUM(D14:I14)</f>
        <v>1101</v>
      </c>
    </row>
    <row r="15" spans="1:10" s="63" customFormat="1" ht="15.6" x14ac:dyDescent="0.3">
      <c r="A15" s="593" t="s">
        <v>158</v>
      </c>
      <c r="B15" s="594"/>
      <c r="C15" s="62" t="s">
        <v>152</v>
      </c>
      <c r="D15" s="34">
        <f t="shared" ref="D15:J15" si="0">SUM(D11:D14)</f>
        <v>15908</v>
      </c>
      <c r="E15" s="34">
        <f t="shared" si="0"/>
        <v>55547</v>
      </c>
      <c r="F15" s="34">
        <f t="shared" si="0"/>
        <v>3433</v>
      </c>
      <c r="G15" s="34">
        <f t="shared" si="0"/>
        <v>45019</v>
      </c>
      <c r="H15" s="34">
        <f t="shared" si="0"/>
        <v>32848</v>
      </c>
      <c r="I15" s="34">
        <f t="shared" si="0"/>
        <v>21437</v>
      </c>
      <c r="J15" s="55">
        <f t="shared" si="0"/>
        <v>174192</v>
      </c>
    </row>
    <row r="16" spans="1:10" s="2" customFormat="1" x14ac:dyDescent="0.3">
      <c r="A16" s="595" t="s">
        <v>178</v>
      </c>
      <c r="B16" s="596"/>
      <c r="C16" s="596"/>
      <c r="D16" s="596"/>
      <c r="E16" s="685"/>
      <c r="F16" s="685"/>
      <c r="G16" s="685"/>
      <c r="H16" s="685"/>
      <c r="I16" s="685"/>
      <c r="J16" s="597"/>
    </row>
    <row r="17" spans="1:10" s="2" customFormat="1" ht="15.6" x14ac:dyDescent="0.3">
      <c r="A17" s="598" t="s">
        <v>180</v>
      </c>
      <c r="B17" s="599"/>
      <c r="C17" s="11" t="s">
        <v>152</v>
      </c>
      <c r="D17" s="26">
        <f>Bangula!M17+Bangula!N17+Bangula!O17</f>
        <v>4220</v>
      </c>
      <c r="E17" s="26">
        <f>Chikwawa!M17+Chikwawa!N17+Chikwawa!O17</f>
        <v>3703</v>
      </c>
      <c r="F17" s="26">
        <f>'Miseu Folo'!M17+'Miseu Folo'!N17+'Miseu Folo'!O17</f>
        <v>0</v>
      </c>
      <c r="G17" s="26">
        <f>Nchalo!M17+Nchalo!N17+Nchalo!O17</f>
        <v>0</v>
      </c>
      <c r="H17" s="26">
        <f>Nsanje!M17+Nsanje!N17+Nsanje!O17</f>
        <v>14554</v>
      </c>
      <c r="I17" s="26">
        <f>Ngabu!M17+Ngabu!N17+Ngabu!O17</f>
        <v>4553</v>
      </c>
      <c r="J17" s="55">
        <f>SUM(D17:I17)</f>
        <v>27030</v>
      </c>
    </row>
    <row r="18" spans="1:10" s="2" customFormat="1" ht="15.6" x14ac:dyDescent="0.3">
      <c r="A18" s="598" t="s">
        <v>181</v>
      </c>
      <c r="B18" s="599"/>
      <c r="C18" s="11" t="s">
        <v>152</v>
      </c>
      <c r="D18" s="26">
        <f>Bangula!M18+Bangula!N18+Bangula!O18</f>
        <v>0</v>
      </c>
      <c r="E18" s="26">
        <f>Chikwawa!M18+Chikwawa!N18+Chikwawa!O18</f>
        <v>0</v>
      </c>
      <c r="F18" s="26">
        <f>'Miseu Folo'!M18+'Miseu Folo'!N18+'Miseu Folo'!O18</f>
        <v>0</v>
      </c>
      <c r="G18" s="26">
        <f>Nchalo!M18+Nchalo!N18+Nchalo!O18</f>
        <v>0</v>
      </c>
      <c r="H18" s="26">
        <f>Nsanje!M18+Nsanje!N18+Nsanje!O18</f>
        <v>0</v>
      </c>
      <c r="I18" s="26">
        <f>Ngabu!M18+Ngabu!N18+Ngabu!O18</f>
        <v>0</v>
      </c>
      <c r="J18" s="55">
        <f>SUM(D18:I18)</f>
        <v>0</v>
      </c>
    </row>
    <row r="19" spans="1:10" s="2" customFormat="1" ht="15.6" x14ac:dyDescent="0.3">
      <c r="A19" s="598" t="s">
        <v>182</v>
      </c>
      <c r="B19" s="599"/>
      <c r="C19" s="11" t="s">
        <v>152</v>
      </c>
      <c r="D19" s="26">
        <f>Bangula!M19+Bangula!N19+Bangula!O19</f>
        <v>734</v>
      </c>
      <c r="E19" s="26">
        <f>Chikwawa!M19+Chikwawa!N19+Chikwawa!O19</f>
        <v>7152</v>
      </c>
      <c r="F19" s="26">
        <f>'Miseu Folo'!M19+'Miseu Folo'!N19+'Miseu Folo'!O19</f>
        <v>5716.1</v>
      </c>
      <c r="G19" s="26">
        <f>Nchalo!M19+Nchalo!N19+Nchalo!O19</f>
        <v>8048.9</v>
      </c>
      <c r="H19" s="26">
        <f>Nsanje!M19+Nsanje!N19+Nsanje!O19</f>
        <v>5296</v>
      </c>
      <c r="I19" s="26">
        <f>Ngabu!M19+Ngabu!N19+Ngabu!O19</f>
        <v>1969</v>
      </c>
      <c r="J19" s="55">
        <f>SUM(D19:I19)</f>
        <v>28916</v>
      </c>
    </row>
    <row r="20" spans="1:10" s="2" customFormat="1" ht="15.6" x14ac:dyDescent="0.3">
      <c r="A20" s="591" t="s">
        <v>183</v>
      </c>
      <c r="B20" s="592"/>
      <c r="C20" s="11" t="s">
        <v>152</v>
      </c>
      <c r="D20" s="26">
        <f>Bangula!M20+Bangula!N20+Bangula!O20</f>
        <v>596</v>
      </c>
      <c r="E20" s="26">
        <f>Chikwawa!M20+Chikwawa!N20+Chikwawa!O20</f>
        <v>2127</v>
      </c>
      <c r="F20" s="26">
        <f>'Miseu Folo'!M20+'Miseu Folo'!N20+'Miseu Folo'!O20</f>
        <v>0</v>
      </c>
      <c r="G20" s="26">
        <f>Nchalo!M20+Nchalo!N20+Nchalo!O20</f>
        <v>0</v>
      </c>
      <c r="H20" s="26">
        <f>Nsanje!M20+Nsanje!N20+Nsanje!O20</f>
        <v>1200</v>
      </c>
      <c r="I20" s="26">
        <f>Ngabu!M20+Ngabu!N20+Ngabu!O20</f>
        <v>127</v>
      </c>
      <c r="J20" s="55">
        <f>SUM(D20:I20)</f>
        <v>4050</v>
      </c>
    </row>
    <row r="21" spans="1:10" s="73" customFormat="1" ht="15.6" x14ac:dyDescent="0.3">
      <c r="A21" s="593" t="s">
        <v>184</v>
      </c>
      <c r="B21" s="594"/>
      <c r="C21" s="62" t="s">
        <v>152</v>
      </c>
      <c r="D21" s="34">
        <f>SUM(D17:D20)</f>
        <v>5550</v>
      </c>
      <c r="E21" s="34">
        <f t="shared" ref="E21:J21" si="1">SUM(E17:E20)</f>
        <v>12982</v>
      </c>
      <c r="F21" s="34">
        <f t="shared" si="1"/>
        <v>5716.1</v>
      </c>
      <c r="G21" s="34">
        <f t="shared" si="1"/>
        <v>8048.9</v>
      </c>
      <c r="H21" s="34">
        <f t="shared" si="1"/>
        <v>21050</v>
      </c>
      <c r="I21" s="34">
        <f t="shared" si="1"/>
        <v>6649</v>
      </c>
      <c r="J21" s="55">
        <f t="shared" si="1"/>
        <v>59996</v>
      </c>
    </row>
    <row r="22" spans="1:10" s="2" customFormat="1" ht="15.6" x14ac:dyDescent="0.3">
      <c r="A22" s="208" t="s">
        <v>185</v>
      </c>
      <c r="B22" s="202"/>
      <c r="C22" s="11" t="s">
        <v>152</v>
      </c>
      <c r="D22" s="34">
        <f>D21+D15</f>
        <v>21458</v>
      </c>
      <c r="E22" s="34">
        <f t="shared" ref="E22:J22" si="2">E21+E15</f>
        <v>68529</v>
      </c>
      <c r="F22" s="34">
        <f t="shared" si="2"/>
        <v>9149.1</v>
      </c>
      <c r="G22" s="34">
        <f t="shared" si="2"/>
        <v>53067.9</v>
      </c>
      <c r="H22" s="34">
        <f t="shared" si="2"/>
        <v>53898</v>
      </c>
      <c r="I22" s="34">
        <f t="shared" si="2"/>
        <v>28086</v>
      </c>
      <c r="J22" s="55">
        <f t="shared" si="2"/>
        <v>234188</v>
      </c>
    </row>
    <row r="23" spans="1:10" x14ac:dyDescent="0.3">
      <c r="A23" s="595" t="s">
        <v>215</v>
      </c>
      <c r="B23" s="596"/>
      <c r="C23" s="596"/>
      <c r="D23" s="596"/>
      <c r="E23" s="596"/>
      <c r="F23" s="596"/>
      <c r="G23" s="596"/>
      <c r="H23" s="596"/>
      <c r="I23" s="596"/>
      <c r="J23" s="597"/>
    </row>
    <row r="24" spans="1:10" ht="15.6" x14ac:dyDescent="0.3">
      <c r="A24" s="610" t="s">
        <v>179</v>
      </c>
      <c r="B24" s="37" t="s">
        <v>153</v>
      </c>
      <c r="C24" s="5" t="s">
        <v>152</v>
      </c>
      <c r="D24" s="54">
        <f>D9-D22</f>
        <v>3998</v>
      </c>
      <c r="E24" s="54">
        <f t="shared" ref="E24:J24" si="3">E9-E22</f>
        <v>15085</v>
      </c>
      <c r="F24" s="54">
        <f t="shared" si="3"/>
        <v>1808.8999999999996</v>
      </c>
      <c r="G24" s="54">
        <f t="shared" si="3"/>
        <v>12598.099999999999</v>
      </c>
      <c r="H24" s="54">
        <f t="shared" si="3"/>
        <v>17710</v>
      </c>
      <c r="I24" s="54">
        <f t="shared" si="3"/>
        <v>8747</v>
      </c>
      <c r="J24" s="100">
        <f t="shared" si="3"/>
        <v>59947</v>
      </c>
    </row>
    <row r="25" spans="1:10" ht="15.6" x14ac:dyDescent="0.3">
      <c r="A25" s="611"/>
      <c r="B25" s="53" t="s">
        <v>151</v>
      </c>
      <c r="C25" s="52" t="s">
        <v>6</v>
      </c>
      <c r="D25" s="51">
        <f t="shared" ref="D25:J25" si="4">D24/D9</f>
        <v>0.15705531112507856</v>
      </c>
      <c r="E25" s="51">
        <f t="shared" si="4"/>
        <v>0.18041237113402062</v>
      </c>
      <c r="F25" s="51">
        <f t="shared" si="4"/>
        <v>0.16507574374885925</v>
      </c>
      <c r="G25" s="51">
        <f t="shared" si="4"/>
        <v>0.19185118630645995</v>
      </c>
      <c r="H25" s="51">
        <f t="shared" si="4"/>
        <v>0.24731873533683388</v>
      </c>
      <c r="I25" s="51">
        <f t="shared" si="4"/>
        <v>0.2374772622376673</v>
      </c>
      <c r="J25" s="101">
        <f t="shared" si="4"/>
        <v>0.20380777534125485</v>
      </c>
    </row>
    <row r="26" spans="1:10" x14ac:dyDescent="0.3">
      <c r="A26" s="595" t="s">
        <v>150</v>
      </c>
      <c r="B26" s="596"/>
      <c r="C26" s="596"/>
      <c r="D26" s="596"/>
      <c r="E26" s="596"/>
      <c r="F26" s="596"/>
      <c r="G26" s="596"/>
      <c r="H26" s="596"/>
      <c r="I26" s="596"/>
      <c r="J26" s="597"/>
    </row>
    <row r="27" spans="1:10" x14ac:dyDescent="0.3">
      <c r="A27" s="671" t="s">
        <v>149</v>
      </c>
      <c r="B27" s="672"/>
      <c r="C27" s="672"/>
      <c r="D27" s="672"/>
      <c r="E27" s="672"/>
      <c r="F27" s="672"/>
      <c r="G27" s="672"/>
      <c r="H27" s="672"/>
      <c r="I27" s="672"/>
      <c r="J27" s="673"/>
    </row>
    <row r="28" spans="1:10" ht="15.6" x14ac:dyDescent="0.3">
      <c r="A28" s="102" t="s">
        <v>148</v>
      </c>
      <c r="B28" s="50" t="s">
        <v>147</v>
      </c>
      <c r="C28" s="49"/>
      <c r="D28" s="199"/>
      <c r="E28" s="199"/>
      <c r="F28" s="199"/>
      <c r="G28" s="199"/>
      <c r="H28" s="199"/>
      <c r="I28" s="199"/>
      <c r="J28" s="46"/>
    </row>
    <row r="29" spans="1:10" ht="15.6" x14ac:dyDescent="0.3">
      <c r="A29" s="587" t="s">
        <v>146</v>
      </c>
      <c r="B29" s="585">
        <v>3525.29</v>
      </c>
      <c r="C29" s="5" t="s">
        <v>140</v>
      </c>
      <c r="D29" s="26">
        <f>Bangula!M29+Bangula!N29+Bangula!O29</f>
        <v>40</v>
      </c>
      <c r="E29" s="26">
        <f>Chikwawa!M29+Chikwawa!N29+Chikwawa!O29</f>
        <v>90</v>
      </c>
      <c r="F29" s="26">
        <f>'Miseu Folo'!M29+'Miseu Folo'!N29+'Miseu Folo'!O29</f>
        <v>19</v>
      </c>
      <c r="G29" s="26">
        <f>Nchalo!M29+Nchalo!N29+Nchalo!O29</f>
        <v>54</v>
      </c>
      <c r="H29" s="26">
        <f>Nsanje!M29+Nsanje!N29+Nsanje!O29</f>
        <v>49</v>
      </c>
      <c r="I29" s="26">
        <f>Ngabu!M29+Ngabu!N29+Ngabu!O29</f>
        <v>48</v>
      </c>
      <c r="J29" s="45">
        <f>SUM(D29:I29)</f>
        <v>300</v>
      </c>
    </row>
    <row r="30" spans="1:10" ht="15.6" x14ac:dyDescent="0.3">
      <c r="A30" s="588"/>
      <c r="B30" s="586"/>
      <c r="C30" s="42" t="s">
        <v>139</v>
      </c>
      <c r="D30" s="15">
        <f t="shared" ref="D30:J30" si="5">D29/(D9/1000)</f>
        <v>1.5713387806411063</v>
      </c>
      <c r="E30" s="15">
        <f t="shared" si="5"/>
        <v>1.0763747697753965</v>
      </c>
      <c r="F30" s="15">
        <f t="shared" si="5"/>
        <v>1.7338930461763096</v>
      </c>
      <c r="G30" s="15">
        <f t="shared" si="5"/>
        <v>0.82234337404440661</v>
      </c>
      <c r="H30" s="15">
        <f t="shared" si="5"/>
        <v>0.6842810859121885</v>
      </c>
      <c r="I30" s="15">
        <f t="shared" si="5"/>
        <v>1.3031792142915322</v>
      </c>
      <c r="J30" s="103">
        <f t="shared" si="5"/>
        <v>1.0199398235504105</v>
      </c>
    </row>
    <row r="31" spans="1:10" ht="15.6" x14ac:dyDescent="0.3">
      <c r="A31" s="605" t="s">
        <v>145</v>
      </c>
      <c r="B31" s="243"/>
      <c r="C31" s="5" t="s">
        <v>140</v>
      </c>
      <c r="D31" s="26">
        <f>Bangula!M31+Bangula!N31+Bangula!O31</f>
        <v>0</v>
      </c>
      <c r="E31" s="26">
        <f>Chikwawa!M31+Chikwawa!N31+Chikwawa!O31</f>
        <v>0</v>
      </c>
      <c r="F31" s="26">
        <f>'Miseu Folo'!M31+'Miseu Folo'!N31+'Miseu Folo'!O31</f>
        <v>0</v>
      </c>
      <c r="G31" s="26">
        <f>Nchalo!M31+Nchalo!N31+Nchalo!O31</f>
        <v>0</v>
      </c>
      <c r="H31" s="26">
        <f>Nsanje!M31+Nsanje!N31+Nsanje!O31</f>
        <v>0</v>
      </c>
      <c r="I31" s="26">
        <f>Ngabu!M31+Ngabu!N31+Ngabu!O31</f>
        <v>0</v>
      </c>
      <c r="J31" s="45">
        <f>SUM(D31:I31)</f>
        <v>0</v>
      </c>
    </row>
    <row r="32" spans="1:10" ht="15.6" x14ac:dyDescent="0.3">
      <c r="A32" s="606"/>
      <c r="B32" s="244">
        <v>1060.01</v>
      </c>
      <c r="C32" s="42" t="s">
        <v>139</v>
      </c>
      <c r="D32" s="15">
        <f t="shared" ref="D32:J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03">
        <f t="shared" si="6"/>
        <v>0</v>
      </c>
    </row>
    <row r="33" spans="1:10" ht="15.6" x14ac:dyDescent="0.3">
      <c r="A33" s="605" t="s">
        <v>144</v>
      </c>
      <c r="B33" s="243"/>
      <c r="C33" s="5" t="s">
        <v>140</v>
      </c>
      <c r="D33" s="26">
        <f>Bangula!M33+Bangula!N33+Bangula!O33</f>
        <v>0</v>
      </c>
      <c r="E33" s="26">
        <f>Chikwawa!M33+Chikwawa!N33+Chikwawa!O33</f>
        <v>0</v>
      </c>
      <c r="F33" s="26">
        <f>'Miseu Folo'!M33+'Miseu Folo'!N33+'Miseu Folo'!O33</f>
        <v>0</v>
      </c>
      <c r="G33" s="26">
        <f>Nchalo!M33+Nchalo!N33+Nchalo!O33</f>
        <v>0</v>
      </c>
      <c r="H33" s="26">
        <f>Nsanje!M33+Nsanje!N33+Nsanje!O33</f>
        <v>0</v>
      </c>
      <c r="I33" s="26">
        <f>Ngabu!M33+Ngabu!N33+Ngabu!O33</f>
        <v>0</v>
      </c>
      <c r="J33" s="45">
        <f>SUM(D33:I33)</f>
        <v>0</v>
      </c>
    </row>
    <row r="34" spans="1:10" ht="15.6" x14ac:dyDescent="0.3">
      <c r="A34" s="606"/>
      <c r="B34" s="244">
        <v>1228.29</v>
      </c>
      <c r="C34" s="42" t="s">
        <v>139</v>
      </c>
      <c r="D34" s="15">
        <f t="shared" ref="D34:J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03">
        <f t="shared" si="7"/>
        <v>0</v>
      </c>
    </row>
    <row r="35" spans="1:10" ht="15.6" x14ac:dyDescent="0.3">
      <c r="A35" s="605" t="s">
        <v>143</v>
      </c>
      <c r="B35" s="243"/>
      <c r="C35" s="5" t="s">
        <v>126</v>
      </c>
      <c r="D35" s="4">
        <f>Bangula!M35+Bangula!N35+Bangula!O35</f>
        <v>0</v>
      </c>
      <c r="E35" s="4">
        <f>Chikwawa!M35+Chikwawa!N35+Chikwawa!O35</f>
        <v>0</v>
      </c>
      <c r="F35" s="4">
        <f>'Miseu Folo'!M35+'Miseu Folo'!N35+'Miseu Folo'!O35</f>
        <v>0</v>
      </c>
      <c r="G35" s="4">
        <f>Nchalo!M35+Nchalo!N35+Nchalo!O35</f>
        <v>0</v>
      </c>
      <c r="H35" s="4">
        <f>Nsanje!M35+Nsanje!N35+Nsanje!O35</f>
        <v>0</v>
      </c>
      <c r="I35" s="4">
        <f>Ngabu!M35+Ngabu!N35+Ngabu!O35</f>
        <v>0</v>
      </c>
      <c r="J35" s="103"/>
    </row>
    <row r="36" spans="1:10" ht="15.6" x14ac:dyDescent="0.3">
      <c r="A36" s="606"/>
      <c r="B36" s="244">
        <v>3726.73</v>
      </c>
      <c r="C36" s="5" t="s">
        <v>142</v>
      </c>
      <c r="D36" s="13"/>
      <c r="E36" s="13"/>
      <c r="F36" s="13"/>
      <c r="G36" s="13"/>
      <c r="H36" s="13"/>
      <c r="I36" s="13"/>
      <c r="J36" s="103"/>
    </row>
    <row r="37" spans="1:10" ht="15.6" x14ac:dyDescent="0.3">
      <c r="A37" s="605" t="s">
        <v>186</v>
      </c>
      <c r="B37" s="243"/>
      <c r="C37" s="5" t="s">
        <v>126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5">
        <f>SUM(D37:I37)</f>
        <v>0</v>
      </c>
    </row>
    <row r="38" spans="1:10" ht="15.6" x14ac:dyDescent="0.3">
      <c r="A38" s="606"/>
      <c r="B38" s="244">
        <v>3951.59</v>
      </c>
      <c r="C38" s="5" t="s">
        <v>142</v>
      </c>
      <c r="D38" s="15">
        <f t="shared" ref="D38:J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5">
        <f t="shared" si="8"/>
        <v>0</v>
      </c>
      <c r="I38" s="15">
        <f t="shared" si="8"/>
        <v>0</v>
      </c>
      <c r="J38" s="103">
        <f t="shared" si="8"/>
        <v>0</v>
      </c>
    </row>
    <row r="39" spans="1:10" ht="15.6" x14ac:dyDescent="0.3">
      <c r="A39" s="605" t="s">
        <v>141</v>
      </c>
      <c r="B39" s="243"/>
      <c r="C39" s="5" t="s">
        <v>140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5">
        <f>SUM(D39:I39)</f>
        <v>0</v>
      </c>
    </row>
    <row r="40" spans="1:10" ht="15.6" x14ac:dyDescent="0.3">
      <c r="A40" s="606"/>
      <c r="B40" s="244">
        <v>1950</v>
      </c>
      <c r="C40" s="42" t="s">
        <v>139</v>
      </c>
      <c r="D40" s="15">
        <f t="shared" ref="D40:J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03">
        <f t="shared" si="9"/>
        <v>0</v>
      </c>
    </row>
    <row r="41" spans="1:10" ht="15.6" x14ac:dyDescent="0.3">
      <c r="A41" s="591" t="s">
        <v>138</v>
      </c>
      <c r="B41" s="592"/>
      <c r="C41" s="11" t="s">
        <v>31</v>
      </c>
      <c r="D41" s="41">
        <f>(D29*$B29)+(D31*$B31)+(D33*$B33)+(D35*$B35)+(D37*$B37)+(D39*$B39)</f>
        <v>141011.6</v>
      </c>
      <c r="E41" s="41">
        <f t="shared" ref="E41:I41" si="10">(E29*$B29)+(E31*$B31)+(E33*$B33)+(E35*$B35)+(E37*$B37)+(E39*$B39)</f>
        <v>317276.09999999998</v>
      </c>
      <c r="F41" s="41">
        <f t="shared" si="10"/>
        <v>66980.509999999995</v>
      </c>
      <c r="G41" s="41">
        <f t="shared" si="10"/>
        <v>190365.66</v>
      </c>
      <c r="H41" s="41">
        <f t="shared" si="10"/>
        <v>172739.21</v>
      </c>
      <c r="I41" s="41">
        <f t="shared" si="10"/>
        <v>169213.91999999998</v>
      </c>
      <c r="J41" s="39">
        <f>SUM(D41:I41)</f>
        <v>1057587</v>
      </c>
    </row>
    <row r="42" spans="1:10" ht="15.6" x14ac:dyDescent="0.3">
      <c r="A42" s="615" t="s">
        <v>137</v>
      </c>
      <c r="B42" s="616"/>
      <c r="C42" s="42" t="s">
        <v>115</v>
      </c>
      <c r="D42" s="15">
        <f t="shared" ref="D42:J42" si="11">D41/D9</f>
        <v>5.5394248900062859</v>
      </c>
      <c r="E42" s="15">
        <f t="shared" si="11"/>
        <v>3.794533212141507</v>
      </c>
      <c r="F42" s="15">
        <f t="shared" si="11"/>
        <v>6.1124758167548814</v>
      </c>
      <c r="G42" s="15">
        <f t="shared" si="11"/>
        <v>2.8989988730850058</v>
      </c>
      <c r="H42" s="15">
        <f t="shared" si="11"/>
        <v>2.4122892693553792</v>
      </c>
      <c r="I42" s="15">
        <f t="shared" si="11"/>
        <v>4.5940846523497942</v>
      </c>
      <c r="J42" s="44">
        <f t="shared" si="11"/>
        <v>3.5955836605640266</v>
      </c>
    </row>
    <row r="43" spans="1:10" ht="15" thickBot="1" x14ac:dyDescent="0.35">
      <c r="A43" s="617" t="s">
        <v>136</v>
      </c>
      <c r="B43" s="618"/>
      <c r="C43" s="618"/>
      <c r="D43" s="618"/>
      <c r="E43" s="618"/>
      <c r="F43" s="618"/>
      <c r="G43" s="618"/>
      <c r="H43" s="618"/>
      <c r="I43" s="618"/>
      <c r="J43" s="619"/>
    </row>
    <row r="44" spans="1:10" ht="15.6" x14ac:dyDescent="0.3">
      <c r="A44" s="591" t="s">
        <v>135</v>
      </c>
      <c r="B44" s="592"/>
      <c r="C44" s="11" t="s">
        <v>134</v>
      </c>
      <c r="D44" s="176">
        <f>Bangula!M44+Bangula!N44+Bangula!O44</f>
        <v>8523.59</v>
      </c>
      <c r="E44" s="176">
        <f>Chikwawa!M44+Chikwawa!N44+Chikwawa!O44</f>
        <v>47178</v>
      </c>
      <c r="F44" s="176">
        <f>'Miseu Folo'!M44+'Miseu Folo'!N44+'Miseu Folo'!O44</f>
        <v>3386</v>
      </c>
      <c r="G44" s="176">
        <f>Nchalo!M44+Nchalo!N44+Nchalo!O44</f>
        <v>14070</v>
      </c>
      <c r="H44" s="176">
        <f>Nsanje!M44+Nsanje!N44+Nsanje!O44</f>
        <v>46048</v>
      </c>
      <c r="I44" s="176">
        <f>Ngabu!M44+Ngabu!N44+Ngabu!O44</f>
        <v>21900.27</v>
      </c>
      <c r="J44" s="39">
        <f>SUM(D44:I44)</f>
        <v>141105.85999999999</v>
      </c>
    </row>
    <row r="45" spans="1:10" ht="16.2" thickBot="1" x14ac:dyDescent="0.35">
      <c r="A45" s="615" t="s">
        <v>133</v>
      </c>
      <c r="B45" s="616"/>
      <c r="C45" s="42" t="s">
        <v>132</v>
      </c>
      <c r="D45" s="15">
        <f t="shared" ref="D45:J45" si="12">D44/D9</f>
        <v>0.33483618793211817</v>
      </c>
      <c r="E45" s="15">
        <f t="shared" si="12"/>
        <v>0.56423565431626288</v>
      </c>
      <c r="F45" s="15">
        <f t="shared" si="12"/>
        <v>0.30899799233436759</v>
      </c>
      <c r="G45" s="15">
        <f t="shared" si="12"/>
        <v>0.21426613468157038</v>
      </c>
      <c r="H45" s="15">
        <f t="shared" si="12"/>
        <v>0.6430566417160094</v>
      </c>
      <c r="I45" s="15">
        <f t="shared" si="12"/>
        <v>0.59458284690359187</v>
      </c>
      <c r="J45" s="103">
        <f t="shared" si="12"/>
        <v>0.47973161983442975</v>
      </c>
    </row>
    <row r="46" spans="1:10" ht="15.6" x14ac:dyDescent="0.3">
      <c r="A46" s="620" t="s">
        <v>131</v>
      </c>
      <c r="B46" s="621"/>
      <c r="C46" s="5" t="s">
        <v>31</v>
      </c>
      <c r="D46" s="176">
        <f>Bangula!M46+Bangula!N46+Bangula!O46</f>
        <v>1231940.3978850001</v>
      </c>
      <c r="E46" s="176">
        <f>Chikwawa!M46+Chikwawa!N46+Chikwawa!O46</f>
        <v>6595297.7669999991</v>
      </c>
      <c r="F46" s="176">
        <f>'Miseu Folo'!M46+'Miseu Folo'!N46+'Miseu Folo'!O46</f>
        <v>519092.07900000009</v>
      </c>
      <c r="G46" s="176">
        <f>Nchalo!M46+Nchalo!N46+Nchalo!O46</f>
        <v>2001513.105</v>
      </c>
      <c r="H46" s="176">
        <f>Nsanje!M46+Nsanje!N46+Nsanje!O46</f>
        <v>6438508.5720000006</v>
      </c>
      <c r="I46" s="176">
        <f>Ngabu!M46+Ngabu!N46+Ngabu!O46</f>
        <v>3087974.8129050001</v>
      </c>
      <c r="J46" s="39">
        <f>SUM(D46:I46)</f>
        <v>19874326.733789999</v>
      </c>
    </row>
    <row r="47" spans="1:10" s="2" customFormat="1" ht="15.6" x14ac:dyDescent="0.3">
      <c r="A47" s="591" t="s">
        <v>130</v>
      </c>
      <c r="B47" s="592"/>
      <c r="C47" s="11" t="s">
        <v>115</v>
      </c>
      <c r="D47" s="15">
        <f t="shared" ref="D47:J47" si="13">D46/D9</f>
        <v>48.394893065878385</v>
      </c>
      <c r="E47" s="15">
        <f t="shared" si="13"/>
        <v>78.877912395053443</v>
      </c>
      <c r="F47" s="15">
        <f t="shared" si="13"/>
        <v>47.371060321226508</v>
      </c>
      <c r="G47" s="15">
        <f t="shared" si="13"/>
        <v>30.480204443699936</v>
      </c>
      <c r="H47" s="15">
        <f t="shared" si="13"/>
        <v>89.9132579041448</v>
      </c>
      <c r="I47" s="15">
        <f t="shared" si="13"/>
        <v>83.837178967366228</v>
      </c>
      <c r="J47" s="103">
        <f t="shared" si="13"/>
        <v>67.568724340149927</v>
      </c>
    </row>
    <row r="48" spans="1:10" ht="15" thickBot="1" x14ac:dyDescent="0.35">
      <c r="A48" s="617" t="s">
        <v>129</v>
      </c>
      <c r="B48" s="618"/>
      <c r="C48" s="618"/>
      <c r="D48" s="618"/>
      <c r="E48" s="618"/>
      <c r="F48" s="618"/>
      <c r="G48" s="618"/>
      <c r="H48" s="618"/>
      <c r="I48" s="618"/>
      <c r="J48" s="619"/>
    </row>
    <row r="49" spans="1:10" ht="15.6" x14ac:dyDescent="0.3">
      <c r="A49" s="591" t="s">
        <v>128</v>
      </c>
      <c r="B49" s="592"/>
      <c r="C49" s="5" t="s">
        <v>127</v>
      </c>
      <c r="D49" s="179">
        <f>Bangula!M49+Bangula!N49+Bangula!O49</f>
        <v>132</v>
      </c>
      <c r="E49" s="179">
        <f>Chikwawa!M49+Chikwawa!N49+Chikwawa!O49</f>
        <v>2072</v>
      </c>
      <c r="F49" s="179">
        <f>'Miseu Folo'!M49+'Miseu Folo'!N49+'Miseu Folo'!O49</f>
        <v>0</v>
      </c>
      <c r="G49" s="179">
        <f>Nchalo!M49+Nchalo!N49+Nchalo!O49</f>
        <v>0</v>
      </c>
      <c r="H49" s="179">
        <f>Nsanje!M49+Nsanje!N49+Nsanje!O49</f>
        <v>8412</v>
      </c>
      <c r="I49" s="179">
        <f>Ngabu!M49+Ngabu!N49+Ngabu!O49</f>
        <v>0</v>
      </c>
      <c r="J49" s="39">
        <f>SUM(D49:I49)</f>
        <v>10616</v>
      </c>
    </row>
    <row r="50" spans="1:10" ht="15.6" x14ac:dyDescent="0.3">
      <c r="A50" s="591" t="s">
        <v>187</v>
      </c>
      <c r="B50" s="592"/>
      <c r="C50" s="5" t="s">
        <v>126</v>
      </c>
      <c r="D50" s="26">
        <f>Bangula!M50+Bangula!N50+Bangula!O50</f>
        <v>14.2</v>
      </c>
      <c r="E50" s="26">
        <f>Chikwawa!M50+Chikwawa!N50+Chikwawa!O50</f>
        <v>505</v>
      </c>
      <c r="F50" s="26">
        <f>'Miseu Folo'!M50+'Miseu Folo'!N50+'Miseu Folo'!O50</f>
        <v>0</v>
      </c>
      <c r="G50" s="26">
        <f>Nchalo!M50+Nchalo!N50+Nchalo!O50</f>
        <v>0</v>
      </c>
      <c r="H50" s="26">
        <f>Nsanje!M50+Nsanje!N50+Nsanje!O50</f>
        <v>965</v>
      </c>
      <c r="I50" s="26">
        <f>Ngabu!M50+Ngabu!N50+Ngabu!O50</f>
        <v>0</v>
      </c>
      <c r="J50" s="39">
        <f>SUM(D50:I50)</f>
        <v>1484.2</v>
      </c>
    </row>
    <row r="51" spans="1:10" ht="15.6" x14ac:dyDescent="0.3">
      <c r="A51" s="620" t="s">
        <v>125</v>
      </c>
      <c r="B51" s="621"/>
      <c r="C51" s="5" t="s">
        <v>31</v>
      </c>
      <c r="D51" s="4">
        <f>Bangula!M51+Bangula!N51+Bangula!O51</f>
        <v>20874</v>
      </c>
      <c r="E51" s="4">
        <f>Chikwawa!M51+Chikwawa!N51+Chikwawa!O51</f>
        <v>1095770</v>
      </c>
      <c r="F51" s="4">
        <f>'Miseu Folo'!M51+'Miseu Folo'!N51+'Miseu Folo'!O51</f>
        <v>0</v>
      </c>
      <c r="G51" s="4">
        <f>Nchalo!M51+Nchalo!N51+Nchalo!O51</f>
        <v>0</v>
      </c>
      <c r="H51" s="4">
        <f>Nsanje!M51+Nsanje!N51+Nsanje!O51</f>
        <v>1852800</v>
      </c>
      <c r="I51" s="4">
        <f>Ngabu!M51+Ngabu!N51+Ngabu!O51</f>
        <v>0</v>
      </c>
      <c r="J51" s="40">
        <f>SUM(D51:I51)</f>
        <v>2969444</v>
      </c>
    </row>
    <row r="52" spans="1:10" ht="15.6" x14ac:dyDescent="0.3">
      <c r="A52" s="591" t="s">
        <v>124</v>
      </c>
      <c r="B52" s="592"/>
      <c r="C52" s="5" t="s">
        <v>31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40">
        <f>SUM(D52:I52)</f>
        <v>0</v>
      </c>
    </row>
    <row r="53" spans="1:10" x14ac:dyDescent="0.3">
      <c r="A53" s="617" t="s">
        <v>123</v>
      </c>
      <c r="B53" s="618"/>
      <c r="C53" s="618"/>
      <c r="D53" s="618"/>
      <c r="E53" s="618"/>
      <c r="F53" s="618"/>
      <c r="G53" s="618"/>
      <c r="H53" s="618"/>
      <c r="I53" s="618"/>
      <c r="J53" s="619"/>
    </row>
    <row r="54" spans="1:10" ht="15.6" x14ac:dyDescent="0.3">
      <c r="A54" s="591" t="s">
        <v>122</v>
      </c>
      <c r="B54" s="592"/>
      <c r="C54" s="11" t="s">
        <v>18</v>
      </c>
      <c r="D54" s="26">
        <f>Bangula!M54+Bangula!N54+Bangula!O54</f>
        <v>0</v>
      </c>
      <c r="E54" s="26">
        <f>Chikwawa!M54+Chikwawa!N54+Chikwawa!O54</f>
        <v>0</v>
      </c>
      <c r="F54" s="26">
        <f>'Miseu Folo'!M54+'Miseu Folo'!N54+'Miseu Folo'!O54</f>
        <v>0</v>
      </c>
      <c r="G54" s="26">
        <f>Nchalo!M54+Nchalo!N54+Nchalo!O54</f>
        <v>0</v>
      </c>
      <c r="H54" s="26">
        <f>Nsanje!M54+Nsanje!N54+Nsanje!O54</f>
        <v>0</v>
      </c>
      <c r="I54" s="26">
        <f>Ngabu!M54+Ngabu!N54+Ngabu!O54</f>
        <v>0</v>
      </c>
      <c r="J54" s="39">
        <f>SUM(D54:I54)</f>
        <v>0</v>
      </c>
    </row>
    <row r="55" spans="1:10" ht="15.6" x14ac:dyDescent="0.3">
      <c r="A55" s="201" t="s">
        <v>121</v>
      </c>
      <c r="B55" s="202"/>
      <c r="C55" s="11" t="s">
        <v>18</v>
      </c>
      <c r="D55" s="26">
        <f>Bangula!M55+Bangula!N55+Bangula!O55</f>
        <v>0</v>
      </c>
      <c r="E55" s="26">
        <f>Chikwawa!M55+Chikwawa!N55+Chikwawa!O55</f>
        <v>0</v>
      </c>
      <c r="F55" s="26">
        <f>'Miseu Folo'!M55+'Miseu Folo'!N55+'Miseu Folo'!O55</f>
        <v>0</v>
      </c>
      <c r="G55" s="26">
        <f>Nchalo!M55+Nchalo!N55+Nchalo!O55</f>
        <v>0</v>
      </c>
      <c r="H55" s="26">
        <f>Nsanje!M55+Nsanje!N55+Nsanje!O55</f>
        <v>0</v>
      </c>
      <c r="I55" s="26">
        <f>Ngabu!M55+Ngabu!N55+Ngabu!O55</f>
        <v>0</v>
      </c>
      <c r="J55" s="39">
        <f>SUM(D55:I55)</f>
        <v>0</v>
      </c>
    </row>
    <row r="56" spans="1:10" ht="15.6" x14ac:dyDescent="0.3">
      <c r="A56" s="591" t="s">
        <v>120</v>
      </c>
      <c r="B56" s="592"/>
      <c r="C56" s="5" t="s">
        <v>18</v>
      </c>
      <c r="D56" s="26">
        <f>Bangula!M56+Bangula!N56+Bangula!O56</f>
        <v>0</v>
      </c>
      <c r="E56" s="26">
        <f>Chikwawa!M56+Chikwawa!N56+Chikwawa!O56</f>
        <v>0</v>
      </c>
      <c r="F56" s="26">
        <f>'Miseu Folo'!M56+'Miseu Folo'!N56+'Miseu Folo'!O56</f>
        <v>0</v>
      </c>
      <c r="G56" s="26">
        <f>Nchalo!M56+Nchalo!N56+Nchalo!O56</f>
        <v>0</v>
      </c>
      <c r="H56" s="26">
        <f>Nsanje!M56+Nsanje!N56+Nsanje!O56</f>
        <v>0</v>
      </c>
      <c r="I56" s="26">
        <f>Ngabu!M56+Ngabu!N56+Ngabu!O56</f>
        <v>0</v>
      </c>
      <c r="J56" s="39">
        <f>SUM(D56:I56)</f>
        <v>0</v>
      </c>
    </row>
    <row r="57" spans="1:10" x14ac:dyDescent="0.3">
      <c r="A57" s="617" t="s">
        <v>119</v>
      </c>
      <c r="B57" s="618"/>
      <c r="C57" s="618"/>
      <c r="D57" s="618"/>
      <c r="E57" s="618"/>
      <c r="F57" s="618"/>
      <c r="G57" s="618"/>
      <c r="H57" s="618"/>
      <c r="I57" s="618"/>
      <c r="J57" s="619"/>
    </row>
    <row r="58" spans="1:10" ht="15.6" x14ac:dyDescent="0.3">
      <c r="A58" s="620" t="s">
        <v>118</v>
      </c>
      <c r="B58" s="621"/>
      <c r="C58" s="5" t="s">
        <v>18</v>
      </c>
      <c r="D58" s="13">
        <f>D41+D46+D51+D52+D54+D55+D56</f>
        <v>1393825.9978850002</v>
      </c>
      <c r="E58" s="13">
        <f t="shared" ref="E58:I58" si="14">E41+E46+E51+E52+E54+E55+E56</f>
        <v>8008343.8669999987</v>
      </c>
      <c r="F58" s="13">
        <f t="shared" si="14"/>
        <v>586072.58900000004</v>
      </c>
      <c r="G58" s="13">
        <f t="shared" si="14"/>
        <v>2191878.7650000001</v>
      </c>
      <c r="H58" s="13">
        <f t="shared" si="14"/>
        <v>8464047.7820000015</v>
      </c>
      <c r="I58" s="13">
        <f t="shared" si="14"/>
        <v>3257188.732905</v>
      </c>
      <c r="J58" s="64">
        <f>SUM(D58:I58)</f>
        <v>23901357.733790003</v>
      </c>
    </row>
    <row r="59" spans="1:10" ht="15.6" x14ac:dyDescent="0.3">
      <c r="A59" s="620" t="s">
        <v>117</v>
      </c>
      <c r="B59" s="621"/>
      <c r="C59" s="5" t="s">
        <v>115</v>
      </c>
      <c r="D59" s="15">
        <f t="shared" ref="D59:J59" si="15">D58/D9</f>
        <v>54.75432109856223</v>
      </c>
      <c r="E59" s="15">
        <f t="shared" si="15"/>
        <v>95.777547623603681</v>
      </c>
      <c r="F59" s="15">
        <f t="shared" si="15"/>
        <v>53.483536137981389</v>
      </c>
      <c r="G59" s="15">
        <f t="shared" si="15"/>
        <v>33.379203316784945</v>
      </c>
      <c r="H59" s="15">
        <f t="shared" si="15"/>
        <v>118.19975117305331</v>
      </c>
      <c r="I59" s="15">
        <f t="shared" si="15"/>
        <v>88.43126361971602</v>
      </c>
      <c r="J59" s="103">
        <f t="shared" si="15"/>
        <v>81.259821965390046</v>
      </c>
    </row>
    <row r="60" spans="1:10" ht="15.6" x14ac:dyDescent="0.3">
      <c r="A60" s="620" t="s">
        <v>116</v>
      </c>
      <c r="B60" s="621"/>
      <c r="C60" s="5" t="s">
        <v>115</v>
      </c>
      <c r="D60" s="15">
        <f>D58/D22</f>
        <v>64.95600698504056</v>
      </c>
      <c r="E60" s="15">
        <f t="shared" ref="E60:I60" si="16">E58/E22</f>
        <v>116.86065559106362</v>
      </c>
      <c r="F60" s="15">
        <f t="shared" si="16"/>
        <v>64.057949852991001</v>
      </c>
      <c r="G60" s="15">
        <f t="shared" si="16"/>
        <v>41.30328814594133</v>
      </c>
      <c r="H60" s="15">
        <f t="shared" si="16"/>
        <v>157.03825340457905</v>
      </c>
      <c r="I60" s="15">
        <f t="shared" si="16"/>
        <v>115.97196941198462</v>
      </c>
      <c r="J60" s="104">
        <f>J58/J22</f>
        <v>102.06055704728681</v>
      </c>
    </row>
    <row r="61" spans="1:10" ht="15.6" x14ac:dyDescent="0.3">
      <c r="A61" s="591" t="s">
        <v>114</v>
      </c>
      <c r="B61" s="592"/>
      <c r="C61" s="5" t="s">
        <v>3</v>
      </c>
      <c r="D61" s="4">
        <f>Bangula!M61+Bangula!N61+Bangula!O61</f>
        <v>6</v>
      </c>
      <c r="E61" s="4">
        <f>Chikwawa!M61+Chikwawa!N61+Chikwawa!O61</f>
        <v>24</v>
      </c>
      <c r="F61" s="4">
        <f>'Miseu Folo'!M61+'Miseu Folo'!N61+'Miseu Folo'!O61</f>
        <v>22</v>
      </c>
      <c r="G61" s="4">
        <f>Nchalo!M61+Nchalo!N61+Nchalo!O61</f>
        <v>18</v>
      </c>
      <c r="H61" s="4">
        <f>Nsanje!M61+Nsanje!N61+Nsanje!O61</f>
        <v>20</v>
      </c>
      <c r="I61" s="4">
        <f>Ngabu!M61+Ngabu!N61+Ngabu!O61</f>
        <v>21</v>
      </c>
      <c r="J61" s="9">
        <f>SUM(D61:I61)</f>
        <v>111</v>
      </c>
    </row>
    <row r="62" spans="1:10" ht="15.6" customHeight="1" x14ac:dyDescent="0.3">
      <c r="A62" s="620" t="s">
        <v>113</v>
      </c>
      <c r="B62" s="621"/>
      <c r="C62" s="5" t="s">
        <v>112</v>
      </c>
      <c r="D62" s="15">
        <f t="shared" ref="D62:J62" si="17">(D61*1000*31)/D9</f>
        <v>7.3067253299811439</v>
      </c>
      <c r="E62" s="15">
        <f t="shared" si="17"/>
        <v>8.898031430143277</v>
      </c>
      <c r="F62" s="15">
        <f t="shared" si="17"/>
        <v>62.237634604854904</v>
      </c>
      <c r="G62" s="15">
        <f t="shared" si="17"/>
        <v>8.4975481984588672</v>
      </c>
      <c r="H62" s="15">
        <f t="shared" si="17"/>
        <v>8.6582504748072839</v>
      </c>
      <c r="I62" s="15">
        <f t="shared" si="17"/>
        <v>17.674368093828903</v>
      </c>
      <c r="J62" s="103">
        <f t="shared" si="17"/>
        <v>11.698709776123209</v>
      </c>
    </row>
    <row r="63" spans="1:10" ht="15.6" x14ac:dyDescent="0.3">
      <c r="A63" s="634" t="s">
        <v>111</v>
      </c>
      <c r="B63" s="635"/>
      <c r="C63" s="38" t="s">
        <v>3</v>
      </c>
      <c r="D63" s="4">
        <f>Bangula!M63+Bangula!N63+Bangula!O63</f>
        <v>13</v>
      </c>
      <c r="E63" s="4">
        <f>Chikwawa!M63+Chikwawa!N63+Chikwawa!O63</f>
        <v>21</v>
      </c>
      <c r="F63" s="4">
        <f>'Miseu Folo'!M63+'Miseu Folo'!N63+'Miseu Folo'!O63</f>
        <v>6</v>
      </c>
      <c r="G63" s="4">
        <f>Nchalo!M63+Nchalo!N63+Nchalo!O63</f>
        <v>18</v>
      </c>
      <c r="H63" s="4">
        <f>Nsanje!M63+Nsanje!N63+Nsanje!O63</f>
        <v>18</v>
      </c>
      <c r="I63" s="4">
        <f>Ngabu!M63+Ngabu!N63+Ngabu!O63</f>
        <v>18</v>
      </c>
      <c r="J63" s="9">
        <f>SUM(D63:I63)</f>
        <v>94</v>
      </c>
    </row>
    <row r="64" spans="1:10" x14ac:dyDescent="0.3">
      <c r="A64" s="674"/>
      <c r="B64" s="675"/>
      <c r="C64" s="675"/>
      <c r="D64" s="675"/>
      <c r="E64" s="675"/>
      <c r="F64" s="675"/>
      <c r="G64" s="675"/>
      <c r="H64" s="675"/>
      <c r="I64" s="675"/>
      <c r="J64" s="676"/>
    </row>
    <row r="65" spans="1:10" ht="14.4" customHeight="1" x14ac:dyDescent="0.3">
      <c r="A65" s="617" t="s">
        <v>110</v>
      </c>
      <c r="B65" s="618"/>
      <c r="C65" s="618"/>
      <c r="D65" s="618"/>
      <c r="E65" s="618"/>
      <c r="F65" s="618"/>
      <c r="G65" s="618"/>
      <c r="H65" s="618"/>
      <c r="I65" s="618"/>
      <c r="J65" s="619"/>
    </row>
    <row r="66" spans="1:10" ht="15.6" x14ac:dyDescent="0.3">
      <c r="A66" s="622" t="s">
        <v>109</v>
      </c>
      <c r="B66" s="37" t="s">
        <v>85</v>
      </c>
      <c r="C66" s="5" t="s">
        <v>3</v>
      </c>
      <c r="D66" s="34">
        <f>Bangula!M66</f>
        <v>25</v>
      </c>
      <c r="E66" s="34">
        <f>Chikwawa!M66</f>
        <v>266</v>
      </c>
      <c r="F66" s="34">
        <f>'Miseu Folo'!M66</f>
        <v>234</v>
      </c>
      <c r="G66" s="34">
        <f>Nchalo!M66</f>
        <v>49</v>
      </c>
      <c r="H66" s="34">
        <f>Nsanje!M66</f>
        <v>143</v>
      </c>
      <c r="I66" s="34">
        <f>Ngabu!M66</f>
        <v>64</v>
      </c>
      <c r="J66" s="35">
        <f>SUM(D66:I66)</f>
        <v>781</v>
      </c>
    </row>
    <row r="67" spans="1:10" ht="15.6" x14ac:dyDescent="0.3">
      <c r="A67" s="623"/>
      <c r="B67" s="24" t="s">
        <v>104</v>
      </c>
      <c r="C67" s="5" t="s">
        <v>3</v>
      </c>
      <c r="D67" s="26">
        <f>Bangula!M67+Bangula!N67+Bangula!O67</f>
        <v>6</v>
      </c>
      <c r="E67" s="26">
        <f>Chikwawa!M67+Chikwawa!N67+Chikwawa!O67</f>
        <v>41</v>
      </c>
      <c r="F67" s="26">
        <f>'Miseu Folo'!M67+'Miseu Folo'!N67+'Miseu Folo'!O67</f>
        <v>18</v>
      </c>
      <c r="G67" s="26">
        <f>Nchalo!M67+Nchalo!N67+Nchalo!O67</f>
        <v>10</v>
      </c>
      <c r="H67" s="26">
        <f>Nsanje!M67+Nsanje!N67+Nsanje!O67</f>
        <v>32</v>
      </c>
      <c r="I67" s="26">
        <f>Ngabu!M67+Ngabu!N67+Ngabu!O67</f>
        <v>0</v>
      </c>
      <c r="J67" s="35">
        <f>SUM(D67:I67)</f>
        <v>107</v>
      </c>
    </row>
    <row r="68" spans="1:10" ht="27" x14ac:dyDescent="0.3">
      <c r="A68" s="623"/>
      <c r="B68" s="24" t="s">
        <v>103</v>
      </c>
      <c r="C68" s="5" t="s">
        <v>3</v>
      </c>
      <c r="D68" s="26">
        <f>Bangula!M68+Bangula!N68+Bangula!O68</f>
        <v>14</v>
      </c>
      <c r="E68" s="26">
        <f>Chikwawa!M68+Chikwawa!N68+Chikwawa!O68</f>
        <v>66</v>
      </c>
      <c r="F68" s="26">
        <f>'Miseu Folo'!M68+'Miseu Folo'!N68+'Miseu Folo'!O68</f>
        <v>19</v>
      </c>
      <c r="G68" s="26">
        <f>Nchalo!M68+Nchalo!N68+Nchalo!O68</f>
        <v>36</v>
      </c>
      <c r="H68" s="26">
        <f>Nsanje!M68+Nsanje!N68+Nsanje!O68</f>
        <v>37</v>
      </c>
      <c r="I68" s="26">
        <f>Ngabu!M68+Ngabu!N68+Ngabu!O68</f>
        <v>21</v>
      </c>
      <c r="J68" s="35">
        <f>SUM(D68:I68)</f>
        <v>193</v>
      </c>
    </row>
    <row r="69" spans="1:10" s="2" customFormat="1" ht="27" x14ac:dyDescent="0.3">
      <c r="A69" s="623"/>
      <c r="B69" s="24" t="s">
        <v>102</v>
      </c>
      <c r="C69" s="11" t="s">
        <v>3</v>
      </c>
      <c r="D69" s="26">
        <f>Bangula!M69+Bangula!N69+Bangula!O69</f>
        <v>0</v>
      </c>
      <c r="E69" s="26">
        <f>Chikwawa!M69+Chikwawa!N69+Chikwawa!O69</f>
        <v>0</v>
      </c>
      <c r="F69" s="26">
        <f>'Miseu Folo'!M69+'Miseu Folo'!N69+'Miseu Folo'!O69</f>
        <v>0</v>
      </c>
      <c r="G69" s="26">
        <f>Nchalo!M69+Nchalo!N69+Nchalo!O69</f>
        <v>0</v>
      </c>
      <c r="H69" s="26">
        <f>Nsanje!M69+Nsanje!N69+Nsanje!O69</f>
        <v>0</v>
      </c>
      <c r="I69" s="26">
        <f>Ngabu!M69+Ngabu!N69+Ngabu!O69</f>
        <v>0</v>
      </c>
      <c r="J69" s="74">
        <f>SUM(D69:I69)</f>
        <v>0</v>
      </c>
    </row>
    <row r="70" spans="1:10" s="2" customFormat="1" ht="15.6" x14ac:dyDescent="0.3">
      <c r="A70" s="623"/>
      <c r="B70" s="24" t="s">
        <v>188</v>
      </c>
      <c r="C70" s="11" t="s">
        <v>3</v>
      </c>
      <c r="D70" s="4">
        <f>D68+D69</f>
        <v>14</v>
      </c>
      <c r="E70" s="4">
        <f t="shared" ref="E70:J70" si="18">E68+E69</f>
        <v>66</v>
      </c>
      <c r="F70" s="4">
        <f t="shared" si="18"/>
        <v>19</v>
      </c>
      <c r="G70" s="4">
        <f t="shared" si="18"/>
        <v>36</v>
      </c>
      <c r="H70" s="4">
        <f t="shared" si="18"/>
        <v>37</v>
      </c>
      <c r="I70" s="4">
        <f t="shared" si="18"/>
        <v>21</v>
      </c>
      <c r="J70" s="105">
        <f t="shared" si="18"/>
        <v>193</v>
      </c>
    </row>
    <row r="71" spans="1:10" ht="15.6" x14ac:dyDescent="0.3">
      <c r="A71" s="624"/>
      <c r="B71" s="37" t="s">
        <v>81</v>
      </c>
      <c r="C71" s="5" t="s">
        <v>3</v>
      </c>
      <c r="D71" s="34">
        <f>D66+D67-D70</f>
        <v>17</v>
      </c>
      <c r="E71" s="34">
        <f t="shared" ref="E71:I71" si="19">E66+E67-E70</f>
        <v>241</v>
      </c>
      <c r="F71" s="34">
        <f t="shared" si="19"/>
        <v>233</v>
      </c>
      <c r="G71" s="34">
        <f t="shared" si="19"/>
        <v>23</v>
      </c>
      <c r="H71" s="34">
        <f t="shared" si="19"/>
        <v>138</v>
      </c>
      <c r="I71" s="34">
        <f t="shared" si="19"/>
        <v>43</v>
      </c>
      <c r="J71" s="55">
        <f>J66+J67-J70</f>
        <v>695</v>
      </c>
    </row>
    <row r="72" spans="1:10" ht="15.6" x14ac:dyDescent="0.3">
      <c r="A72" s="622" t="s">
        <v>108</v>
      </c>
      <c r="B72" s="37" t="s">
        <v>85</v>
      </c>
      <c r="C72" s="5" t="s">
        <v>3</v>
      </c>
      <c r="D72" s="34">
        <f>Bangula!M72</f>
        <v>0</v>
      </c>
      <c r="E72" s="34">
        <f>Chikwawa!M72</f>
        <v>0</v>
      </c>
      <c r="F72" s="34">
        <f>'Miseu Folo'!M72</f>
        <v>0</v>
      </c>
      <c r="G72" s="34">
        <f>Nchalo!M72</f>
        <v>0</v>
      </c>
      <c r="H72" s="34">
        <f>Nsanje!M72</f>
        <v>0</v>
      </c>
      <c r="I72" s="34">
        <f>Ngabu!M72</f>
        <v>0</v>
      </c>
      <c r="J72" s="35">
        <f>SUM(D72:I72)</f>
        <v>0</v>
      </c>
    </row>
    <row r="73" spans="1:10" ht="15.6" x14ac:dyDescent="0.3">
      <c r="A73" s="623"/>
      <c r="B73" s="24" t="s">
        <v>104</v>
      </c>
      <c r="C73" s="5" t="s">
        <v>3</v>
      </c>
      <c r="D73" s="26">
        <f>Bangula!M73+Bangula!N73+Bangula!O73</f>
        <v>0</v>
      </c>
      <c r="E73" s="26">
        <f>Chikwawa!M73+Chikwawa!N73+Chikwawa!O73</f>
        <v>0</v>
      </c>
      <c r="F73" s="26">
        <f>'Miseu Folo'!M73+'Miseu Folo'!N73+'Miseu Folo'!O73</f>
        <v>0</v>
      </c>
      <c r="G73" s="26">
        <f>Nchalo!M73+Nchalo!N73+Nchalo!O73</f>
        <v>0</v>
      </c>
      <c r="H73" s="26">
        <f>Nsanje!M73+Nsanje!N73+Nsanje!O73</f>
        <v>0</v>
      </c>
      <c r="I73" s="26">
        <f>Ngabu!M73+Ngabu!N73+Ngabu!O73</f>
        <v>0</v>
      </c>
      <c r="J73" s="35">
        <f>SUM(D73:I73)</f>
        <v>0</v>
      </c>
    </row>
    <row r="74" spans="1:10" ht="27" x14ac:dyDescent="0.3">
      <c r="A74" s="623"/>
      <c r="B74" s="24" t="s">
        <v>103</v>
      </c>
      <c r="C74" s="5" t="s">
        <v>3</v>
      </c>
      <c r="D74" s="26">
        <f>Bangula!M74+Bangula!N74+Bangula!O74</f>
        <v>0</v>
      </c>
      <c r="E74" s="26">
        <f>Chikwawa!M74+Chikwawa!N74+Chikwawa!O74</f>
        <v>0</v>
      </c>
      <c r="F74" s="26">
        <f>'Miseu Folo'!M74+'Miseu Folo'!N74+'Miseu Folo'!O74</f>
        <v>0</v>
      </c>
      <c r="G74" s="26">
        <f>Nchalo!M74+Nchalo!N74+Nchalo!O74</f>
        <v>0</v>
      </c>
      <c r="H74" s="26">
        <f>Nsanje!M74+Nsanje!N74+Nsanje!O74</f>
        <v>0</v>
      </c>
      <c r="I74" s="26">
        <f>Ngabu!M74+Ngabu!N74+Ngabu!O74</f>
        <v>0</v>
      </c>
      <c r="J74" s="35">
        <f>SUM(D74:I74)</f>
        <v>0</v>
      </c>
    </row>
    <row r="75" spans="1:10" s="2" customFormat="1" ht="27" x14ac:dyDescent="0.3">
      <c r="A75" s="623"/>
      <c r="B75" s="24" t="s">
        <v>102</v>
      </c>
      <c r="C75" s="11" t="s">
        <v>3</v>
      </c>
      <c r="D75" s="26">
        <f>Bangula!M75+Bangula!N75+Bangula!O75</f>
        <v>0</v>
      </c>
      <c r="E75" s="26">
        <f>Chikwawa!M75+Chikwawa!N75+Chikwawa!O75</f>
        <v>0</v>
      </c>
      <c r="F75" s="26">
        <f>'Miseu Folo'!M75+'Miseu Folo'!N75+'Miseu Folo'!O75</f>
        <v>0</v>
      </c>
      <c r="G75" s="26">
        <f>Nchalo!M75+Nchalo!N75+Nchalo!O75</f>
        <v>0</v>
      </c>
      <c r="H75" s="26">
        <f>Nsanje!M75+Nsanje!N75+Nsanje!O75</f>
        <v>0</v>
      </c>
      <c r="I75" s="26">
        <f>Ngabu!M75+Ngabu!N75+Ngabu!O75</f>
        <v>0</v>
      </c>
      <c r="J75" s="35">
        <f>SUM(D75:I75)</f>
        <v>0</v>
      </c>
    </row>
    <row r="76" spans="1:10" s="2" customFormat="1" ht="15.6" x14ac:dyDescent="0.3">
      <c r="A76" s="623"/>
      <c r="B76" s="24" t="s">
        <v>188</v>
      </c>
      <c r="C76" s="11" t="s">
        <v>3</v>
      </c>
      <c r="D76" s="4">
        <f>D74+D75</f>
        <v>0</v>
      </c>
      <c r="E76" s="4">
        <f t="shared" ref="E76:J76" si="20">E74+E75</f>
        <v>0</v>
      </c>
      <c r="F76" s="4">
        <f t="shared" si="20"/>
        <v>0</v>
      </c>
      <c r="G76" s="4">
        <f t="shared" si="20"/>
        <v>0</v>
      </c>
      <c r="H76" s="4">
        <f t="shared" si="20"/>
        <v>0</v>
      </c>
      <c r="I76" s="4">
        <f t="shared" si="20"/>
        <v>0</v>
      </c>
      <c r="J76" s="105">
        <f t="shared" si="20"/>
        <v>0</v>
      </c>
    </row>
    <row r="77" spans="1:10" ht="15.6" x14ac:dyDescent="0.3">
      <c r="A77" s="624"/>
      <c r="B77" s="37" t="s">
        <v>81</v>
      </c>
      <c r="C77" s="5" t="s">
        <v>3</v>
      </c>
      <c r="D77" s="34">
        <f>D72+D73-D76</f>
        <v>0</v>
      </c>
      <c r="E77" s="34">
        <f t="shared" ref="E77:I77" si="21">E72+E73-E76</f>
        <v>0</v>
      </c>
      <c r="F77" s="34">
        <f t="shared" si="21"/>
        <v>0</v>
      </c>
      <c r="G77" s="34">
        <f t="shared" si="21"/>
        <v>0</v>
      </c>
      <c r="H77" s="34">
        <f t="shared" si="21"/>
        <v>0</v>
      </c>
      <c r="I77" s="34">
        <f t="shared" si="21"/>
        <v>0</v>
      </c>
      <c r="J77" s="106">
        <f t="shared" ref="J77" si="22">J73+J74-J76</f>
        <v>0</v>
      </c>
    </row>
    <row r="78" spans="1:10" ht="15.6" customHeight="1" x14ac:dyDescent="0.3">
      <c r="A78" s="622" t="s">
        <v>107</v>
      </c>
      <c r="B78" s="37" t="s">
        <v>85</v>
      </c>
      <c r="C78" s="5" t="s">
        <v>3</v>
      </c>
      <c r="D78" s="34">
        <f>Bangula!M78</f>
        <v>1</v>
      </c>
      <c r="E78" s="34">
        <f>Chikwawa!M78</f>
        <v>0</v>
      </c>
      <c r="F78" s="34">
        <f>'Miseu Folo'!M78</f>
        <v>0</v>
      </c>
      <c r="G78" s="34">
        <f>Nchalo!M78</f>
        <v>2</v>
      </c>
      <c r="H78" s="34">
        <f>Nsanje!M78</f>
        <v>0</v>
      </c>
      <c r="I78" s="34">
        <f>Ngabu!M78</f>
        <v>0</v>
      </c>
      <c r="J78" s="35">
        <f>SUM(D78:I78)</f>
        <v>3</v>
      </c>
    </row>
    <row r="79" spans="1:10" ht="15.6" x14ac:dyDescent="0.3">
      <c r="A79" s="623"/>
      <c r="B79" s="24" t="s">
        <v>104</v>
      </c>
      <c r="C79" s="5" t="s">
        <v>3</v>
      </c>
      <c r="D79" s="26">
        <f>Bangula!M79+Bangula!N79+Bangula!O79</f>
        <v>0</v>
      </c>
      <c r="E79" s="26">
        <f>Chikwawa!M79+Chikwawa!N79+Chikwawa!O79</f>
        <v>0</v>
      </c>
      <c r="F79" s="26">
        <f>'Miseu Folo'!M79+'Miseu Folo'!N79+'Miseu Folo'!O79</f>
        <v>0</v>
      </c>
      <c r="G79" s="26">
        <f>Nchalo!M79+Nchalo!N79+Nchalo!O79</f>
        <v>0</v>
      </c>
      <c r="H79" s="26">
        <f>Nsanje!M79+Nsanje!N79+Nsanje!O79</f>
        <v>0</v>
      </c>
      <c r="I79" s="26">
        <f>Ngabu!M79+Ngabu!N79+Ngabu!O79</f>
        <v>0</v>
      </c>
      <c r="J79" s="35">
        <f>SUM(D79:I79)</f>
        <v>0</v>
      </c>
    </row>
    <row r="80" spans="1:10" ht="27" x14ac:dyDescent="0.3">
      <c r="A80" s="623"/>
      <c r="B80" s="24" t="s">
        <v>103</v>
      </c>
      <c r="C80" s="5" t="s">
        <v>3</v>
      </c>
      <c r="D80" s="26">
        <f>Bangula!M80+Bangula!N80+Bangula!O80</f>
        <v>0</v>
      </c>
      <c r="E80" s="26">
        <f>Chikwawa!M80+Chikwawa!N80+Chikwawa!O80</f>
        <v>0</v>
      </c>
      <c r="F80" s="26">
        <f>'Miseu Folo'!M80+'Miseu Folo'!N80+'Miseu Folo'!O80</f>
        <v>0</v>
      </c>
      <c r="G80" s="26">
        <f>Nchalo!M80+Nchalo!N80+Nchalo!O80</f>
        <v>0</v>
      </c>
      <c r="H80" s="26">
        <f>Nsanje!M80+Nsanje!N80+Nsanje!O80</f>
        <v>0</v>
      </c>
      <c r="I80" s="26">
        <f>Ngabu!M80+Ngabu!N80+Ngabu!O80</f>
        <v>0</v>
      </c>
      <c r="J80" s="35">
        <f>SUM(D80:I80)</f>
        <v>0</v>
      </c>
    </row>
    <row r="81" spans="1:10" s="2" customFormat="1" ht="27" x14ac:dyDescent="0.3">
      <c r="A81" s="623"/>
      <c r="B81" s="24" t="s">
        <v>102</v>
      </c>
      <c r="C81" s="11" t="s">
        <v>3</v>
      </c>
      <c r="D81" s="26">
        <f>Bangula!M81+Bangula!N81+Bangula!O81</f>
        <v>0</v>
      </c>
      <c r="E81" s="26">
        <f>Chikwawa!M81+Chikwawa!N81+Chikwawa!O81</f>
        <v>0</v>
      </c>
      <c r="F81" s="26">
        <f>'Miseu Folo'!M81+'Miseu Folo'!N81+'Miseu Folo'!O81</f>
        <v>0</v>
      </c>
      <c r="G81" s="26">
        <f>Nchalo!M81+Nchalo!N81+Nchalo!O81</f>
        <v>0</v>
      </c>
      <c r="H81" s="26">
        <f>Nsanje!M81+Nsanje!N81+Nsanje!O81</f>
        <v>0</v>
      </c>
      <c r="I81" s="26">
        <f>Ngabu!M81+Ngabu!N81+Ngabu!O81</f>
        <v>0</v>
      </c>
      <c r="J81" s="74">
        <f>SUM(D81:I81)</f>
        <v>0</v>
      </c>
    </row>
    <row r="82" spans="1:10" s="2" customFormat="1" ht="15.6" x14ac:dyDescent="0.3">
      <c r="A82" s="623"/>
      <c r="B82" s="24" t="s">
        <v>188</v>
      </c>
      <c r="C82" s="11" t="s">
        <v>3</v>
      </c>
      <c r="D82" s="4">
        <f>D80+D81</f>
        <v>0</v>
      </c>
      <c r="E82" s="4">
        <f t="shared" ref="E82:I82" si="23">E80+E81</f>
        <v>0</v>
      </c>
      <c r="F82" s="4">
        <f t="shared" si="23"/>
        <v>0</v>
      </c>
      <c r="G82" s="4">
        <f t="shared" si="23"/>
        <v>0</v>
      </c>
      <c r="H82" s="4">
        <f t="shared" si="23"/>
        <v>0</v>
      </c>
      <c r="I82" s="4">
        <f t="shared" si="23"/>
        <v>0</v>
      </c>
      <c r="J82" s="105">
        <f t="shared" ref="J82" si="24">J81+J80</f>
        <v>0</v>
      </c>
    </row>
    <row r="83" spans="1:10" ht="15.6" x14ac:dyDescent="0.3">
      <c r="A83" s="624"/>
      <c r="B83" s="37" t="s">
        <v>81</v>
      </c>
      <c r="C83" s="5" t="s">
        <v>3</v>
      </c>
      <c r="D83" s="34">
        <f>D78+D79-D82</f>
        <v>1</v>
      </c>
      <c r="E83" s="34">
        <f t="shared" ref="E83:J83" si="25">E78+E79-E82</f>
        <v>0</v>
      </c>
      <c r="F83" s="34">
        <f t="shared" si="25"/>
        <v>0</v>
      </c>
      <c r="G83" s="34">
        <f t="shared" si="25"/>
        <v>2</v>
      </c>
      <c r="H83" s="34">
        <f t="shared" si="25"/>
        <v>0</v>
      </c>
      <c r="I83" s="34">
        <f t="shared" si="25"/>
        <v>0</v>
      </c>
      <c r="J83" s="106">
        <f t="shared" si="25"/>
        <v>3</v>
      </c>
    </row>
    <row r="84" spans="1:10" ht="15.6" x14ac:dyDescent="0.3">
      <c r="A84" s="625" t="s">
        <v>106</v>
      </c>
      <c r="B84" s="37" t="s">
        <v>85</v>
      </c>
      <c r="C84" s="5" t="s">
        <v>3</v>
      </c>
      <c r="D84" s="34">
        <f>Bangula!M84</f>
        <v>0</v>
      </c>
      <c r="E84" s="34">
        <f>Chikwawa!M84</f>
        <v>0</v>
      </c>
      <c r="F84" s="34">
        <f>'Miseu Folo'!M84</f>
        <v>0</v>
      </c>
      <c r="G84" s="34">
        <f>Nchalo!M84</f>
        <v>0</v>
      </c>
      <c r="H84" s="34">
        <f>Nsanje!M84</f>
        <v>0</v>
      </c>
      <c r="I84" s="34">
        <f>Ngabu!M84</f>
        <v>0</v>
      </c>
      <c r="J84" s="35">
        <f>SUM(D84:I84)</f>
        <v>0</v>
      </c>
    </row>
    <row r="85" spans="1:10" ht="15.6" x14ac:dyDescent="0.3">
      <c r="A85" s="626"/>
      <c r="B85" s="37" t="s">
        <v>104</v>
      </c>
      <c r="C85" s="5" t="s">
        <v>3</v>
      </c>
      <c r="D85" s="26">
        <f>Bangula!M85+Bangula!N85+Bangula!O85</f>
        <v>0</v>
      </c>
      <c r="E85" s="26">
        <f>Chikwawa!M85+Chikwawa!N85+Chikwawa!O85</f>
        <v>0</v>
      </c>
      <c r="F85" s="26">
        <f>'Miseu Folo'!M85+'Miseu Folo'!N85+'Miseu Folo'!O85</f>
        <v>0</v>
      </c>
      <c r="G85" s="26">
        <f>Nchalo!M85+Nchalo!N85+Nchalo!O85</f>
        <v>0</v>
      </c>
      <c r="H85" s="26">
        <f>Nsanje!M85+Nsanje!N85+Nsanje!O85</f>
        <v>0</v>
      </c>
      <c r="I85" s="26">
        <f>Ngabu!M85+Ngabu!N85+Ngabu!O85</f>
        <v>0</v>
      </c>
      <c r="J85" s="35">
        <f>SUM(D85:I85)</f>
        <v>0</v>
      </c>
    </row>
    <row r="86" spans="1:10" ht="27" x14ac:dyDescent="0.3">
      <c r="A86" s="626"/>
      <c r="B86" s="37" t="s">
        <v>103</v>
      </c>
      <c r="C86" s="5" t="s">
        <v>3</v>
      </c>
      <c r="D86" s="26">
        <f>Bangula!M86+Bangula!N86+Bangula!O86</f>
        <v>0</v>
      </c>
      <c r="E86" s="26">
        <f>Chikwawa!M86+Chikwawa!N86+Chikwawa!O86</f>
        <v>0</v>
      </c>
      <c r="F86" s="26">
        <f>'Miseu Folo'!M86+'Miseu Folo'!N86+'Miseu Folo'!O86</f>
        <v>0</v>
      </c>
      <c r="G86" s="26">
        <f>Nchalo!M86+Nchalo!N86+Nchalo!O86</f>
        <v>0</v>
      </c>
      <c r="H86" s="26">
        <f>Nsanje!M86+Nsanje!N86+Nsanje!O86</f>
        <v>0</v>
      </c>
      <c r="I86" s="26">
        <f>Ngabu!M86+Ngabu!N86+Ngabu!O86</f>
        <v>0</v>
      </c>
      <c r="J86" s="35">
        <f>SUM(D86:I86)</f>
        <v>0</v>
      </c>
    </row>
    <row r="87" spans="1:10" s="2" customFormat="1" ht="27" x14ac:dyDescent="0.3">
      <c r="A87" s="626"/>
      <c r="B87" s="24" t="s">
        <v>102</v>
      </c>
      <c r="C87" s="11" t="s">
        <v>3</v>
      </c>
      <c r="D87" s="26">
        <f>Bangula!M87+Bangula!N87+Bangula!O87</f>
        <v>0</v>
      </c>
      <c r="E87" s="26">
        <f>Chikwawa!M87+Chikwawa!N87+Chikwawa!O87</f>
        <v>0</v>
      </c>
      <c r="F87" s="26">
        <f>'Miseu Folo'!M87+'Miseu Folo'!N87+'Miseu Folo'!O87</f>
        <v>0</v>
      </c>
      <c r="G87" s="26">
        <f>Nchalo!M87+Nchalo!N87+Nchalo!O87</f>
        <v>0</v>
      </c>
      <c r="H87" s="26">
        <f>Nsanje!M87+Nsanje!N87+Nsanje!O87</f>
        <v>0</v>
      </c>
      <c r="I87" s="26">
        <f>Ngabu!M87+Ngabu!N87+Ngabu!O87</f>
        <v>0</v>
      </c>
      <c r="J87" s="74">
        <f>SUM(D87:I87)</f>
        <v>0</v>
      </c>
    </row>
    <row r="88" spans="1:10" s="2" customFormat="1" ht="15.6" x14ac:dyDescent="0.3">
      <c r="A88" s="626"/>
      <c r="B88" s="24" t="s">
        <v>188</v>
      </c>
      <c r="C88" s="11" t="s">
        <v>3</v>
      </c>
      <c r="D88" s="4">
        <f>D86+D87</f>
        <v>0</v>
      </c>
      <c r="E88" s="4">
        <f t="shared" ref="E88:I88" si="26">E86+E87</f>
        <v>0</v>
      </c>
      <c r="F88" s="4">
        <f t="shared" si="26"/>
        <v>0</v>
      </c>
      <c r="G88" s="4">
        <f t="shared" si="26"/>
        <v>0</v>
      </c>
      <c r="H88" s="4">
        <f t="shared" si="26"/>
        <v>0</v>
      </c>
      <c r="I88" s="4">
        <f t="shared" si="26"/>
        <v>0</v>
      </c>
      <c r="J88" s="74"/>
    </row>
    <row r="89" spans="1:10" ht="15.6" x14ac:dyDescent="0.3">
      <c r="A89" s="627"/>
      <c r="B89" s="36" t="s">
        <v>81</v>
      </c>
      <c r="C89" s="5" t="s">
        <v>3</v>
      </c>
      <c r="D89" s="34">
        <f>D84+D85-D88</f>
        <v>0</v>
      </c>
      <c r="E89" s="34">
        <f t="shared" ref="E89:I89" si="27">E84+E85-E88</f>
        <v>0</v>
      </c>
      <c r="F89" s="34">
        <f t="shared" si="27"/>
        <v>0</v>
      </c>
      <c r="G89" s="34">
        <f t="shared" si="27"/>
        <v>0</v>
      </c>
      <c r="H89" s="34">
        <f t="shared" si="27"/>
        <v>0</v>
      </c>
      <c r="I89" s="34">
        <f t="shared" si="27"/>
        <v>0</v>
      </c>
      <c r="J89" s="106">
        <f t="shared" ref="J89" si="28">J84+J85-J86-J87</f>
        <v>0</v>
      </c>
    </row>
    <row r="90" spans="1:10" ht="15.6" x14ac:dyDescent="0.3">
      <c r="A90" s="628" t="s">
        <v>105</v>
      </c>
      <c r="B90" s="24" t="s">
        <v>85</v>
      </c>
      <c r="C90" s="11" t="s">
        <v>3</v>
      </c>
      <c r="D90" s="136">
        <f>D66+D72+D78+D84</f>
        <v>26</v>
      </c>
      <c r="E90" s="136">
        <f t="shared" ref="E90:I90" si="29">E66+E72+E78+E84</f>
        <v>266</v>
      </c>
      <c r="F90" s="136">
        <f t="shared" si="29"/>
        <v>234</v>
      </c>
      <c r="G90" s="136">
        <f t="shared" si="29"/>
        <v>51</v>
      </c>
      <c r="H90" s="136">
        <f t="shared" si="29"/>
        <v>143</v>
      </c>
      <c r="I90" s="136">
        <f t="shared" si="29"/>
        <v>64</v>
      </c>
      <c r="J90" s="35">
        <f>SUM(D90:I90)</f>
        <v>784</v>
      </c>
    </row>
    <row r="91" spans="1:10" ht="15.6" x14ac:dyDescent="0.3">
      <c r="A91" s="629"/>
      <c r="B91" s="24" t="s">
        <v>104</v>
      </c>
      <c r="C91" s="11" t="s">
        <v>3</v>
      </c>
      <c r="D91" s="136">
        <f t="shared" ref="D91:I93" si="30">D67+D73+D79+D85</f>
        <v>6</v>
      </c>
      <c r="E91" s="136">
        <f t="shared" si="30"/>
        <v>41</v>
      </c>
      <c r="F91" s="136">
        <f t="shared" si="30"/>
        <v>18</v>
      </c>
      <c r="G91" s="136">
        <f t="shared" si="30"/>
        <v>10</v>
      </c>
      <c r="H91" s="136">
        <f t="shared" si="30"/>
        <v>32</v>
      </c>
      <c r="I91" s="136">
        <f t="shared" si="30"/>
        <v>0</v>
      </c>
      <c r="J91" s="35">
        <f>SUM(D91:I91)</f>
        <v>107</v>
      </c>
    </row>
    <row r="92" spans="1:10" ht="27" x14ac:dyDescent="0.3">
      <c r="A92" s="629"/>
      <c r="B92" s="24" t="s">
        <v>103</v>
      </c>
      <c r="C92" s="11" t="s">
        <v>3</v>
      </c>
      <c r="D92" s="136">
        <f t="shared" si="30"/>
        <v>14</v>
      </c>
      <c r="E92" s="136">
        <f t="shared" si="30"/>
        <v>66</v>
      </c>
      <c r="F92" s="136">
        <f t="shared" si="30"/>
        <v>19</v>
      </c>
      <c r="G92" s="136">
        <f t="shared" si="30"/>
        <v>36</v>
      </c>
      <c r="H92" s="136">
        <f t="shared" si="30"/>
        <v>37</v>
      </c>
      <c r="I92" s="136">
        <f t="shared" si="30"/>
        <v>21</v>
      </c>
      <c r="J92" s="35">
        <f>SUM(D92:I92)</f>
        <v>193</v>
      </c>
    </row>
    <row r="93" spans="1:10" s="2" customFormat="1" ht="27" x14ac:dyDescent="0.3">
      <c r="A93" s="629"/>
      <c r="B93" s="24" t="s">
        <v>102</v>
      </c>
      <c r="C93" s="11"/>
      <c r="D93" s="136">
        <f t="shared" si="30"/>
        <v>0</v>
      </c>
      <c r="E93" s="136">
        <f t="shared" si="30"/>
        <v>0</v>
      </c>
      <c r="F93" s="136">
        <f t="shared" si="30"/>
        <v>0</v>
      </c>
      <c r="G93" s="136">
        <f t="shared" si="30"/>
        <v>0</v>
      </c>
      <c r="H93" s="136">
        <f t="shared" si="30"/>
        <v>0</v>
      </c>
      <c r="I93" s="136">
        <f t="shared" si="30"/>
        <v>0</v>
      </c>
      <c r="J93" s="35">
        <f>SUM(D93:I93)</f>
        <v>0</v>
      </c>
    </row>
    <row r="94" spans="1:10" s="2" customFormat="1" ht="15.6" x14ac:dyDescent="0.3">
      <c r="A94" s="629"/>
      <c r="B94" s="24" t="s">
        <v>188</v>
      </c>
      <c r="C94" s="11" t="s">
        <v>3</v>
      </c>
      <c r="D94" s="137">
        <f>D93+D92</f>
        <v>14</v>
      </c>
      <c r="E94" s="137">
        <f t="shared" ref="E94:J94" si="31">E93+E92</f>
        <v>66</v>
      </c>
      <c r="F94" s="137">
        <f t="shared" si="31"/>
        <v>19</v>
      </c>
      <c r="G94" s="137">
        <f t="shared" si="31"/>
        <v>36</v>
      </c>
      <c r="H94" s="137">
        <f t="shared" si="31"/>
        <v>37</v>
      </c>
      <c r="I94" s="137">
        <f t="shared" si="31"/>
        <v>21</v>
      </c>
      <c r="J94" s="107">
        <f t="shared" si="31"/>
        <v>193</v>
      </c>
    </row>
    <row r="95" spans="1:10" ht="16.2" thickBot="1" x14ac:dyDescent="0.35">
      <c r="A95" s="630"/>
      <c r="B95" s="24" t="s">
        <v>81</v>
      </c>
      <c r="C95" s="11" t="s">
        <v>3</v>
      </c>
      <c r="D95" s="138">
        <f>D90+D91-D94</f>
        <v>18</v>
      </c>
      <c r="E95" s="138">
        <f t="shared" ref="E95:J95" si="32">E90+E91-E94</f>
        <v>241</v>
      </c>
      <c r="F95" s="138">
        <f t="shared" si="32"/>
        <v>233</v>
      </c>
      <c r="G95" s="138">
        <f t="shared" si="32"/>
        <v>25</v>
      </c>
      <c r="H95" s="138">
        <f t="shared" si="32"/>
        <v>138</v>
      </c>
      <c r="I95" s="138">
        <f t="shared" si="32"/>
        <v>43</v>
      </c>
      <c r="J95" s="145">
        <f t="shared" si="32"/>
        <v>698</v>
      </c>
    </row>
    <row r="96" spans="1:10" ht="16.2" customHeight="1" thickBot="1" x14ac:dyDescent="0.35">
      <c r="A96" s="677"/>
      <c r="B96" s="678"/>
      <c r="C96" s="678"/>
      <c r="D96" s="678"/>
      <c r="E96" s="678"/>
      <c r="F96" s="678"/>
      <c r="G96" s="678"/>
      <c r="H96" s="678"/>
      <c r="I96" s="678"/>
      <c r="J96" s="679"/>
    </row>
    <row r="97" spans="1:10" s="2" customFormat="1" ht="15.75" customHeight="1" thickBot="1" x14ac:dyDescent="0.35">
      <c r="A97" s="631" t="s">
        <v>189</v>
      </c>
      <c r="B97" s="632"/>
      <c r="C97" s="632"/>
      <c r="D97" s="632"/>
      <c r="E97" s="632"/>
      <c r="F97" s="632"/>
      <c r="G97" s="632"/>
      <c r="H97" s="632"/>
      <c r="I97" s="632"/>
      <c r="J97" s="633"/>
    </row>
    <row r="98" spans="1:10" ht="15.6" x14ac:dyDescent="0.3">
      <c r="A98" s="88" t="s">
        <v>190</v>
      </c>
      <c r="B98" s="69"/>
      <c r="C98" s="11" t="s">
        <v>3</v>
      </c>
      <c r="D98" s="26">
        <f>Bangula!M98+Bangula!N98+Bangula!O98</f>
        <v>0</v>
      </c>
      <c r="E98" s="26">
        <f>Chikwawa!M98+Chikwawa!N98+Chikwawa!O98</f>
        <v>0</v>
      </c>
      <c r="F98" s="26">
        <f>'Miseu Folo'!M98+'Miseu Folo'!N98+'Miseu Folo'!O98</f>
        <v>0</v>
      </c>
      <c r="G98" s="26">
        <f>Nchalo!M98+Nchalo!N98+Nchalo!O98</f>
        <v>0</v>
      </c>
      <c r="H98" s="26">
        <f>Nsanje!M98+Nsanje!N98+Nsanje!O98</f>
        <v>0</v>
      </c>
      <c r="I98" s="26">
        <f>Ngabu!M98+Ngabu!N98+Ngabu!O98</f>
        <v>0</v>
      </c>
      <c r="J98" s="108">
        <f>SUM(D98:I98)</f>
        <v>0</v>
      </c>
    </row>
    <row r="99" spans="1:10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107"/>
    </row>
    <row r="100" spans="1:10" s="2" customFormat="1" x14ac:dyDescent="0.3">
      <c r="A100" s="642" t="s">
        <v>101</v>
      </c>
      <c r="B100" s="643"/>
      <c r="C100" s="643"/>
      <c r="D100" s="643"/>
      <c r="E100" s="643"/>
      <c r="F100" s="643"/>
      <c r="G100" s="643"/>
      <c r="H100" s="643"/>
      <c r="I100" s="643"/>
      <c r="J100" s="644"/>
    </row>
    <row r="101" spans="1:10" ht="15.6" x14ac:dyDescent="0.3">
      <c r="A101" s="591" t="s">
        <v>100</v>
      </c>
      <c r="B101" s="592"/>
      <c r="C101" s="11" t="s">
        <v>3</v>
      </c>
      <c r="D101" s="26">
        <f>Bangula!O101</f>
        <v>246</v>
      </c>
      <c r="E101" s="26">
        <f>Chikwawa!O101</f>
        <v>835</v>
      </c>
      <c r="F101" s="26">
        <f>'Miseu Folo'!O101</f>
        <v>0</v>
      </c>
      <c r="G101" s="26">
        <f>Nchalo!O101</f>
        <v>652</v>
      </c>
      <c r="H101" s="26">
        <f>Nsanje!O101</f>
        <v>515</v>
      </c>
      <c r="I101" s="26">
        <f>Ngabu!O101</f>
        <v>558</v>
      </c>
      <c r="J101" s="32">
        <f>SUM(D101:I101)</f>
        <v>2806</v>
      </c>
    </row>
    <row r="102" spans="1:10" ht="15.6" x14ac:dyDescent="0.3">
      <c r="A102" s="591" t="s">
        <v>99</v>
      </c>
      <c r="B102" s="592"/>
      <c r="C102" s="11" t="s">
        <v>3</v>
      </c>
      <c r="D102" s="26">
        <f>Bangula!O102</f>
        <v>17</v>
      </c>
      <c r="E102" s="26">
        <f>Chikwawa!O102</f>
        <v>11</v>
      </c>
      <c r="F102" s="26">
        <f>'Miseu Folo'!O102</f>
        <v>0</v>
      </c>
      <c r="G102" s="26">
        <f>Nchalo!O102</f>
        <v>17</v>
      </c>
      <c r="H102" s="26">
        <f>Nsanje!O102</f>
        <v>20</v>
      </c>
      <c r="I102" s="26">
        <f>Ngabu!O102</f>
        <v>42</v>
      </c>
      <c r="J102" s="32">
        <f>SUM(D102:I102)</f>
        <v>107</v>
      </c>
    </row>
    <row r="103" spans="1:10" ht="15.6" customHeight="1" x14ac:dyDescent="0.3">
      <c r="A103" s="598" t="s">
        <v>98</v>
      </c>
      <c r="B103" s="599"/>
      <c r="C103" s="11" t="s">
        <v>3</v>
      </c>
      <c r="D103" s="26">
        <f>Bangula!O103</f>
        <v>12</v>
      </c>
      <c r="E103" s="26">
        <f>Chikwawa!O103</f>
        <v>13</v>
      </c>
      <c r="F103" s="26">
        <f>'Miseu Folo'!O103</f>
        <v>0</v>
      </c>
      <c r="G103" s="26">
        <f>Nchalo!O103</f>
        <v>27</v>
      </c>
      <c r="H103" s="26">
        <f>Nsanje!O103</f>
        <v>3</v>
      </c>
      <c r="I103" s="26">
        <f>Ngabu!O103</f>
        <v>56</v>
      </c>
      <c r="J103" s="32">
        <f>SUM(D103:I103)</f>
        <v>111</v>
      </c>
    </row>
    <row r="104" spans="1:10" ht="15.6" x14ac:dyDescent="0.3">
      <c r="A104" s="598" t="s">
        <v>97</v>
      </c>
      <c r="B104" s="599"/>
      <c r="C104" s="11" t="s">
        <v>3</v>
      </c>
      <c r="D104" s="26">
        <f>Bangula!O104</f>
        <v>5</v>
      </c>
      <c r="E104" s="26">
        <f>Chikwawa!O104</f>
        <v>16</v>
      </c>
      <c r="F104" s="26">
        <f>'Miseu Folo'!O104</f>
        <v>0</v>
      </c>
      <c r="G104" s="26">
        <f>Nchalo!O104</f>
        <v>11</v>
      </c>
      <c r="H104" s="26">
        <f>Nsanje!O104</f>
        <v>25</v>
      </c>
      <c r="I104" s="26">
        <f>Ngabu!O104</f>
        <v>19</v>
      </c>
      <c r="J104" s="32">
        <f>SUM(D104:I104)</f>
        <v>76</v>
      </c>
    </row>
    <row r="105" spans="1:10" ht="15.6" x14ac:dyDescent="0.3">
      <c r="A105" s="645" t="s">
        <v>96</v>
      </c>
      <c r="B105" s="646"/>
      <c r="C105" s="11" t="s">
        <v>3</v>
      </c>
      <c r="D105" s="33">
        <f>SUM(D101:D104)</f>
        <v>280</v>
      </c>
      <c r="E105" s="33">
        <f t="shared" ref="E105:I105" si="33">SUM(E101:E104)</f>
        <v>875</v>
      </c>
      <c r="F105" s="33">
        <f t="shared" si="33"/>
        <v>0</v>
      </c>
      <c r="G105" s="33">
        <f t="shared" si="33"/>
        <v>707</v>
      </c>
      <c r="H105" s="33">
        <f t="shared" si="33"/>
        <v>563</v>
      </c>
      <c r="I105" s="33">
        <f t="shared" si="33"/>
        <v>675</v>
      </c>
      <c r="J105" s="55">
        <f>SUM(D105:I105)</f>
        <v>3100</v>
      </c>
    </row>
    <row r="106" spans="1:10" s="2" customFormat="1" ht="15.6" customHeight="1" x14ac:dyDescent="0.3">
      <c r="A106" s="639" t="s">
        <v>210</v>
      </c>
      <c r="B106" s="640"/>
      <c r="C106" s="640"/>
      <c r="D106" s="640"/>
      <c r="E106" s="640"/>
      <c r="F106" s="640"/>
      <c r="G106" s="640"/>
      <c r="H106" s="640"/>
      <c r="I106" s="640"/>
      <c r="J106" s="641"/>
    </row>
    <row r="107" spans="1:10" ht="15.6" x14ac:dyDescent="0.3">
      <c r="A107" s="591" t="s">
        <v>193</v>
      </c>
      <c r="B107" s="592"/>
      <c r="C107" s="11" t="s">
        <v>3</v>
      </c>
      <c r="D107" s="26">
        <f>Bangula!O107</f>
        <v>510</v>
      </c>
      <c r="E107" s="26">
        <f>Chikwawa!O107</f>
        <v>1916</v>
      </c>
      <c r="F107" s="26">
        <f>'Miseu Folo'!O107</f>
        <v>220</v>
      </c>
      <c r="G107" s="26">
        <f>Nchalo!O107</f>
        <v>1406</v>
      </c>
      <c r="H107" s="26">
        <f>Nsanje!O107</f>
        <v>1116</v>
      </c>
      <c r="I107" s="26">
        <f>Ngabu!O107</f>
        <v>659</v>
      </c>
      <c r="J107" s="32">
        <f>SUM(D107:I107)</f>
        <v>5827</v>
      </c>
    </row>
    <row r="108" spans="1:10" ht="15.6" x14ac:dyDescent="0.3">
      <c r="A108" s="591" t="s">
        <v>194</v>
      </c>
      <c r="B108" s="592"/>
      <c r="C108" s="11" t="s">
        <v>3</v>
      </c>
      <c r="D108" s="26">
        <f>Bangula!O108</f>
        <v>5</v>
      </c>
      <c r="E108" s="26">
        <f>Chikwawa!O108</f>
        <v>22</v>
      </c>
      <c r="F108" s="26">
        <f>'Miseu Folo'!O108</f>
        <v>0</v>
      </c>
      <c r="G108" s="26">
        <f>Nchalo!O108</f>
        <v>6</v>
      </c>
      <c r="H108" s="26">
        <f>Nsanje!O108</f>
        <v>7</v>
      </c>
      <c r="I108" s="26">
        <f>Ngabu!O108</f>
        <v>9</v>
      </c>
      <c r="J108" s="32">
        <f>SUM(D108:I108)</f>
        <v>49</v>
      </c>
    </row>
    <row r="109" spans="1:10" ht="15.6" x14ac:dyDescent="0.3">
      <c r="A109" s="591" t="s">
        <v>195</v>
      </c>
      <c r="B109" s="592"/>
      <c r="C109" s="11" t="s">
        <v>3</v>
      </c>
      <c r="D109" s="26">
        <f>Bangula!O109</f>
        <v>2</v>
      </c>
      <c r="E109" s="26">
        <f>Chikwawa!O109</f>
        <v>13</v>
      </c>
      <c r="F109" s="26">
        <f>'Miseu Folo'!O109</f>
        <v>2</v>
      </c>
      <c r="G109" s="26">
        <f>Nchalo!O109</f>
        <v>9</v>
      </c>
      <c r="H109" s="26">
        <f>Nsanje!O109</f>
        <v>1</v>
      </c>
      <c r="I109" s="26">
        <f>Ngabu!O109</f>
        <v>3</v>
      </c>
      <c r="J109" s="32">
        <f>SUM(D109:I109)</f>
        <v>30</v>
      </c>
    </row>
    <row r="110" spans="1:10" ht="15.6" x14ac:dyDescent="0.3">
      <c r="A110" s="591" t="s">
        <v>196</v>
      </c>
      <c r="B110" s="592"/>
      <c r="C110" s="11" t="s">
        <v>3</v>
      </c>
      <c r="D110" s="26">
        <f>Bangula!O110</f>
        <v>18</v>
      </c>
      <c r="E110" s="26">
        <f>Chikwawa!O110</f>
        <v>12</v>
      </c>
      <c r="F110" s="26">
        <f>'Miseu Folo'!O110</f>
        <v>0</v>
      </c>
      <c r="G110" s="26">
        <f>Nchalo!O110</f>
        <v>8</v>
      </c>
      <c r="H110" s="26">
        <f>Nsanje!O110</f>
        <v>9</v>
      </c>
      <c r="I110" s="26">
        <f>Ngabu!O110</f>
        <v>19</v>
      </c>
      <c r="J110" s="32">
        <f>SUM(D110:I110)</f>
        <v>66</v>
      </c>
    </row>
    <row r="111" spans="1:10" ht="15.6" x14ac:dyDescent="0.3">
      <c r="A111" s="593" t="s">
        <v>95</v>
      </c>
      <c r="B111" s="594"/>
      <c r="C111" s="11" t="s">
        <v>3</v>
      </c>
      <c r="D111" s="33">
        <f>SUM(D107:D110)</f>
        <v>535</v>
      </c>
      <c r="E111" s="33">
        <f t="shared" ref="E111:I111" si="34">SUM(E107:E110)</f>
        <v>1963</v>
      </c>
      <c r="F111" s="33">
        <f t="shared" si="34"/>
        <v>222</v>
      </c>
      <c r="G111" s="33">
        <f t="shared" si="34"/>
        <v>1429</v>
      </c>
      <c r="H111" s="33">
        <f t="shared" si="34"/>
        <v>1133</v>
      </c>
      <c r="I111" s="33">
        <f t="shared" si="34"/>
        <v>690</v>
      </c>
      <c r="J111" s="55">
        <f>SUM(D111:I111)</f>
        <v>5972</v>
      </c>
    </row>
    <row r="112" spans="1:10" s="2" customFormat="1" ht="15.6" customHeight="1" x14ac:dyDescent="0.3">
      <c r="A112" s="642" t="s">
        <v>210</v>
      </c>
      <c r="B112" s="643"/>
      <c r="C112" s="643"/>
      <c r="D112" s="643"/>
      <c r="E112" s="643"/>
      <c r="F112" s="643"/>
      <c r="G112" s="643"/>
      <c r="H112" s="643"/>
      <c r="I112" s="643"/>
      <c r="J112" s="644"/>
    </row>
    <row r="113" spans="1:10" ht="15.6" x14ac:dyDescent="0.3">
      <c r="A113" s="591" t="s">
        <v>197</v>
      </c>
      <c r="B113" s="592"/>
      <c r="C113" s="11" t="s">
        <v>3</v>
      </c>
      <c r="D113" s="26">
        <f>Bangula!O113</f>
        <v>181</v>
      </c>
      <c r="E113" s="26">
        <f>Chikwawa!O113</f>
        <v>623</v>
      </c>
      <c r="F113" s="26">
        <f>'Miseu Folo'!O113</f>
        <v>384</v>
      </c>
      <c r="G113" s="26">
        <f>Nchalo!O113</f>
        <v>307</v>
      </c>
      <c r="H113" s="26">
        <f>Nsanje!O113</f>
        <v>508</v>
      </c>
      <c r="I113" s="26">
        <f>Ngabu!O113</f>
        <v>344</v>
      </c>
      <c r="J113" s="32">
        <f t="shared" ref="J113:J117" si="35">SUM(D113:I113)</f>
        <v>2347</v>
      </c>
    </row>
    <row r="114" spans="1:10" ht="15.6" x14ac:dyDescent="0.3">
      <c r="A114" s="591" t="s">
        <v>198</v>
      </c>
      <c r="B114" s="592"/>
      <c r="C114" s="11" t="s">
        <v>3</v>
      </c>
      <c r="D114" s="26">
        <f>Bangula!O114</f>
        <v>32</v>
      </c>
      <c r="E114" s="26">
        <f>Chikwawa!O114</f>
        <v>42</v>
      </c>
      <c r="F114" s="26">
        <f>'Miseu Folo'!O114</f>
        <v>10</v>
      </c>
      <c r="G114" s="26">
        <f>Nchalo!O114</f>
        <v>27</v>
      </c>
      <c r="H114" s="26">
        <f>Nsanje!O114</f>
        <v>52</v>
      </c>
      <c r="I114" s="26">
        <f>Ngabu!O114</f>
        <v>25</v>
      </c>
      <c r="J114" s="32">
        <f t="shared" si="35"/>
        <v>188</v>
      </c>
    </row>
    <row r="115" spans="1:10" ht="15.6" x14ac:dyDescent="0.3">
      <c r="A115" s="591" t="s">
        <v>199</v>
      </c>
      <c r="B115" s="592"/>
      <c r="C115" s="11" t="s">
        <v>3</v>
      </c>
      <c r="D115" s="26">
        <f>Bangula!O115</f>
        <v>25</v>
      </c>
      <c r="E115" s="26">
        <f>Chikwawa!O115</f>
        <v>56</v>
      </c>
      <c r="F115" s="26">
        <f>'Miseu Folo'!O115</f>
        <v>6</v>
      </c>
      <c r="G115" s="26">
        <f>Nchalo!O115</f>
        <v>62</v>
      </c>
      <c r="H115" s="26">
        <f>Nsanje!O115</f>
        <v>49</v>
      </c>
      <c r="I115" s="26">
        <f>Ngabu!O115</f>
        <v>34</v>
      </c>
      <c r="J115" s="32">
        <f t="shared" si="35"/>
        <v>232</v>
      </c>
    </row>
    <row r="116" spans="1:10" ht="15.6" x14ac:dyDescent="0.3">
      <c r="A116" s="591" t="s">
        <v>200</v>
      </c>
      <c r="B116" s="592"/>
      <c r="C116" s="11" t="s">
        <v>3</v>
      </c>
      <c r="D116" s="26">
        <f>Bangula!O116</f>
        <v>1</v>
      </c>
      <c r="E116" s="26">
        <f>Chikwawa!O116</f>
        <v>3</v>
      </c>
      <c r="F116" s="26">
        <f>'Miseu Folo'!O116</f>
        <v>14</v>
      </c>
      <c r="G116" s="26">
        <f>Nchalo!O116</f>
        <v>1</v>
      </c>
      <c r="H116" s="26">
        <f>Nsanje!O116</f>
        <v>1</v>
      </c>
      <c r="I116" s="26">
        <f>Ngabu!O116</f>
        <v>1</v>
      </c>
      <c r="J116" s="32">
        <f t="shared" si="35"/>
        <v>21</v>
      </c>
    </row>
    <row r="117" spans="1:10" ht="15.6" x14ac:dyDescent="0.3">
      <c r="A117" s="593" t="s">
        <v>94</v>
      </c>
      <c r="B117" s="594"/>
      <c r="C117" s="11" t="s">
        <v>3</v>
      </c>
      <c r="D117" s="33">
        <f>SUM(D113:D116)</f>
        <v>239</v>
      </c>
      <c r="E117" s="33">
        <f t="shared" ref="E117:I117" si="36">SUM(E113:E116)</f>
        <v>724</v>
      </c>
      <c r="F117" s="33">
        <f t="shared" si="36"/>
        <v>414</v>
      </c>
      <c r="G117" s="33">
        <f t="shared" si="36"/>
        <v>397</v>
      </c>
      <c r="H117" s="33">
        <f t="shared" si="36"/>
        <v>610</v>
      </c>
      <c r="I117" s="33">
        <f t="shared" si="36"/>
        <v>404</v>
      </c>
      <c r="J117" s="55">
        <f t="shared" si="35"/>
        <v>2788</v>
      </c>
    </row>
    <row r="118" spans="1:10" s="2" customFormat="1" ht="15.6" x14ac:dyDescent="0.3">
      <c r="A118" s="206" t="s">
        <v>191</v>
      </c>
      <c r="B118" s="207"/>
      <c r="C118" s="11" t="s">
        <v>3</v>
      </c>
      <c r="D118" s="33">
        <f>D117+D111</f>
        <v>774</v>
      </c>
      <c r="E118" s="33">
        <f t="shared" ref="E118:J118" si="37">E117+E111</f>
        <v>2687</v>
      </c>
      <c r="F118" s="33">
        <f t="shared" si="37"/>
        <v>636</v>
      </c>
      <c r="G118" s="33">
        <f t="shared" si="37"/>
        <v>1826</v>
      </c>
      <c r="H118" s="33">
        <f t="shared" si="37"/>
        <v>1743</v>
      </c>
      <c r="I118" s="33">
        <f t="shared" si="37"/>
        <v>1094</v>
      </c>
      <c r="J118" s="55">
        <f t="shared" si="37"/>
        <v>8760</v>
      </c>
    </row>
    <row r="119" spans="1:10" ht="15.6" x14ac:dyDescent="0.3">
      <c r="A119" s="593" t="s">
        <v>192</v>
      </c>
      <c r="B119" s="594"/>
      <c r="C119" s="11" t="s">
        <v>3</v>
      </c>
      <c r="D119" s="33">
        <f>D118+D105</f>
        <v>1054</v>
      </c>
      <c r="E119" s="33">
        <f t="shared" ref="E119:J119" si="38">E118+E105</f>
        <v>3562</v>
      </c>
      <c r="F119" s="33">
        <f t="shared" si="38"/>
        <v>636</v>
      </c>
      <c r="G119" s="33">
        <f t="shared" si="38"/>
        <v>2533</v>
      </c>
      <c r="H119" s="33">
        <f t="shared" si="38"/>
        <v>2306</v>
      </c>
      <c r="I119" s="33">
        <f t="shared" si="38"/>
        <v>1769</v>
      </c>
      <c r="J119" s="55">
        <f t="shared" si="38"/>
        <v>11860</v>
      </c>
    </row>
    <row r="120" spans="1:10" x14ac:dyDescent="0.3">
      <c r="A120" s="595" t="s">
        <v>201</v>
      </c>
      <c r="B120" s="596"/>
      <c r="C120" s="596"/>
      <c r="D120" s="596"/>
      <c r="E120" s="596"/>
      <c r="F120" s="596"/>
      <c r="G120" s="596"/>
      <c r="H120" s="596"/>
      <c r="I120" s="596"/>
      <c r="J120" s="597"/>
    </row>
    <row r="121" spans="1:10" ht="15.6" x14ac:dyDescent="0.3">
      <c r="A121" s="591" t="s">
        <v>93</v>
      </c>
      <c r="B121" s="592"/>
      <c r="C121" s="5" t="s">
        <v>3</v>
      </c>
      <c r="D121" s="26">
        <f>Bangula!O121</f>
        <v>11637.416217643484</v>
      </c>
      <c r="E121" s="26">
        <f>Chikwawa!O121</f>
        <v>22620.73570744893</v>
      </c>
      <c r="F121" s="26">
        <f>'Miseu Folo'!O121</f>
        <v>7278.7366724474623</v>
      </c>
      <c r="G121" s="26">
        <f>Nchalo!O121</f>
        <v>21455.403396612845</v>
      </c>
      <c r="H121" s="26">
        <f>Nsanje!O121</f>
        <v>26230.544608932891</v>
      </c>
      <c r="I121" s="26">
        <f>Ngabu!O121</f>
        <v>18732.205786027465</v>
      </c>
      <c r="J121" s="31">
        <f>SUM(D121:I121)</f>
        <v>107955.04238911308</v>
      </c>
    </row>
    <row r="122" spans="1:10" ht="15.6" x14ac:dyDescent="0.3">
      <c r="A122" s="591" t="s">
        <v>92</v>
      </c>
      <c r="B122" s="592"/>
      <c r="C122" s="5" t="s">
        <v>3</v>
      </c>
      <c r="D122" s="26">
        <f>Bangula!O122</f>
        <v>7248</v>
      </c>
      <c r="E122" s="26">
        <f>Chikwawa!O122</f>
        <v>17253</v>
      </c>
      <c r="F122" s="26">
        <f>'Miseu Folo'!O122</f>
        <v>5427</v>
      </c>
      <c r="G122" s="26">
        <f>Nchalo!O122</f>
        <v>16629</v>
      </c>
      <c r="H122" s="26">
        <f>Nsanje!O122</f>
        <v>18350</v>
      </c>
      <c r="I122" s="26">
        <f>Ngabu!O122</f>
        <v>11783</v>
      </c>
      <c r="J122" s="31">
        <f>SUM(D122:I122)</f>
        <v>76690</v>
      </c>
    </row>
    <row r="123" spans="1:10" ht="15.6" x14ac:dyDescent="0.3">
      <c r="A123" s="647" t="s">
        <v>91</v>
      </c>
      <c r="B123" s="648"/>
      <c r="C123" s="30" t="s">
        <v>6</v>
      </c>
      <c r="D123" s="29">
        <f t="shared" ref="D123:J123" si="39">D122/D121</f>
        <v>0.62281866218820192</v>
      </c>
      <c r="E123" s="29">
        <f t="shared" si="39"/>
        <v>0.76270728870761917</v>
      </c>
      <c r="F123" s="29">
        <f t="shared" si="39"/>
        <v>0.74559641929939213</v>
      </c>
      <c r="G123" s="29">
        <f t="shared" si="39"/>
        <v>0.77504951515501286</v>
      </c>
      <c r="H123" s="29">
        <f t="shared" si="39"/>
        <v>0.69956610789357576</v>
      </c>
      <c r="I123" s="29">
        <f t="shared" si="39"/>
        <v>0.62902362565272774</v>
      </c>
      <c r="J123" s="109">
        <f t="shared" si="39"/>
        <v>0.71038830889972349</v>
      </c>
    </row>
    <row r="124" spans="1:10" x14ac:dyDescent="0.3">
      <c r="A124" s="649" t="s">
        <v>90</v>
      </c>
      <c r="B124" s="650"/>
      <c r="C124" s="650"/>
      <c r="D124" s="650"/>
      <c r="E124" s="650"/>
      <c r="F124" s="650"/>
      <c r="G124" s="650"/>
      <c r="H124" s="650"/>
      <c r="I124" s="650"/>
      <c r="J124" s="651"/>
    </row>
    <row r="125" spans="1:10" ht="15.6" x14ac:dyDescent="0.3">
      <c r="A125" s="605" t="s">
        <v>227</v>
      </c>
      <c r="B125" s="24" t="s">
        <v>85</v>
      </c>
      <c r="C125" s="11" t="s">
        <v>3</v>
      </c>
      <c r="D125" s="34">
        <f>Bangula!M125</f>
        <v>0</v>
      </c>
      <c r="E125" s="34">
        <f>Chikwawa!M125</f>
        <v>0</v>
      </c>
      <c r="F125" s="34">
        <f>'Miseu Folo'!M125</f>
        <v>0</v>
      </c>
      <c r="G125" s="34">
        <f>Nchalo!M125</f>
        <v>0</v>
      </c>
      <c r="H125" s="34">
        <f>Nsanje!M125</f>
        <v>0</v>
      </c>
      <c r="I125" s="34">
        <f>Ngabu!M125</f>
        <v>1</v>
      </c>
      <c r="J125" s="74">
        <f>SUM(D125:I125)</f>
        <v>1</v>
      </c>
    </row>
    <row r="126" spans="1:10" ht="15.6" x14ac:dyDescent="0.3">
      <c r="A126" s="655"/>
      <c r="B126" s="24" t="s">
        <v>84</v>
      </c>
      <c r="C126" s="11" t="s">
        <v>3</v>
      </c>
      <c r="D126" s="26">
        <f>Bangula!M126+Bangula!N126+Bangula!O126</f>
        <v>0</v>
      </c>
      <c r="E126" s="26">
        <f>Chikwawa!M126+Chikwawa!N126+Chikwawa!O126</f>
        <v>0</v>
      </c>
      <c r="F126" s="26">
        <f>'Miseu Folo'!M126+'Miseu Folo'!N126+'Miseu Folo'!O126</f>
        <v>0</v>
      </c>
      <c r="G126" s="26">
        <f>Nchalo!M126+Nchalo!N126+Nchalo!O126</f>
        <v>0</v>
      </c>
      <c r="H126" s="26">
        <f>Nsanje!M126+Nsanje!N126+Nsanje!O126</f>
        <v>0</v>
      </c>
      <c r="I126" s="26">
        <f>Ngabu!M126+Ngabu!N126+Ngabu!O126</f>
        <v>0</v>
      </c>
      <c r="J126" s="74">
        <f>SUM(D126:I126)</f>
        <v>0</v>
      </c>
    </row>
    <row r="127" spans="1:10" ht="15.6" x14ac:dyDescent="0.3">
      <c r="A127" s="655"/>
      <c r="B127" s="82" t="s">
        <v>88</v>
      </c>
      <c r="C127" s="11" t="s">
        <v>3</v>
      </c>
      <c r="D127" s="26">
        <f>Bangula!M127+Bangula!N127+Bangula!O127</f>
        <v>0</v>
      </c>
      <c r="E127" s="26">
        <f>Chikwawa!M127+Chikwawa!N127+Chikwawa!O127</f>
        <v>0</v>
      </c>
      <c r="F127" s="26">
        <f>'Miseu Folo'!M127+'Miseu Folo'!N127+'Miseu Folo'!O127</f>
        <v>0</v>
      </c>
      <c r="G127" s="26">
        <f>Nchalo!M127+Nchalo!N127+Nchalo!O127</f>
        <v>0</v>
      </c>
      <c r="H127" s="26">
        <f>Nsanje!M127+Nsanje!N127+Nsanje!O127</f>
        <v>0</v>
      </c>
      <c r="I127" s="26">
        <f>Ngabu!M127+Ngabu!N127+Ngabu!O127</f>
        <v>0</v>
      </c>
      <c r="J127" s="74">
        <f>SUM(D127:I127)</f>
        <v>0</v>
      </c>
    </row>
    <row r="128" spans="1:10" ht="15.6" x14ac:dyDescent="0.3">
      <c r="A128" s="655"/>
      <c r="B128" s="24" t="s">
        <v>82</v>
      </c>
      <c r="C128" s="11" t="s">
        <v>3</v>
      </c>
      <c r="D128" s="26">
        <f>Bangula!M128+Bangula!N128+Bangula!O128</f>
        <v>0</v>
      </c>
      <c r="E128" s="26">
        <f>Chikwawa!M128+Chikwawa!N128+Chikwawa!O128</f>
        <v>0</v>
      </c>
      <c r="F128" s="26">
        <f>'Miseu Folo'!M128+'Miseu Folo'!N128+'Miseu Folo'!O128</f>
        <v>0</v>
      </c>
      <c r="G128" s="26">
        <f>Nchalo!M128+Nchalo!N128+Nchalo!O128</f>
        <v>0</v>
      </c>
      <c r="H128" s="26">
        <f>Nsanje!M128+Nsanje!N128+Nsanje!O128</f>
        <v>0</v>
      </c>
      <c r="I128" s="26">
        <f>Ngabu!M128+Ngabu!N128+Ngabu!O128</f>
        <v>0</v>
      </c>
      <c r="J128" s="74">
        <f>SUM(D128:I128)</f>
        <v>0</v>
      </c>
    </row>
    <row r="129" spans="1:10" ht="15.6" x14ac:dyDescent="0.3">
      <c r="A129" s="606"/>
      <c r="B129" s="24" t="s">
        <v>81</v>
      </c>
      <c r="C129" s="11" t="s">
        <v>3</v>
      </c>
      <c r="D129" s="140">
        <f t="shared" ref="D129:J129" si="40">D125+D126-D127-D128</f>
        <v>0</v>
      </c>
      <c r="E129" s="141">
        <f t="shared" si="40"/>
        <v>0</v>
      </c>
      <c r="F129" s="141">
        <f t="shared" si="40"/>
        <v>0</v>
      </c>
      <c r="G129" s="140">
        <f t="shared" si="40"/>
        <v>0</v>
      </c>
      <c r="H129" s="140">
        <f t="shared" si="40"/>
        <v>0</v>
      </c>
      <c r="I129" s="140">
        <f t="shared" si="40"/>
        <v>1</v>
      </c>
      <c r="J129" s="35">
        <f t="shared" si="40"/>
        <v>1</v>
      </c>
    </row>
    <row r="130" spans="1:10" ht="15.6" x14ac:dyDescent="0.3">
      <c r="A130" s="605" t="s">
        <v>228</v>
      </c>
      <c r="B130" s="28" t="s">
        <v>85</v>
      </c>
      <c r="C130" s="27" t="s">
        <v>3</v>
      </c>
      <c r="D130" s="34">
        <f>Bangula!M130</f>
        <v>0</v>
      </c>
      <c r="E130" s="34">
        <f>Chikwawa!M130</f>
        <v>0</v>
      </c>
      <c r="F130" s="34">
        <f>'Miseu Folo'!M130</f>
        <v>0</v>
      </c>
      <c r="G130" s="34">
        <f>Nchalo!M130</f>
        <v>1</v>
      </c>
      <c r="H130" s="34">
        <f>Nsanje!M130</f>
        <v>0</v>
      </c>
      <c r="I130" s="34">
        <f>Ngabu!M130</f>
        <v>0</v>
      </c>
      <c r="J130" s="74">
        <f>SUM(D130:I130)</f>
        <v>1</v>
      </c>
    </row>
    <row r="131" spans="1:10" ht="15.6" x14ac:dyDescent="0.3">
      <c r="A131" s="655"/>
      <c r="B131" s="24" t="s">
        <v>84</v>
      </c>
      <c r="C131" s="11" t="s">
        <v>3</v>
      </c>
      <c r="D131" s="26">
        <f>Bangula!M131+Bangula!N131+Bangula!O131</f>
        <v>0</v>
      </c>
      <c r="E131" s="26">
        <f>Chikwawa!M131+Chikwawa!N131+Chikwawa!O131</f>
        <v>0</v>
      </c>
      <c r="F131" s="26">
        <f>'Miseu Folo'!M131+'Miseu Folo'!N131+'Miseu Folo'!O131</f>
        <v>0</v>
      </c>
      <c r="G131" s="26">
        <f>Nchalo!M131+Nchalo!N131+Nchalo!O131</f>
        <v>0</v>
      </c>
      <c r="H131" s="26">
        <f>Nsanje!M131+Nsanje!N131+Nsanje!O131</f>
        <v>0</v>
      </c>
      <c r="I131" s="26">
        <f>Ngabu!M131+Ngabu!N131+Ngabu!O131</f>
        <v>0</v>
      </c>
      <c r="J131" s="74">
        <f>SUM(D131:I131)</f>
        <v>0</v>
      </c>
    </row>
    <row r="132" spans="1:10" ht="15.6" x14ac:dyDescent="0.3">
      <c r="A132" s="655"/>
      <c r="B132" s="82" t="s">
        <v>88</v>
      </c>
      <c r="C132" s="11" t="s">
        <v>3</v>
      </c>
      <c r="D132" s="26">
        <f>Bangula!M132+Bangula!N132+Bangula!O132</f>
        <v>0</v>
      </c>
      <c r="E132" s="26">
        <f>Chikwawa!M132+Chikwawa!N132+Chikwawa!O132</f>
        <v>0</v>
      </c>
      <c r="F132" s="26">
        <f>'Miseu Folo'!M132+'Miseu Folo'!N132+'Miseu Folo'!O132</f>
        <v>0</v>
      </c>
      <c r="G132" s="26">
        <f>Nchalo!M132+Nchalo!N132+Nchalo!O132</f>
        <v>0</v>
      </c>
      <c r="H132" s="26">
        <f>Nsanje!M132+Nsanje!N132+Nsanje!O132</f>
        <v>0</v>
      </c>
      <c r="I132" s="26">
        <f>Ngabu!M132+Ngabu!N132+Ngabu!O132</f>
        <v>0</v>
      </c>
      <c r="J132" s="74">
        <f>SUM(D132:I132)</f>
        <v>0</v>
      </c>
    </row>
    <row r="133" spans="1:10" ht="15.6" x14ac:dyDescent="0.3">
      <c r="A133" s="655"/>
      <c r="B133" s="24" t="s">
        <v>82</v>
      </c>
      <c r="C133" s="11" t="s">
        <v>3</v>
      </c>
      <c r="D133" s="26">
        <f>Bangula!M133+Bangula!N133+Bangula!O133</f>
        <v>0</v>
      </c>
      <c r="E133" s="26">
        <f>Chikwawa!M133+Chikwawa!N133+Chikwawa!O133</f>
        <v>0</v>
      </c>
      <c r="F133" s="26">
        <f>'Miseu Folo'!M133+'Miseu Folo'!N133+'Miseu Folo'!O133</f>
        <v>0</v>
      </c>
      <c r="G133" s="26">
        <f>Nchalo!M133+Nchalo!N133+Nchalo!O133</f>
        <v>0</v>
      </c>
      <c r="H133" s="26">
        <f>Nsanje!M133+Nsanje!N133+Nsanje!O133</f>
        <v>0</v>
      </c>
      <c r="I133" s="26">
        <f>Ngabu!M133+Ngabu!N133+Ngabu!O133</f>
        <v>0</v>
      </c>
      <c r="J133" s="74">
        <f>SUM(D133:I133)</f>
        <v>0</v>
      </c>
    </row>
    <row r="134" spans="1:10" ht="15.6" x14ac:dyDescent="0.3">
      <c r="A134" s="606"/>
      <c r="B134" s="24" t="s">
        <v>81</v>
      </c>
      <c r="C134" s="11" t="s">
        <v>3</v>
      </c>
      <c r="D134" s="140">
        <f t="shared" ref="D134:J134" si="41">D130+D131-D132-D133</f>
        <v>0</v>
      </c>
      <c r="E134" s="141">
        <f t="shared" si="41"/>
        <v>0</v>
      </c>
      <c r="F134" s="141">
        <f t="shared" si="41"/>
        <v>0</v>
      </c>
      <c r="G134" s="140">
        <f t="shared" si="41"/>
        <v>1</v>
      </c>
      <c r="H134" s="140">
        <f t="shared" si="41"/>
        <v>0</v>
      </c>
      <c r="I134" s="140">
        <f t="shared" si="41"/>
        <v>0</v>
      </c>
      <c r="J134" s="35">
        <f t="shared" si="41"/>
        <v>1</v>
      </c>
    </row>
    <row r="135" spans="1:10" ht="15.6" x14ac:dyDescent="0.3">
      <c r="A135" s="605" t="s">
        <v>89</v>
      </c>
      <c r="B135" s="24" t="s">
        <v>85</v>
      </c>
      <c r="C135" s="11" t="s">
        <v>3</v>
      </c>
      <c r="D135" s="34">
        <f>Bangula!M135</f>
        <v>2</v>
      </c>
      <c r="E135" s="34">
        <f>Chikwawa!M135</f>
        <v>0</v>
      </c>
      <c r="F135" s="34">
        <f>'Miseu Folo'!M135</f>
        <v>0</v>
      </c>
      <c r="G135" s="34">
        <f>Nchalo!M135</f>
        <v>0</v>
      </c>
      <c r="H135" s="34">
        <f>Nsanje!M135</f>
        <v>0</v>
      </c>
      <c r="I135" s="34">
        <f>Ngabu!M135</f>
        <v>1</v>
      </c>
      <c r="J135" s="74">
        <f>SUM(D135:I135)</f>
        <v>3</v>
      </c>
    </row>
    <row r="136" spans="1:10" ht="15.6" x14ac:dyDescent="0.3">
      <c r="A136" s="655"/>
      <c r="B136" s="24" t="s">
        <v>84</v>
      </c>
      <c r="C136" s="11" t="s">
        <v>3</v>
      </c>
      <c r="D136" s="26">
        <f>Bangula!M136+Bangula!N136+Bangula!O136</f>
        <v>0</v>
      </c>
      <c r="E136" s="26">
        <f>Chikwawa!M136+Chikwawa!N136+Chikwawa!O136</f>
        <v>0</v>
      </c>
      <c r="F136" s="26">
        <f>'Miseu Folo'!M136+'Miseu Folo'!N136+'Miseu Folo'!O136</f>
        <v>0</v>
      </c>
      <c r="G136" s="26">
        <f>Nchalo!M136+Nchalo!N136+Nchalo!O136</f>
        <v>0</v>
      </c>
      <c r="H136" s="26">
        <f>Nsanje!M136+Nsanje!N136+Nsanje!O136</f>
        <v>1</v>
      </c>
      <c r="I136" s="26">
        <f>Ngabu!M136+Ngabu!N136+Ngabu!O136</f>
        <v>0</v>
      </c>
      <c r="J136" s="74">
        <f>SUM(D136:I136)</f>
        <v>1</v>
      </c>
    </row>
    <row r="137" spans="1:10" ht="15.6" x14ac:dyDescent="0.3">
      <c r="A137" s="655"/>
      <c r="B137" s="82" t="s">
        <v>88</v>
      </c>
      <c r="C137" s="11" t="s">
        <v>3</v>
      </c>
      <c r="D137" s="26">
        <f>Bangula!M137+Bangula!N137+Bangula!O137</f>
        <v>0</v>
      </c>
      <c r="E137" s="26">
        <f>Chikwawa!M137+Chikwawa!N137+Chikwawa!O137</f>
        <v>0</v>
      </c>
      <c r="F137" s="26">
        <f>'Miseu Folo'!M137+'Miseu Folo'!N137+'Miseu Folo'!O137</f>
        <v>0</v>
      </c>
      <c r="G137" s="26">
        <f>Nchalo!M137+Nchalo!N137+Nchalo!O137</f>
        <v>0</v>
      </c>
      <c r="H137" s="26">
        <f>Nsanje!M137+Nsanje!N137+Nsanje!O137</f>
        <v>0</v>
      </c>
      <c r="I137" s="26">
        <f>Ngabu!M137+Ngabu!N137+Ngabu!O137</f>
        <v>0</v>
      </c>
      <c r="J137" s="74">
        <f>SUM(D137:I137)</f>
        <v>0</v>
      </c>
    </row>
    <row r="138" spans="1:10" ht="15.6" x14ac:dyDescent="0.3">
      <c r="A138" s="655"/>
      <c r="B138" s="24" t="s">
        <v>82</v>
      </c>
      <c r="C138" s="11" t="s">
        <v>3</v>
      </c>
      <c r="D138" s="26">
        <f>Bangula!M138+Bangula!N138+Bangula!O138</f>
        <v>0</v>
      </c>
      <c r="E138" s="26">
        <f>Chikwawa!M138+Chikwawa!N138+Chikwawa!O138</f>
        <v>0</v>
      </c>
      <c r="F138" s="26">
        <f>'Miseu Folo'!M138+'Miseu Folo'!N138+'Miseu Folo'!O138</f>
        <v>0</v>
      </c>
      <c r="G138" s="26">
        <f>Nchalo!M138+Nchalo!N138+Nchalo!O138</f>
        <v>0</v>
      </c>
      <c r="H138" s="26">
        <f>Nsanje!M138+Nsanje!N138+Nsanje!O138</f>
        <v>0</v>
      </c>
      <c r="I138" s="26">
        <f>Ngabu!M138+Ngabu!N138+Ngabu!O138</f>
        <v>0</v>
      </c>
      <c r="J138" s="74">
        <f>SUM(D138:I138)</f>
        <v>0</v>
      </c>
    </row>
    <row r="139" spans="1:10" ht="15.6" x14ac:dyDescent="0.3">
      <c r="A139" s="606"/>
      <c r="B139" s="24" t="s">
        <v>81</v>
      </c>
      <c r="C139" s="11" t="s">
        <v>3</v>
      </c>
      <c r="D139" s="140">
        <f t="shared" ref="D139:J139" si="42">D135+D136-D137-D138</f>
        <v>2</v>
      </c>
      <c r="E139" s="141">
        <f t="shared" si="42"/>
        <v>0</v>
      </c>
      <c r="F139" s="141">
        <f t="shared" si="42"/>
        <v>0</v>
      </c>
      <c r="G139" s="140">
        <f t="shared" si="42"/>
        <v>0</v>
      </c>
      <c r="H139" s="140">
        <f t="shared" si="42"/>
        <v>1</v>
      </c>
      <c r="I139" s="140">
        <f t="shared" si="42"/>
        <v>1</v>
      </c>
      <c r="J139" s="35">
        <f t="shared" si="42"/>
        <v>4</v>
      </c>
    </row>
    <row r="140" spans="1:10" ht="15.6" x14ac:dyDescent="0.3">
      <c r="A140" s="605" t="s">
        <v>87</v>
      </c>
      <c r="B140" s="24" t="s">
        <v>85</v>
      </c>
      <c r="C140" s="11" t="s">
        <v>3</v>
      </c>
      <c r="D140" s="34">
        <f>Bangula!M140</f>
        <v>58</v>
      </c>
      <c r="E140" s="34">
        <f>Chikwawa!M140</f>
        <v>332</v>
      </c>
      <c r="F140" s="34">
        <f>'Miseu Folo'!M140</f>
        <v>3</v>
      </c>
      <c r="G140" s="34">
        <f>Nchalo!M140</f>
        <v>508</v>
      </c>
      <c r="H140" s="34">
        <f>Nsanje!M140</f>
        <v>96</v>
      </c>
      <c r="I140" s="34">
        <f>Ngabu!M140</f>
        <v>96</v>
      </c>
      <c r="J140" s="74">
        <f>SUM(D140:I140)</f>
        <v>1093</v>
      </c>
    </row>
    <row r="141" spans="1:10" ht="15.6" x14ac:dyDescent="0.3">
      <c r="A141" s="655"/>
      <c r="B141" s="24" t="s">
        <v>84</v>
      </c>
      <c r="C141" s="11" t="s">
        <v>3</v>
      </c>
      <c r="D141" s="26">
        <f>Bangula!M141+Bangula!N141+Bangula!O141</f>
        <v>10</v>
      </c>
      <c r="E141" s="26">
        <f>Chikwawa!M141+Chikwawa!N141+Chikwawa!O141</f>
        <v>49</v>
      </c>
      <c r="F141" s="26">
        <f>'Miseu Folo'!M141+'Miseu Folo'!N141+'Miseu Folo'!O141</f>
        <v>6</v>
      </c>
      <c r="G141" s="26">
        <f>Nchalo!M141+Nchalo!N141+Nchalo!O141</f>
        <v>14</v>
      </c>
      <c r="H141" s="26">
        <f>Nsanje!M141+Nsanje!N141+Nsanje!O141</f>
        <v>21</v>
      </c>
      <c r="I141" s="26">
        <f>Ngabu!M141+Ngabu!N141+Ngabu!O141</f>
        <v>66</v>
      </c>
      <c r="J141" s="74">
        <f>SUM(D141:I141)</f>
        <v>166</v>
      </c>
    </row>
    <row r="142" spans="1:10" ht="15.6" x14ac:dyDescent="0.3">
      <c r="A142" s="655"/>
      <c r="B142" s="24" t="s">
        <v>83</v>
      </c>
      <c r="C142" s="11" t="s">
        <v>3</v>
      </c>
      <c r="D142" s="26">
        <f>Bangula!M142+Bangula!N142+Bangula!O142</f>
        <v>13</v>
      </c>
      <c r="E142" s="26">
        <f>Chikwawa!M142+Chikwawa!N142+Chikwawa!O142</f>
        <v>24</v>
      </c>
      <c r="F142" s="26">
        <f>'Miseu Folo'!M142+'Miseu Folo'!N142+'Miseu Folo'!O142</f>
        <v>0</v>
      </c>
      <c r="G142" s="26">
        <f>Nchalo!M142+Nchalo!N142+Nchalo!O142</f>
        <v>15</v>
      </c>
      <c r="H142" s="26">
        <f>Nsanje!M142+Nsanje!N142+Nsanje!O142</f>
        <v>10</v>
      </c>
      <c r="I142" s="26">
        <f>Ngabu!M142+Ngabu!N142+Ngabu!O142</f>
        <v>0</v>
      </c>
      <c r="J142" s="74">
        <f>SUM(D142:I142)</f>
        <v>62</v>
      </c>
    </row>
    <row r="143" spans="1:10" ht="15.6" x14ac:dyDescent="0.3">
      <c r="A143" s="655"/>
      <c r="B143" s="24" t="s">
        <v>82</v>
      </c>
      <c r="C143" s="11" t="s">
        <v>3</v>
      </c>
      <c r="D143" s="26">
        <f>Bangula!M143+Bangula!N143+Bangula!O143</f>
        <v>46</v>
      </c>
      <c r="E143" s="26">
        <f>Chikwawa!M143+Chikwawa!N143+Chikwawa!O143</f>
        <v>83</v>
      </c>
      <c r="F143" s="26">
        <f>'Miseu Folo'!M143+'Miseu Folo'!N143+'Miseu Folo'!O143</f>
        <v>2</v>
      </c>
      <c r="G143" s="26">
        <f>Nchalo!M143+Nchalo!N143+Nchalo!O143</f>
        <v>308</v>
      </c>
      <c r="H143" s="26">
        <f>Nsanje!M143+Nsanje!N143+Nsanje!O143</f>
        <v>91</v>
      </c>
      <c r="I143" s="26">
        <f>Ngabu!M143+Ngabu!N143+Ngabu!O143</f>
        <v>100</v>
      </c>
      <c r="J143" s="74">
        <f>SUM(D143:I143)</f>
        <v>630</v>
      </c>
    </row>
    <row r="144" spans="1:10" ht="15.6" x14ac:dyDescent="0.3">
      <c r="A144" s="606"/>
      <c r="B144" s="24" t="s">
        <v>81</v>
      </c>
      <c r="C144" s="11" t="s">
        <v>3</v>
      </c>
      <c r="D144" s="140">
        <f t="shared" ref="D144:J144" si="43">D140+D141-D142-D143</f>
        <v>9</v>
      </c>
      <c r="E144" s="140">
        <f t="shared" si="43"/>
        <v>274</v>
      </c>
      <c r="F144" s="140">
        <f t="shared" si="43"/>
        <v>7</v>
      </c>
      <c r="G144" s="140">
        <f t="shared" si="43"/>
        <v>199</v>
      </c>
      <c r="H144" s="140">
        <f t="shared" si="43"/>
        <v>16</v>
      </c>
      <c r="I144" s="140">
        <f t="shared" si="43"/>
        <v>62</v>
      </c>
      <c r="J144" s="35">
        <f t="shared" si="43"/>
        <v>567</v>
      </c>
    </row>
    <row r="145" spans="1:10" s="2" customFormat="1" ht="15.6" x14ac:dyDescent="0.3">
      <c r="A145" s="605" t="s">
        <v>86</v>
      </c>
      <c r="B145" s="24" t="s">
        <v>85</v>
      </c>
      <c r="C145" s="11" t="s">
        <v>3</v>
      </c>
      <c r="D145" s="139">
        <f t="shared" ref="D145:J149" si="44">D125+D130+D135+D140</f>
        <v>60</v>
      </c>
      <c r="E145" s="139">
        <f t="shared" si="44"/>
        <v>332</v>
      </c>
      <c r="F145" s="139">
        <f t="shared" si="44"/>
        <v>3</v>
      </c>
      <c r="G145" s="139">
        <f t="shared" si="44"/>
        <v>509</v>
      </c>
      <c r="H145" s="139">
        <f t="shared" si="44"/>
        <v>96</v>
      </c>
      <c r="I145" s="139">
        <f t="shared" si="44"/>
        <v>98</v>
      </c>
      <c r="J145" s="110">
        <f t="shared" si="44"/>
        <v>1098</v>
      </c>
    </row>
    <row r="146" spans="1:10" ht="15.6" x14ac:dyDescent="0.3">
      <c r="A146" s="655"/>
      <c r="B146" s="24" t="s">
        <v>84</v>
      </c>
      <c r="C146" s="11" t="s">
        <v>3</v>
      </c>
      <c r="D146" s="139">
        <f t="shared" si="44"/>
        <v>10</v>
      </c>
      <c r="E146" s="139">
        <f t="shared" si="44"/>
        <v>49</v>
      </c>
      <c r="F146" s="139">
        <f t="shared" si="44"/>
        <v>6</v>
      </c>
      <c r="G146" s="139">
        <f t="shared" si="44"/>
        <v>14</v>
      </c>
      <c r="H146" s="139">
        <f t="shared" si="44"/>
        <v>22</v>
      </c>
      <c r="I146" s="139">
        <f t="shared" si="44"/>
        <v>66</v>
      </c>
      <c r="J146" s="110">
        <f t="shared" si="44"/>
        <v>167</v>
      </c>
    </row>
    <row r="147" spans="1:10" ht="15.6" x14ac:dyDescent="0.3">
      <c r="A147" s="655"/>
      <c r="B147" s="24" t="s">
        <v>83</v>
      </c>
      <c r="C147" s="11" t="s">
        <v>3</v>
      </c>
      <c r="D147" s="139">
        <f t="shared" si="44"/>
        <v>13</v>
      </c>
      <c r="E147" s="139">
        <f t="shared" si="44"/>
        <v>24</v>
      </c>
      <c r="F147" s="139">
        <f t="shared" si="44"/>
        <v>0</v>
      </c>
      <c r="G147" s="139">
        <f t="shared" si="44"/>
        <v>15</v>
      </c>
      <c r="H147" s="139">
        <f t="shared" si="44"/>
        <v>10</v>
      </c>
      <c r="I147" s="139">
        <f t="shared" si="44"/>
        <v>0</v>
      </c>
      <c r="J147" s="110">
        <f t="shared" si="44"/>
        <v>62</v>
      </c>
    </row>
    <row r="148" spans="1:10" ht="15.6" x14ac:dyDescent="0.3">
      <c r="A148" s="655"/>
      <c r="B148" s="24" t="s">
        <v>82</v>
      </c>
      <c r="C148" s="11" t="s">
        <v>3</v>
      </c>
      <c r="D148" s="139">
        <f t="shared" si="44"/>
        <v>46</v>
      </c>
      <c r="E148" s="139">
        <f t="shared" si="44"/>
        <v>83</v>
      </c>
      <c r="F148" s="139">
        <f t="shared" si="44"/>
        <v>2</v>
      </c>
      <c r="G148" s="139">
        <f t="shared" si="44"/>
        <v>308</v>
      </c>
      <c r="H148" s="139">
        <f t="shared" si="44"/>
        <v>91</v>
      </c>
      <c r="I148" s="139">
        <f t="shared" si="44"/>
        <v>100</v>
      </c>
      <c r="J148" s="110">
        <f t="shared" si="44"/>
        <v>630</v>
      </c>
    </row>
    <row r="149" spans="1:10" ht="15.6" x14ac:dyDescent="0.3">
      <c r="A149" s="606"/>
      <c r="B149" s="24" t="s">
        <v>81</v>
      </c>
      <c r="C149" s="11" t="s">
        <v>3</v>
      </c>
      <c r="D149" s="140">
        <f t="shared" ref="D149:I149" si="45">D145+D146-D147-D148</f>
        <v>11</v>
      </c>
      <c r="E149" s="141">
        <f t="shared" si="45"/>
        <v>274</v>
      </c>
      <c r="F149" s="141">
        <f t="shared" si="45"/>
        <v>7</v>
      </c>
      <c r="G149" s="140">
        <f t="shared" si="45"/>
        <v>200</v>
      </c>
      <c r="H149" s="140">
        <f t="shared" si="45"/>
        <v>17</v>
      </c>
      <c r="I149" s="140">
        <f t="shared" si="45"/>
        <v>64</v>
      </c>
      <c r="J149" s="110">
        <f t="shared" si="44"/>
        <v>573</v>
      </c>
    </row>
    <row r="150" spans="1:10" x14ac:dyDescent="0.3">
      <c r="A150" s="595" t="s">
        <v>80</v>
      </c>
      <c r="B150" s="596"/>
      <c r="C150" s="596"/>
      <c r="D150" s="596"/>
      <c r="E150" s="596"/>
      <c r="F150" s="596"/>
      <c r="G150" s="596"/>
      <c r="H150" s="596"/>
      <c r="I150" s="596"/>
      <c r="J150" s="597"/>
    </row>
    <row r="151" spans="1:10" ht="15.6" customHeight="1" x14ac:dyDescent="0.3">
      <c r="A151" s="682" t="s">
        <v>79</v>
      </c>
      <c r="B151" s="683"/>
      <c r="C151" s="683"/>
      <c r="D151" s="683"/>
      <c r="E151" s="683"/>
      <c r="F151" s="683"/>
      <c r="G151" s="683"/>
      <c r="H151" s="683"/>
      <c r="I151" s="683"/>
      <c r="J151" s="684"/>
    </row>
    <row r="152" spans="1:10" ht="15.6" x14ac:dyDescent="0.3">
      <c r="A152" s="652" t="s">
        <v>78</v>
      </c>
      <c r="B152" s="92" t="s">
        <v>63</v>
      </c>
      <c r="C152" s="11"/>
      <c r="D152" s="15"/>
      <c r="E152" s="15"/>
      <c r="F152" s="15"/>
      <c r="G152" s="15"/>
      <c r="H152" s="15"/>
      <c r="I152" s="15"/>
      <c r="J152" s="9"/>
    </row>
    <row r="153" spans="1:10" ht="15.6" x14ac:dyDescent="0.3">
      <c r="A153" s="653"/>
      <c r="B153" s="19" t="s">
        <v>73</v>
      </c>
      <c r="C153" s="11" t="s">
        <v>57</v>
      </c>
      <c r="D153" s="26">
        <f>Bangula!M153+Bangula!N153+Bangula!O153</f>
        <v>46</v>
      </c>
      <c r="E153" s="26">
        <f>Chikwawa!M153+Chikwawa!N153+Chikwawa!O153</f>
        <v>212</v>
      </c>
      <c r="F153" s="26">
        <f>'Miseu Folo'!M153+'Miseu Folo'!N153+'Miseu Folo'!O153</f>
        <v>17</v>
      </c>
      <c r="G153" s="26">
        <f>Nchalo!M153+Nchalo!N153+Nchalo!O153</f>
        <v>106</v>
      </c>
      <c r="H153" s="26">
        <f>Nsanje!M153+Nsanje!N153+Nsanje!O153</f>
        <v>229</v>
      </c>
      <c r="I153" s="26">
        <f>Ngabu!M153+Ngabu!N153+Ngabu!O153</f>
        <v>53</v>
      </c>
      <c r="J153" s="18">
        <f t="shared" ref="J153:J165" si="46">SUM(D153:I153)</f>
        <v>663</v>
      </c>
    </row>
    <row r="154" spans="1:10" ht="15.6" x14ac:dyDescent="0.3">
      <c r="A154" s="653"/>
      <c r="B154" s="19" t="s">
        <v>72</v>
      </c>
      <c r="C154" s="11" t="s">
        <v>57</v>
      </c>
      <c r="D154" s="26">
        <f>Bangula!M154+Bangula!N154+Bangula!O154</f>
        <v>12</v>
      </c>
      <c r="E154" s="26">
        <f>Chikwawa!M154+Chikwawa!N154+Chikwawa!O154</f>
        <v>62</v>
      </c>
      <c r="F154" s="26">
        <f>'Miseu Folo'!M154+'Miseu Folo'!N154+'Miseu Folo'!O154</f>
        <v>14</v>
      </c>
      <c r="G154" s="26">
        <f>Nchalo!M154+Nchalo!N154+Nchalo!O154</f>
        <v>94</v>
      </c>
      <c r="H154" s="26">
        <f>Nsanje!M154+Nsanje!N154+Nsanje!O154</f>
        <v>98</v>
      </c>
      <c r="I154" s="26">
        <f>Ngabu!M154+Ngabu!N154+Ngabu!O154</f>
        <v>21</v>
      </c>
      <c r="J154" s="18">
        <f t="shared" si="46"/>
        <v>301</v>
      </c>
    </row>
    <row r="155" spans="1:10" ht="15.6" x14ac:dyDescent="0.3">
      <c r="A155" s="653"/>
      <c r="B155" s="19" t="s">
        <v>53</v>
      </c>
      <c r="C155" s="11" t="s">
        <v>57</v>
      </c>
      <c r="D155" s="26">
        <f>Bangula!M155+Bangula!N155+Bangula!O155</f>
        <v>7</v>
      </c>
      <c r="E155" s="26">
        <f>Chikwawa!M155+Chikwawa!N155+Chikwawa!O155</f>
        <v>8</v>
      </c>
      <c r="F155" s="26">
        <f>'Miseu Folo'!M155+'Miseu Folo'!N155+'Miseu Folo'!O155</f>
        <v>8</v>
      </c>
      <c r="G155" s="26">
        <f>Nchalo!M155+Nchalo!N155+Nchalo!O155</f>
        <v>54</v>
      </c>
      <c r="H155" s="26">
        <f>Nsanje!M155+Nsanje!N155+Nsanje!O155</f>
        <v>64</v>
      </c>
      <c r="I155" s="26">
        <f>Ngabu!M155+Ngabu!N155+Ngabu!O155</f>
        <v>11</v>
      </c>
      <c r="J155" s="18">
        <f t="shared" si="46"/>
        <v>152</v>
      </c>
    </row>
    <row r="156" spans="1:10" ht="15.6" x14ac:dyDescent="0.3">
      <c r="A156" s="653"/>
      <c r="B156" s="19" t="s">
        <v>71</v>
      </c>
      <c r="C156" s="11" t="s">
        <v>57</v>
      </c>
      <c r="D156" s="26">
        <f>Bangula!M156+Bangula!N156+Bangula!O156</f>
        <v>8</v>
      </c>
      <c r="E156" s="26">
        <f>Chikwawa!M156+Chikwawa!N156+Chikwawa!O156</f>
        <v>7</v>
      </c>
      <c r="F156" s="26">
        <f>'Miseu Folo'!M156+'Miseu Folo'!N156+'Miseu Folo'!O156</f>
        <v>8</v>
      </c>
      <c r="G156" s="26">
        <f>Nchalo!M156+Nchalo!N156+Nchalo!O156</f>
        <v>41</v>
      </c>
      <c r="H156" s="26">
        <f>Nsanje!M156+Nsanje!N156+Nsanje!O156</f>
        <v>32</v>
      </c>
      <c r="I156" s="26">
        <f>Ngabu!M156+Ngabu!N156+Ngabu!O156</f>
        <v>1</v>
      </c>
      <c r="J156" s="18">
        <f t="shared" si="46"/>
        <v>97</v>
      </c>
    </row>
    <row r="157" spans="1:10" ht="15.6" x14ac:dyDescent="0.3">
      <c r="A157" s="653"/>
      <c r="B157" s="19" t="s">
        <v>52</v>
      </c>
      <c r="C157" s="11" t="s">
        <v>57</v>
      </c>
      <c r="D157" s="26">
        <f>Bangula!M157+Bangula!N157+Bangula!O157</f>
        <v>1</v>
      </c>
      <c r="E157" s="26">
        <f>Chikwawa!M157+Chikwawa!N157+Chikwawa!O157</f>
        <v>5</v>
      </c>
      <c r="F157" s="26">
        <f>'Miseu Folo'!M157+'Miseu Folo'!N157+'Miseu Folo'!O157</f>
        <v>9</v>
      </c>
      <c r="G157" s="26">
        <f>Nchalo!M157+Nchalo!N157+Nchalo!O157</f>
        <v>27</v>
      </c>
      <c r="H157" s="26">
        <f>Nsanje!M157+Nsanje!N157+Nsanje!O157</f>
        <v>23</v>
      </c>
      <c r="I157" s="26">
        <f>Ngabu!M157+Ngabu!N157+Ngabu!O157</f>
        <v>0</v>
      </c>
      <c r="J157" s="18">
        <f t="shared" si="46"/>
        <v>65</v>
      </c>
    </row>
    <row r="158" spans="1:10" ht="15.6" x14ac:dyDescent="0.3">
      <c r="A158" s="653"/>
      <c r="B158" s="19" t="s">
        <v>51</v>
      </c>
      <c r="C158" s="11" t="s">
        <v>57</v>
      </c>
      <c r="D158" s="26">
        <f>Bangula!M158+Bangula!N158+Bangula!O158</f>
        <v>1</v>
      </c>
      <c r="E158" s="26">
        <f>Chikwawa!M158+Chikwawa!N158+Chikwawa!O158</f>
        <v>3</v>
      </c>
      <c r="F158" s="26">
        <f>'Miseu Folo'!M158+'Miseu Folo'!N158+'Miseu Folo'!O158</f>
        <v>6</v>
      </c>
      <c r="G158" s="26">
        <f>Nchalo!M158+Nchalo!N158+Nchalo!O158</f>
        <v>29</v>
      </c>
      <c r="H158" s="26">
        <f>Nsanje!M158+Nsanje!N158+Nsanje!O158</f>
        <v>13</v>
      </c>
      <c r="I158" s="26">
        <f>Ngabu!M158+Ngabu!N158+Ngabu!O158</f>
        <v>4</v>
      </c>
      <c r="J158" s="18">
        <f t="shared" si="46"/>
        <v>56</v>
      </c>
    </row>
    <row r="159" spans="1:10" ht="15.6" x14ac:dyDescent="0.3">
      <c r="A159" s="653"/>
      <c r="B159" s="19" t="s">
        <v>62</v>
      </c>
      <c r="C159" s="11" t="s">
        <v>57</v>
      </c>
      <c r="D159" s="26">
        <f>Bangula!M159+Bangula!N159+Bangula!O159</f>
        <v>0</v>
      </c>
      <c r="E159" s="26">
        <f>Chikwawa!M159+Chikwawa!N159+Chikwawa!O159</f>
        <v>1</v>
      </c>
      <c r="F159" s="26">
        <f>'Miseu Folo'!M159+'Miseu Folo'!N159+'Miseu Folo'!O159</f>
        <v>0</v>
      </c>
      <c r="G159" s="26">
        <f>Nchalo!M159+Nchalo!N159+Nchalo!O159</f>
        <v>22</v>
      </c>
      <c r="H159" s="26">
        <f>Nsanje!M159+Nsanje!N159+Nsanje!O159</f>
        <v>10</v>
      </c>
      <c r="I159" s="26">
        <f>Ngabu!M159+Ngabu!N159+Ngabu!O159</f>
        <v>0</v>
      </c>
      <c r="J159" s="18">
        <f t="shared" si="46"/>
        <v>33</v>
      </c>
    </row>
    <row r="160" spans="1:10" ht="15.6" x14ac:dyDescent="0.3">
      <c r="A160" s="653"/>
      <c r="B160" s="19" t="s">
        <v>50</v>
      </c>
      <c r="C160" s="11" t="s">
        <v>57</v>
      </c>
      <c r="D160" s="26">
        <f>Bangula!M160+Bangula!N160+Bangula!O160</f>
        <v>0</v>
      </c>
      <c r="E160" s="26">
        <f>Chikwawa!M160+Chikwawa!N160+Chikwawa!O160</f>
        <v>0</v>
      </c>
      <c r="F160" s="26">
        <f>'Miseu Folo'!M160+'Miseu Folo'!N160+'Miseu Folo'!O160</f>
        <v>3</v>
      </c>
      <c r="G160" s="26">
        <f>Nchalo!M160+Nchalo!N160+Nchalo!O160</f>
        <v>0</v>
      </c>
      <c r="H160" s="26">
        <f>Nsanje!M160+Nsanje!N160+Nsanje!O160</f>
        <v>3</v>
      </c>
      <c r="I160" s="26">
        <f>Ngabu!M160+Ngabu!N160+Ngabu!O160</f>
        <v>0</v>
      </c>
      <c r="J160" s="18">
        <f t="shared" si="46"/>
        <v>6</v>
      </c>
    </row>
    <row r="161" spans="1:10" ht="15.6" x14ac:dyDescent="0.3">
      <c r="A161" s="653"/>
      <c r="B161" s="19" t="s">
        <v>49</v>
      </c>
      <c r="C161" s="11" t="s">
        <v>57</v>
      </c>
      <c r="D161" s="26">
        <f>Bangula!M161+Bangula!N161+Bangula!O161</f>
        <v>0</v>
      </c>
      <c r="E161" s="26">
        <f>Chikwawa!M161+Chikwawa!N161+Chikwawa!O161</f>
        <v>0</v>
      </c>
      <c r="F161" s="26">
        <f>'Miseu Folo'!M161+'Miseu Folo'!N161+'Miseu Folo'!O161</f>
        <v>6</v>
      </c>
      <c r="G161" s="26">
        <f>Nchalo!M161+Nchalo!N161+Nchalo!O161</f>
        <v>11</v>
      </c>
      <c r="H161" s="26">
        <f>Nsanje!M161+Nsanje!N161+Nsanje!O161</f>
        <v>3</v>
      </c>
      <c r="I161" s="26">
        <f>Ngabu!M161+Ngabu!N161+Ngabu!O161</f>
        <v>0</v>
      </c>
      <c r="J161" s="18">
        <f t="shared" si="46"/>
        <v>20</v>
      </c>
    </row>
    <row r="162" spans="1:10" ht="15.6" x14ac:dyDescent="0.3">
      <c r="A162" s="653"/>
      <c r="B162" s="19" t="s">
        <v>77</v>
      </c>
      <c r="C162" s="11" t="s">
        <v>57</v>
      </c>
      <c r="D162" s="26">
        <f>Bangula!M162+Bangula!N162+Bangula!O162</f>
        <v>0</v>
      </c>
      <c r="E162" s="26">
        <f>Chikwawa!M162+Chikwawa!N162+Chikwawa!O162</f>
        <v>1</v>
      </c>
      <c r="F162" s="26">
        <f>'Miseu Folo'!M162+'Miseu Folo'!N162+'Miseu Folo'!O162</f>
        <v>0</v>
      </c>
      <c r="G162" s="26">
        <f>Nchalo!M162+Nchalo!N162+Nchalo!O162</f>
        <v>12</v>
      </c>
      <c r="H162" s="26">
        <f>Nsanje!M162+Nsanje!N162+Nsanje!O162</f>
        <v>2</v>
      </c>
      <c r="I162" s="26">
        <f>Ngabu!M162+Ngabu!N162+Ngabu!O162</f>
        <v>0</v>
      </c>
      <c r="J162" s="18">
        <f t="shared" si="46"/>
        <v>15</v>
      </c>
    </row>
    <row r="163" spans="1:10" ht="15.6" x14ac:dyDescent="0.3">
      <c r="A163" s="653"/>
      <c r="B163" s="19" t="s">
        <v>69</v>
      </c>
      <c r="C163" s="11" t="s">
        <v>57</v>
      </c>
      <c r="D163" s="26">
        <f>Bangula!M163+Bangula!N163+Bangula!O163</f>
        <v>0</v>
      </c>
      <c r="E163" s="26">
        <f>Chikwawa!M163+Chikwawa!N163+Chikwawa!O163</f>
        <v>0</v>
      </c>
      <c r="F163" s="26">
        <f>'Miseu Folo'!M163+'Miseu Folo'!N163+'Miseu Folo'!O163</f>
        <v>0</v>
      </c>
      <c r="G163" s="26">
        <f>Nchalo!M163+Nchalo!N163+Nchalo!O163</f>
        <v>0</v>
      </c>
      <c r="H163" s="26">
        <f>Nsanje!M163+Nsanje!N163+Nsanje!O163</f>
        <v>0</v>
      </c>
      <c r="I163" s="26">
        <f>Ngabu!M163+Ngabu!N163+Ngabu!O163</f>
        <v>0</v>
      </c>
      <c r="J163" s="18">
        <f t="shared" si="46"/>
        <v>0</v>
      </c>
    </row>
    <row r="164" spans="1:10" ht="15.6" x14ac:dyDescent="0.3">
      <c r="A164" s="653"/>
      <c r="B164" s="19" t="s">
        <v>68</v>
      </c>
      <c r="C164" s="11" t="s">
        <v>57</v>
      </c>
      <c r="D164" s="26">
        <f>Bangula!M164+Bangula!N164+Bangula!O164</f>
        <v>0</v>
      </c>
      <c r="E164" s="26">
        <f>Chikwawa!M164+Chikwawa!N164+Chikwawa!O164</f>
        <v>0</v>
      </c>
      <c r="F164" s="26">
        <f>'Miseu Folo'!M164+'Miseu Folo'!N164+'Miseu Folo'!O164</f>
        <v>0</v>
      </c>
      <c r="G164" s="26">
        <f>Nchalo!M164+Nchalo!N164+Nchalo!O164</f>
        <v>0</v>
      </c>
      <c r="H164" s="26">
        <f>Nsanje!M164+Nsanje!N164+Nsanje!O164</f>
        <v>0</v>
      </c>
      <c r="I164" s="26">
        <f>Ngabu!M164+Ngabu!N164+Ngabu!O164</f>
        <v>0</v>
      </c>
      <c r="J164" s="18">
        <f t="shared" si="46"/>
        <v>0</v>
      </c>
    </row>
    <row r="165" spans="1:10" ht="15.6" x14ac:dyDescent="0.3">
      <c r="A165" s="654"/>
      <c r="B165" s="19" t="s">
        <v>76</v>
      </c>
      <c r="C165" s="11" t="s">
        <v>57</v>
      </c>
      <c r="D165" s="26">
        <f>Bangula!M165+Bangula!N165+Bangula!O165</f>
        <v>0</v>
      </c>
      <c r="E165" s="26">
        <f>Chikwawa!M165+Chikwawa!N165+Chikwawa!O165</f>
        <v>0</v>
      </c>
      <c r="F165" s="26">
        <f>'Miseu Folo'!M165+'Miseu Folo'!N165+'Miseu Folo'!O165</f>
        <v>0</v>
      </c>
      <c r="G165" s="26">
        <f>Nchalo!M165+Nchalo!N165+Nchalo!O165</f>
        <v>0</v>
      </c>
      <c r="H165" s="26">
        <f>Nsanje!M165+Nsanje!N165+Nsanje!O165</f>
        <v>0</v>
      </c>
      <c r="I165" s="26">
        <f>Ngabu!M165+Ngabu!N165+Ngabu!O165</f>
        <v>0</v>
      </c>
      <c r="J165" s="18">
        <f t="shared" si="46"/>
        <v>0</v>
      </c>
    </row>
    <row r="166" spans="1:10" ht="15.6" x14ac:dyDescent="0.3">
      <c r="A166" s="652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18"/>
    </row>
    <row r="167" spans="1:10" ht="15.6" x14ac:dyDescent="0.3">
      <c r="A167" s="653"/>
      <c r="B167" s="19" t="s">
        <v>74</v>
      </c>
      <c r="C167" s="11" t="s">
        <v>57</v>
      </c>
      <c r="D167" s="26">
        <f>Bangula!M167+Bangula!N167+Bangula!O167</f>
        <v>13</v>
      </c>
      <c r="E167" s="26">
        <f>Chikwawa!M167+Chikwawa!N167+Chikwawa!O167</f>
        <v>6</v>
      </c>
      <c r="F167" s="26">
        <f>'Miseu Folo'!M167+'Miseu Folo'!N167+'Miseu Folo'!O167</f>
        <v>9</v>
      </c>
      <c r="G167" s="26">
        <f>Nchalo!M167+Nchalo!N167+Nchalo!O167</f>
        <v>14</v>
      </c>
      <c r="H167" s="26">
        <f>Nsanje!M167+Nsanje!N167+Nsanje!O167</f>
        <v>28</v>
      </c>
      <c r="I167" s="26">
        <f>Ngabu!M167+Ngabu!N167+Ngabu!O167</f>
        <v>6</v>
      </c>
      <c r="J167" s="18">
        <f t="shared" ref="J167:J175" si="47">SUM(D167:I167)</f>
        <v>76</v>
      </c>
    </row>
    <row r="168" spans="1:10" ht="15.6" x14ac:dyDescent="0.3">
      <c r="A168" s="653"/>
      <c r="B168" s="19" t="s">
        <v>73</v>
      </c>
      <c r="C168" s="11" t="s">
        <v>57</v>
      </c>
      <c r="D168" s="26">
        <f>Bangula!M168+Bangula!N168+Bangula!O168</f>
        <v>2</v>
      </c>
      <c r="E168" s="26">
        <f>Chikwawa!M168+Chikwawa!N168+Chikwawa!O168</f>
        <v>0</v>
      </c>
      <c r="F168" s="26">
        <f>'Miseu Folo'!M168+'Miseu Folo'!N168+'Miseu Folo'!O168</f>
        <v>3</v>
      </c>
      <c r="G168" s="26">
        <f>Nchalo!M168+Nchalo!N168+Nchalo!O168</f>
        <v>15</v>
      </c>
      <c r="H168" s="26">
        <f>Nsanje!M168+Nsanje!N168+Nsanje!O168</f>
        <v>10</v>
      </c>
      <c r="I168" s="26">
        <f>Ngabu!M168+Ngabu!N168+Ngabu!O168</f>
        <v>0</v>
      </c>
      <c r="J168" s="18">
        <f t="shared" si="47"/>
        <v>30</v>
      </c>
    </row>
    <row r="169" spans="1:10" ht="15.6" x14ac:dyDescent="0.3">
      <c r="A169" s="653"/>
      <c r="B169" s="19" t="s">
        <v>72</v>
      </c>
      <c r="C169" s="11" t="s">
        <v>57</v>
      </c>
      <c r="D169" s="26">
        <f>Bangula!M169+Bangula!N169+Bangula!O169</f>
        <v>0</v>
      </c>
      <c r="E169" s="26">
        <f>Chikwawa!M169+Chikwawa!N169+Chikwawa!O169</f>
        <v>0</v>
      </c>
      <c r="F169" s="26">
        <f>'Miseu Folo'!M169+'Miseu Folo'!N169+'Miseu Folo'!O169</f>
        <v>0</v>
      </c>
      <c r="G169" s="26">
        <f>Nchalo!M169+Nchalo!N169+Nchalo!O169</f>
        <v>7</v>
      </c>
      <c r="H169" s="26">
        <f>Nsanje!M169+Nsanje!N169+Nsanje!O169</f>
        <v>0</v>
      </c>
      <c r="I169" s="26">
        <f>Ngabu!M169+Ngabu!N169+Ngabu!O169</f>
        <v>0</v>
      </c>
      <c r="J169" s="18">
        <f t="shared" si="47"/>
        <v>7</v>
      </c>
    </row>
    <row r="170" spans="1:10" ht="15.6" x14ac:dyDescent="0.3">
      <c r="A170" s="653"/>
      <c r="B170" s="19" t="s">
        <v>71</v>
      </c>
      <c r="C170" s="11" t="s">
        <v>57</v>
      </c>
      <c r="D170" s="26">
        <f>Bangula!M170+Bangula!N170+Bangula!O170</f>
        <v>0</v>
      </c>
      <c r="E170" s="26">
        <f>Chikwawa!M170+Chikwawa!N170+Chikwawa!O170</f>
        <v>0</v>
      </c>
      <c r="F170" s="26">
        <f>'Miseu Folo'!M170+'Miseu Folo'!N170+'Miseu Folo'!O170</f>
        <v>0</v>
      </c>
      <c r="G170" s="26">
        <f>Nchalo!M170+Nchalo!N170+Nchalo!O170</f>
        <v>7</v>
      </c>
      <c r="H170" s="26">
        <f>Nsanje!M170+Nsanje!N170+Nsanje!O170</f>
        <v>0</v>
      </c>
      <c r="I170" s="26">
        <f>Ngabu!M170+Ngabu!N170+Ngabu!O170</f>
        <v>0</v>
      </c>
      <c r="J170" s="18">
        <f t="shared" si="47"/>
        <v>7</v>
      </c>
    </row>
    <row r="171" spans="1:10" ht="15.6" x14ac:dyDescent="0.3">
      <c r="A171" s="653"/>
      <c r="B171" s="19" t="s">
        <v>52</v>
      </c>
      <c r="C171" s="11" t="s">
        <v>57</v>
      </c>
      <c r="D171" s="26">
        <f>Bangula!M171+Bangula!N171+Bangula!O171</f>
        <v>0</v>
      </c>
      <c r="E171" s="26">
        <f>Chikwawa!M171+Chikwawa!N171+Chikwawa!O171</f>
        <v>0</v>
      </c>
      <c r="F171" s="26">
        <f>'Miseu Folo'!M171+'Miseu Folo'!N171+'Miseu Folo'!O171</f>
        <v>0</v>
      </c>
      <c r="G171" s="26">
        <f>Nchalo!M171+Nchalo!N171+Nchalo!O171</f>
        <v>5</v>
      </c>
      <c r="H171" s="26">
        <f>Nsanje!M171+Nsanje!N171+Nsanje!O171</f>
        <v>0</v>
      </c>
      <c r="I171" s="26">
        <f>Ngabu!M171+Ngabu!N171+Ngabu!O171</f>
        <v>0</v>
      </c>
      <c r="J171" s="18">
        <f t="shared" si="47"/>
        <v>5</v>
      </c>
    </row>
    <row r="172" spans="1:10" ht="15.6" x14ac:dyDescent="0.3">
      <c r="A172" s="653"/>
      <c r="B172" s="19" t="s">
        <v>62</v>
      </c>
      <c r="C172" s="11" t="s">
        <v>57</v>
      </c>
      <c r="D172" s="26">
        <f>Bangula!M172+Bangula!N172+Bangula!O172</f>
        <v>0</v>
      </c>
      <c r="E172" s="26">
        <f>Chikwawa!M172+Chikwawa!N172+Chikwawa!O172</f>
        <v>0</v>
      </c>
      <c r="F172" s="26">
        <f>'Miseu Folo'!M172+'Miseu Folo'!N172+'Miseu Folo'!O172</f>
        <v>0</v>
      </c>
      <c r="G172" s="26">
        <f>Nchalo!M172+Nchalo!N172+Nchalo!O172</f>
        <v>7</v>
      </c>
      <c r="H172" s="26">
        <f>Nsanje!M172+Nsanje!N172+Nsanje!O172</f>
        <v>0</v>
      </c>
      <c r="I172" s="26">
        <f>Ngabu!M172+Ngabu!N172+Ngabu!O172</f>
        <v>0</v>
      </c>
      <c r="J172" s="18">
        <f t="shared" si="47"/>
        <v>7</v>
      </c>
    </row>
    <row r="173" spans="1:10" ht="15.6" x14ac:dyDescent="0.3">
      <c r="A173" s="653"/>
      <c r="B173" s="19" t="s">
        <v>61</v>
      </c>
      <c r="C173" s="11" t="s">
        <v>57</v>
      </c>
      <c r="D173" s="26">
        <f>Bangula!M173+Bangula!N173+Bangula!O173</f>
        <v>0</v>
      </c>
      <c r="E173" s="26">
        <f>Chikwawa!M173+Chikwawa!N173+Chikwawa!O173</f>
        <v>0</v>
      </c>
      <c r="F173" s="26">
        <f>'Miseu Folo'!M173+'Miseu Folo'!N173+'Miseu Folo'!O173</f>
        <v>0</v>
      </c>
      <c r="G173" s="26">
        <f>Nchalo!M173+Nchalo!N173+Nchalo!O173</f>
        <v>0</v>
      </c>
      <c r="H173" s="26">
        <f>Nsanje!M173+Nsanje!N173+Nsanje!O173</f>
        <v>0</v>
      </c>
      <c r="I173" s="26">
        <f>Ngabu!M173+Ngabu!N173+Ngabu!O173</f>
        <v>0</v>
      </c>
      <c r="J173" s="18">
        <f t="shared" si="47"/>
        <v>0</v>
      </c>
    </row>
    <row r="174" spans="1:10" ht="15.6" x14ac:dyDescent="0.3">
      <c r="A174" s="653"/>
      <c r="B174" s="19" t="s">
        <v>60</v>
      </c>
      <c r="C174" s="11" t="s">
        <v>57</v>
      </c>
      <c r="D174" s="26">
        <f>Bangula!M174+Bangula!N174+Bangula!O174</f>
        <v>0</v>
      </c>
      <c r="E174" s="26">
        <f>Chikwawa!M174+Chikwawa!N174+Chikwawa!O174</f>
        <v>0</v>
      </c>
      <c r="F174" s="26">
        <f>'Miseu Folo'!M174+'Miseu Folo'!N174+'Miseu Folo'!O174</f>
        <v>0</v>
      </c>
      <c r="G174" s="26">
        <f>Nchalo!M174+Nchalo!N174+Nchalo!O174</f>
        <v>0</v>
      </c>
      <c r="H174" s="26">
        <f>Nsanje!M174+Nsanje!N174+Nsanje!O174</f>
        <v>0</v>
      </c>
      <c r="I174" s="26">
        <f>Ngabu!M174+Ngabu!N174+Ngabu!O174</f>
        <v>0</v>
      </c>
      <c r="J174" s="18">
        <f t="shared" si="47"/>
        <v>0</v>
      </c>
    </row>
    <row r="175" spans="1:10" ht="15.6" x14ac:dyDescent="0.3">
      <c r="A175" s="654"/>
      <c r="B175" s="19" t="s">
        <v>69</v>
      </c>
      <c r="C175" s="11" t="s">
        <v>57</v>
      </c>
      <c r="D175" s="26">
        <f>Bangula!M175+Bangula!N175+Bangula!O175</f>
        <v>0</v>
      </c>
      <c r="E175" s="26">
        <f>Chikwawa!M175+Chikwawa!N175+Chikwawa!O175</f>
        <v>0</v>
      </c>
      <c r="F175" s="26">
        <f>'Miseu Folo'!M175+'Miseu Folo'!N175+'Miseu Folo'!O175</f>
        <v>0</v>
      </c>
      <c r="G175" s="26">
        <f>Nchalo!M175+Nchalo!N175+Nchalo!O175</f>
        <v>0</v>
      </c>
      <c r="H175" s="26">
        <f>Nsanje!M175+Nsanje!N175+Nsanje!O175</f>
        <v>0</v>
      </c>
      <c r="I175" s="26">
        <f>Ngabu!M175+Ngabu!N175+Ngabu!O175</f>
        <v>0</v>
      </c>
      <c r="J175" s="18">
        <f t="shared" si="47"/>
        <v>0</v>
      </c>
    </row>
    <row r="176" spans="1:10" ht="15.6" x14ac:dyDescent="0.3">
      <c r="A176" s="652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18"/>
    </row>
    <row r="177" spans="1:10" ht="15.6" x14ac:dyDescent="0.3">
      <c r="A177" s="653"/>
      <c r="B177" s="19" t="s">
        <v>60</v>
      </c>
      <c r="C177" s="11" t="s">
        <v>57</v>
      </c>
      <c r="D177" s="26">
        <f>Bangula!M177+Bangula!N177+Bangula!O177</f>
        <v>0</v>
      </c>
      <c r="E177" s="26">
        <f>Chikwawa!M177+Chikwawa!N177+Chikwawa!O177</f>
        <v>0</v>
      </c>
      <c r="F177" s="26">
        <f>'Miseu Folo'!M177+'Miseu Folo'!N177+'Miseu Folo'!O177</f>
        <v>0</v>
      </c>
      <c r="G177" s="26">
        <f>Nchalo!M177+Nchalo!N177+Nchalo!O177</f>
        <v>0</v>
      </c>
      <c r="H177" s="26">
        <f>Nsanje!M177+Nsanje!N177+Nsanje!O177</f>
        <v>0</v>
      </c>
      <c r="I177" s="26">
        <f>Ngabu!M177+Ngabu!N177+Ngabu!O177</f>
        <v>0</v>
      </c>
      <c r="J177" s="18">
        <f t="shared" ref="J177:J182" si="48">SUM(D177:I177)</f>
        <v>0</v>
      </c>
    </row>
    <row r="178" spans="1:10" ht="15.6" x14ac:dyDescent="0.3">
      <c r="A178" s="653"/>
      <c r="B178" s="19" t="s">
        <v>69</v>
      </c>
      <c r="C178" s="11" t="s">
        <v>57</v>
      </c>
      <c r="D178" s="26">
        <f>Bangula!M178+Bangula!N178+Bangula!O178</f>
        <v>0</v>
      </c>
      <c r="E178" s="26">
        <f>Chikwawa!M178+Chikwawa!N178+Chikwawa!O178</f>
        <v>0</v>
      </c>
      <c r="F178" s="26">
        <f>'Miseu Folo'!M178+'Miseu Folo'!N178+'Miseu Folo'!O178</f>
        <v>0</v>
      </c>
      <c r="G178" s="26">
        <f>Nchalo!M178+Nchalo!N178+Nchalo!O178</f>
        <v>0</v>
      </c>
      <c r="H178" s="26">
        <f>Nsanje!M178+Nsanje!N178+Nsanje!O178</f>
        <v>0</v>
      </c>
      <c r="I178" s="26">
        <f>Ngabu!M178+Ngabu!N178+Ngabu!O178</f>
        <v>0</v>
      </c>
      <c r="J178" s="18">
        <f t="shared" si="48"/>
        <v>0</v>
      </c>
    </row>
    <row r="179" spans="1:10" ht="15.6" x14ac:dyDescent="0.3">
      <c r="A179" s="653"/>
      <c r="B179" s="19" t="s">
        <v>68</v>
      </c>
      <c r="C179" s="11" t="s">
        <v>57</v>
      </c>
      <c r="D179" s="26">
        <f>Bangula!M179+Bangula!N179+Bangula!O179</f>
        <v>0</v>
      </c>
      <c r="E179" s="26">
        <f>Chikwawa!M179+Chikwawa!N179+Chikwawa!O179</f>
        <v>0</v>
      </c>
      <c r="F179" s="26">
        <f>'Miseu Folo'!M179+'Miseu Folo'!N179+'Miseu Folo'!O179</f>
        <v>0</v>
      </c>
      <c r="G179" s="26">
        <f>Nchalo!M179+Nchalo!N179+Nchalo!O179</f>
        <v>0</v>
      </c>
      <c r="H179" s="26">
        <f>Nsanje!M179+Nsanje!N179+Nsanje!O179</f>
        <v>0</v>
      </c>
      <c r="I179" s="26">
        <f>Ngabu!M179+Ngabu!N179+Ngabu!O179</f>
        <v>0</v>
      </c>
      <c r="J179" s="18">
        <f t="shared" si="48"/>
        <v>0</v>
      </c>
    </row>
    <row r="180" spans="1:10" ht="15.6" x14ac:dyDescent="0.3">
      <c r="A180" s="653"/>
      <c r="B180" s="19" t="s">
        <v>67</v>
      </c>
      <c r="C180" s="11" t="s">
        <v>57</v>
      </c>
      <c r="D180" s="26">
        <f>Bangula!M180+Bangula!N180+Bangula!O180</f>
        <v>0</v>
      </c>
      <c r="E180" s="26">
        <f>Chikwawa!M180+Chikwawa!N180+Chikwawa!O180</f>
        <v>0</v>
      </c>
      <c r="F180" s="26">
        <f>'Miseu Folo'!M180+'Miseu Folo'!N180+'Miseu Folo'!O180</f>
        <v>0</v>
      </c>
      <c r="G180" s="26">
        <f>Nchalo!M180+Nchalo!N180+Nchalo!O180</f>
        <v>0</v>
      </c>
      <c r="H180" s="26">
        <f>Nsanje!M180+Nsanje!N180+Nsanje!O180</f>
        <v>0</v>
      </c>
      <c r="I180" s="26">
        <f>Ngabu!M180+Ngabu!N180+Ngabu!O180</f>
        <v>0</v>
      </c>
      <c r="J180" s="18">
        <f t="shared" si="48"/>
        <v>0</v>
      </c>
    </row>
    <row r="181" spans="1:10" ht="15.6" x14ac:dyDescent="0.3">
      <c r="A181" s="653"/>
      <c r="B181" s="19" t="s">
        <v>66</v>
      </c>
      <c r="C181" s="11" t="s">
        <v>57</v>
      </c>
      <c r="D181" s="26">
        <f>Bangula!M181+Bangula!N181+Bangula!O181</f>
        <v>0</v>
      </c>
      <c r="E181" s="26">
        <f>Chikwawa!M181+Chikwawa!N181+Chikwawa!O181</f>
        <v>0</v>
      </c>
      <c r="F181" s="26">
        <f>'Miseu Folo'!M181+'Miseu Folo'!N181+'Miseu Folo'!O181</f>
        <v>0</v>
      </c>
      <c r="G181" s="26">
        <f>Nchalo!M181+Nchalo!N181+Nchalo!O181</f>
        <v>0</v>
      </c>
      <c r="H181" s="26">
        <f>Nsanje!M181+Nsanje!N181+Nsanje!O181</f>
        <v>0</v>
      </c>
      <c r="I181" s="26">
        <f>Ngabu!M181+Ngabu!N181+Ngabu!O181</f>
        <v>0</v>
      </c>
      <c r="J181" s="18">
        <f t="shared" si="48"/>
        <v>0</v>
      </c>
    </row>
    <row r="182" spans="1:10" ht="15.6" x14ac:dyDescent="0.3">
      <c r="A182" s="654"/>
      <c r="B182" s="19" t="s">
        <v>65</v>
      </c>
      <c r="C182" s="11" t="s">
        <v>57</v>
      </c>
      <c r="D182" s="26">
        <f>Bangula!M182+Bangula!N182+Bangula!O182</f>
        <v>0</v>
      </c>
      <c r="E182" s="26">
        <f>Chikwawa!M182+Chikwawa!N182+Chikwawa!O182</f>
        <v>0</v>
      </c>
      <c r="F182" s="26">
        <f>'Miseu Folo'!M182+'Miseu Folo'!N182+'Miseu Folo'!O182</f>
        <v>0</v>
      </c>
      <c r="G182" s="26">
        <f>Nchalo!M182+Nchalo!N182+Nchalo!O182</f>
        <v>0</v>
      </c>
      <c r="H182" s="26">
        <f>Nsanje!M182+Nsanje!N182+Nsanje!O182</f>
        <v>0</v>
      </c>
      <c r="I182" s="26">
        <f>Ngabu!M182+Ngabu!N182+Ngabu!O182</f>
        <v>0</v>
      </c>
      <c r="J182" s="18">
        <f t="shared" si="48"/>
        <v>0</v>
      </c>
    </row>
    <row r="183" spans="1:10" ht="15.6" x14ac:dyDescent="0.3">
      <c r="A183" s="652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18"/>
    </row>
    <row r="184" spans="1:10" ht="15.6" x14ac:dyDescent="0.3">
      <c r="A184" s="653"/>
      <c r="B184" s="19" t="s">
        <v>73</v>
      </c>
      <c r="C184" s="11"/>
      <c r="D184" s="26">
        <f>Bangula!M184+Bangula!N184+Bangula!O184</f>
        <v>0</v>
      </c>
      <c r="E184" s="26">
        <f>Chikwawa!M184+Chikwawa!N184+Chikwawa!O184</f>
        <v>0</v>
      </c>
      <c r="F184" s="26">
        <f>'Miseu Folo'!M184+'Miseu Folo'!N184+'Miseu Folo'!O184</f>
        <v>0</v>
      </c>
      <c r="G184" s="26">
        <f>Nchalo!M184+Nchalo!N184+Nchalo!O184</f>
        <v>0</v>
      </c>
      <c r="H184" s="26">
        <f>Nsanje!M184+Nsanje!N184+Nsanje!O184</f>
        <v>0</v>
      </c>
      <c r="I184" s="26">
        <f>Ngabu!M184+Ngabu!N184+Ngabu!O184</f>
        <v>0</v>
      </c>
      <c r="J184" s="18">
        <f>SUM(D184:I184)</f>
        <v>0</v>
      </c>
    </row>
    <row r="185" spans="1:10" ht="15.6" x14ac:dyDescent="0.3">
      <c r="A185" s="653"/>
      <c r="B185" s="19" t="s">
        <v>72</v>
      </c>
      <c r="C185" s="11"/>
      <c r="D185" s="26">
        <f>Bangula!M185+Bangula!N185+Bangula!O185</f>
        <v>0</v>
      </c>
      <c r="E185" s="26">
        <f>Chikwawa!M185+Chikwawa!N185+Chikwawa!O185</f>
        <v>0</v>
      </c>
      <c r="F185" s="26">
        <f>'Miseu Folo'!M185+'Miseu Folo'!N185+'Miseu Folo'!O185</f>
        <v>0</v>
      </c>
      <c r="G185" s="26">
        <f>Nchalo!M185+Nchalo!N185+Nchalo!O185</f>
        <v>0</v>
      </c>
      <c r="H185" s="26">
        <f>Nsanje!M185+Nsanje!N185+Nsanje!O185</f>
        <v>0</v>
      </c>
      <c r="I185" s="26">
        <f>Ngabu!M185+Ngabu!N185+Ngabu!O185</f>
        <v>0</v>
      </c>
      <c r="J185" s="18">
        <f>SUM(D185:I185)</f>
        <v>0</v>
      </c>
    </row>
    <row r="186" spans="1:10" ht="15.6" x14ac:dyDescent="0.3">
      <c r="A186" s="653"/>
      <c r="B186" s="19" t="s">
        <v>53</v>
      </c>
      <c r="C186" s="11"/>
      <c r="D186" s="26">
        <f>Bangula!M186+Bangula!N186+Bangula!O186</f>
        <v>0</v>
      </c>
      <c r="E186" s="26">
        <f>Chikwawa!M186+Chikwawa!N186+Chikwawa!O186</f>
        <v>0</v>
      </c>
      <c r="F186" s="26">
        <f>'Miseu Folo'!M186+'Miseu Folo'!N186+'Miseu Folo'!O186</f>
        <v>0</v>
      </c>
      <c r="G186" s="26">
        <f>Nchalo!M186+Nchalo!N186+Nchalo!O186</f>
        <v>0</v>
      </c>
      <c r="H186" s="26">
        <f>Nsanje!M186+Nsanje!N186+Nsanje!O186</f>
        <v>0</v>
      </c>
      <c r="I186" s="26">
        <f>Ngabu!M186+Ngabu!N186+Ngabu!O186</f>
        <v>0</v>
      </c>
      <c r="J186" s="18">
        <f>SUM(D186:I186)</f>
        <v>0</v>
      </c>
    </row>
    <row r="187" spans="1:10" ht="15.6" x14ac:dyDescent="0.3">
      <c r="A187" s="654"/>
      <c r="B187" s="19" t="s">
        <v>52</v>
      </c>
      <c r="C187" s="11"/>
      <c r="D187" s="26">
        <f>Bangula!M187+Bangula!N187+Bangula!O187</f>
        <v>0</v>
      </c>
      <c r="E187" s="26">
        <f>Chikwawa!M187+Chikwawa!N187+Chikwawa!O187</f>
        <v>0</v>
      </c>
      <c r="F187" s="26">
        <f>'Miseu Folo'!M187+'Miseu Folo'!N187+'Miseu Folo'!O187</f>
        <v>0</v>
      </c>
      <c r="G187" s="26">
        <f>Nchalo!M187+Nchalo!N187+Nchalo!O187</f>
        <v>0</v>
      </c>
      <c r="H187" s="26">
        <f>Nsanje!M187+Nsanje!N187+Nsanje!O187</f>
        <v>0</v>
      </c>
      <c r="I187" s="26">
        <f>Ngabu!M187+Ngabu!N187+Ngabu!O187</f>
        <v>0</v>
      </c>
      <c r="J187" s="18">
        <f>SUM(D187:I187)</f>
        <v>0</v>
      </c>
    </row>
    <row r="188" spans="1:10" ht="15.6" x14ac:dyDescent="0.3">
      <c r="A188" s="652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18"/>
    </row>
    <row r="189" spans="1:10" ht="15.6" x14ac:dyDescent="0.3">
      <c r="A189" s="653"/>
      <c r="B189" s="20" t="s">
        <v>52</v>
      </c>
      <c r="C189" s="11" t="s">
        <v>57</v>
      </c>
      <c r="D189" s="4"/>
      <c r="E189" s="4"/>
      <c r="F189" s="4"/>
      <c r="G189" s="4"/>
      <c r="H189" s="4"/>
      <c r="I189" s="4"/>
      <c r="J189" s="18">
        <f>SUM(D189:I189)</f>
        <v>0</v>
      </c>
    </row>
    <row r="190" spans="1:10" ht="15.6" x14ac:dyDescent="0.3">
      <c r="A190" s="653"/>
      <c r="B190" s="19" t="s">
        <v>62</v>
      </c>
      <c r="C190" s="11" t="s">
        <v>57</v>
      </c>
      <c r="D190" s="4"/>
      <c r="E190" s="4"/>
      <c r="F190" s="4"/>
      <c r="G190" s="4"/>
      <c r="H190" s="4"/>
      <c r="I190" s="4"/>
      <c r="J190" s="18">
        <f>SUM(D190:I190)</f>
        <v>0</v>
      </c>
    </row>
    <row r="191" spans="1:10" ht="15.6" x14ac:dyDescent="0.3">
      <c r="A191" s="653"/>
      <c r="B191" s="19" t="s">
        <v>61</v>
      </c>
      <c r="C191" s="11" t="s">
        <v>57</v>
      </c>
      <c r="D191" s="4"/>
      <c r="E191" s="4"/>
      <c r="F191" s="4"/>
      <c r="G191" s="4"/>
      <c r="H191" s="4"/>
      <c r="I191" s="4"/>
      <c r="J191" s="18">
        <f>SUM(D191:I191)</f>
        <v>0</v>
      </c>
    </row>
    <row r="192" spans="1:10" ht="15.6" x14ac:dyDescent="0.3">
      <c r="A192" s="654"/>
      <c r="B192" s="19" t="s">
        <v>60</v>
      </c>
      <c r="C192" s="11" t="s">
        <v>57</v>
      </c>
      <c r="D192" s="4"/>
      <c r="E192" s="4"/>
      <c r="F192" s="4"/>
      <c r="G192" s="4"/>
      <c r="H192" s="4"/>
      <c r="I192" s="4"/>
      <c r="J192" s="18">
        <f>SUM(D192:I192)</f>
        <v>0</v>
      </c>
    </row>
    <row r="193" spans="1:10" ht="15.6" x14ac:dyDescent="0.3">
      <c r="A193" s="680" t="s">
        <v>59</v>
      </c>
      <c r="B193" s="681"/>
      <c r="C193" s="11"/>
      <c r="D193" s="10">
        <f>SUM(D153:D192)</f>
        <v>90</v>
      </c>
      <c r="E193" s="10">
        <f t="shared" ref="E193:J193" si="49">SUM(E153:E192)</f>
        <v>305</v>
      </c>
      <c r="F193" s="10">
        <f t="shared" si="49"/>
        <v>83</v>
      </c>
      <c r="G193" s="10">
        <f t="shared" si="49"/>
        <v>451</v>
      </c>
      <c r="H193" s="10">
        <f t="shared" si="49"/>
        <v>515</v>
      </c>
      <c r="I193" s="10">
        <f t="shared" si="49"/>
        <v>96</v>
      </c>
      <c r="J193" s="103">
        <f t="shared" si="49"/>
        <v>1540</v>
      </c>
    </row>
    <row r="194" spans="1:10" ht="15.6" x14ac:dyDescent="0.3">
      <c r="A194" s="658" t="s">
        <v>58</v>
      </c>
      <c r="B194" s="659"/>
      <c r="C194" s="11" t="s">
        <v>57</v>
      </c>
      <c r="D194" s="26">
        <f>Bangula!M194+Bangula!N194+Bangula!O194</f>
        <v>0</v>
      </c>
      <c r="E194" s="26">
        <f>Chikwawa!M194+Chikwawa!N194+Chikwawa!O194</f>
        <v>0</v>
      </c>
      <c r="F194" s="26">
        <f>'Miseu Folo'!M194+'Miseu Folo'!N194+'Miseu Folo'!O194</f>
        <v>0</v>
      </c>
      <c r="G194" s="26">
        <f>Nchalo!M194+Nchalo!N194+Nchalo!O194</f>
        <v>0</v>
      </c>
      <c r="H194" s="26">
        <f>Nsanje!M194+Nsanje!N194+Nsanje!O194</f>
        <v>0</v>
      </c>
      <c r="I194" s="26">
        <f>Ngabu!M194+Ngabu!N194+Ngabu!O194</f>
        <v>0</v>
      </c>
      <c r="J194" s="9">
        <f>SUM(D194:I194)</f>
        <v>0</v>
      </c>
    </row>
    <row r="195" spans="1:10" ht="15.6" x14ac:dyDescent="0.3">
      <c r="A195" s="660"/>
      <c r="B195" s="661"/>
      <c r="C195" s="16" t="s">
        <v>55</v>
      </c>
      <c r="D195" s="26">
        <f>Bangula!M195+Bangula!N195+Bangula!O195</f>
        <v>0</v>
      </c>
      <c r="E195" s="26">
        <f>Chikwawa!M195+Chikwawa!N195+Chikwawa!O195</f>
        <v>0</v>
      </c>
      <c r="F195" s="26">
        <f>'Miseu Folo'!M195+'Miseu Folo'!N195+'Miseu Folo'!O195</f>
        <v>0</v>
      </c>
      <c r="G195" s="26">
        <f>Nchalo!M195+Nchalo!N195+Nchalo!O195</f>
        <v>0</v>
      </c>
      <c r="H195" s="26">
        <f>Nsanje!M195+Nsanje!N195+Nsanje!O195</f>
        <v>0</v>
      </c>
      <c r="I195" s="26">
        <f>Ngabu!M195+Ngabu!N195+Ngabu!O195</f>
        <v>0</v>
      </c>
      <c r="J195" s="9">
        <f>SUM(D195:I195)</f>
        <v>0</v>
      </c>
    </row>
    <row r="196" spans="1:10" ht="15.6" x14ac:dyDescent="0.3">
      <c r="A196" s="205" t="s">
        <v>202</v>
      </c>
      <c r="B196" s="209"/>
      <c r="C196" s="16" t="s">
        <v>55</v>
      </c>
      <c r="D196" s="26">
        <f>Bangula!M196+Bangula!N196+Bangula!O196</f>
        <v>0</v>
      </c>
      <c r="E196" s="26">
        <f>Chikwawa!M196+Chikwawa!N196+Chikwawa!O196</f>
        <v>22</v>
      </c>
      <c r="F196" s="26">
        <f>'Miseu Folo'!M196+'Miseu Folo'!N196+'Miseu Folo'!O196</f>
        <v>21</v>
      </c>
      <c r="G196" s="26">
        <f>Nchalo!M196+Nchalo!N196+Nchalo!O196</f>
        <v>0</v>
      </c>
      <c r="H196" s="26">
        <f>Nsanje!M196+Nsanje!N196+Nsanje!O196</f>
        <v>0</v>
      </c>
      <c r="I196" s="26">
        <f>Ngabu!M196+Ngabu!N196+Ngabu!O196</f>
        <v>0</v>
      </c>
      <c r="J196" s="9">
        <f>SUM(D196:I196)</f>
        <v>43</v>
      </c>
    </row>
    <row r="197" spans="1:10" ht="15.6" x14ac:dyDescent="0.3">
      <c r="A197" s="591" t="s">
        <v>56</v>
      </c>
      <c r="B197" s="592"/>
      <c r="C197" s="16" t="s">
        <v>55</v>
      </c>
      <c r="D197" s="26">
        <f>Bangula!M197+Bangula!N197+Bangula!O197</f>
        <v>30</v>
      </c>
      <c r="E197" s="26">
        <f>Chikwawa!M197+Chikwawa!N197+Chikwawa!O197</f>
        <v>29</v>
      </c>
      <c r="F197" s="26">
        <f>'Miseu Folo'!M197+'Miseu Folo'!N197+'Miseu Folo'!O197</f>
        <v>72</v>
      </c>
      <c r="G197" s="26">
        <f>Nchalo!M197+Nchalo!N197+Nchalo!O197</f>
        <v>0</v>
      </c>
      <c r="H197" s="26">
        <f>Nsanje!M197+Nsanje!N197+Nsanje!O197</f>
        <v>179</v>
      </c>
      <c r="I197" s="26">
        <f>Ngabu!M197+Ngabu!N197+Ngabu!O197</f>
        <v>0</v>
      </c>
      <c r="J197" s="9">
        <f>SUM(D197:I197)</f>
        <v>310</v>
      </c>
    </row>
    <row r="198" spans="1:10" x14ac:dyDescent="0.3">
      <c r="A198" s="595" t="s">
        <v>203</v>
      </c>
      <c r="B198" s="596"/>
      <c r="C198" s="596"/>
      <c r="D198" s="596"/>
      <c r="E198" s="596"/>
      <c r="F198" s="596"/>
      <c r="G198" s="596"/>
      <c r="H198" s="596"/>
      <c r="I198" s="596"/>
      <c r="J198" s="597"/>
    </row>
    <row r="199" spans="1:10" ht="15.6" x14ac:dyDescent="0.3">
      <c r="A199" s="658" t="s">
        <v>54</v>
      </c>
      <c r="B199" s="202" t="s">
        <v>53</v>
      </c>
      <c r="C199" s="11" t="s">
        <v>47</v>
      </c>
      <c r="D199" s="26">
        <f>Bangula!M199+Bangula!N199+Bangula!O199</f>
        <v>0</v>
      </c>
      <c r="E199" s="26">
        <f>Chikwawa!M199+Chikwawa!N199+Chikwawa!O199</f>
        <v>0</v>
      </c>
      <c r="F199" s="26">
        <f>'Miseu Folo'!M199+'Miseu Folo'!N199+'Miseu Folo'!O199</f>
        <v>0</v>
      </c>
      <c r="G199" s="26">
        <f>Nchalo!M199+Nchalo!N199+Nchalo!O199</f>
        <v>0</v>
      </c>
      <c r="H199" s="26">
        <f>Nsanje!M199+Nsanje!N199+Nsanje!O199</f>
        <v>0</v>
      </c>
      <c r="I199" s="26">
        <f>Ngabu!M199+Ngabu!N199+Ngabu!O199</f>
        <v>0</v>
      </c>
      <c r="J199" s="9">
        <f t="shared" ref="J199:J204" si="50">SUM(D199:I199)</f>
        <v>0</v>
      </c>
    </row>
    <row r="200" spans="1:10" ht="15.6" x14ac:dyDescent="0.3">
      <c r="A200" s="662"/>
      <c r="B200" s="202" t="s">
        <v>52</v>
      </c>
      <c r="C200" s="11" t="s">
        <v>47</v>
      </c>
      <c r="D200" s="26">
        <f>Bangula!M200+Bangula!N200+Bangula!O200</f>
        <v>0</v>
      </c>
      <c r="E200" s="26">
        <f>Chikwawa!M200+Chikwawa!N200+Chikwawa!O200</f>
        <v>300</v>
      </c>
      <c r="F200" s="26">
        <f>'Miseu Folo'!M200+'Miseu Folo'!N200+'Miseu Folo'!O200</f>
        <v>222</v>
      </c>
      <c r="G200" s="26">
        <f>Nchalo!M200+Nchalo!N200+Nchalo!O200</f>
        <v>0</v>
      </c>
      <c r="H200" s="26">
        <f>Nsanje!M200+Nsanje!N200+Nsanje!O200</f>
        <v>0</v>
      </c>
      <c r="I200" s="26">
        <f>Ngabu!M200+Ngabu!N200+Ngabu!O200</f>
        <v>0</v>
      </c>
      <c r="J200" s="9">
        <f t="shared" si="50"/>
        <v>522</v>
      </c>
    </row>
    <row r="201" spans="1:10" ht="15.6" x14ac:dyDescent="0.3">
      <c r="A201" s="662"/>
      <c r="B201" s="202" t="s">
        <v>51</v>
      </c>
      <c r="C201" s="11" t="s">
        <v>47</v>
      </c>
      <c r="D201" s="26">
        <f>Bangula!M201+Bangula!N201+Bangula!O201</f>
        <v>0</v>
      </c>
      <c r="E201" s="26">
        <f>Chikwawa!M201+Chikwawa!N201+Chikwawa!O201</f>
        <v>300</v>
      </c>
      <c r="F201" s="26">
        <f>'Miseu Folo'!M201+'Miseu Folo'!N201+'Miseu Folo'!O201</f>
        <v>300</v>
      </c>
      <c r="G201" s="26">
        <f>Nchalo!M201+Nchalo!N201+Nchalo!O201</f>
        <v>420</v>
      </c>
      <c r="H201" s="26">
        <f>Nsanje!M201+Nsanje!N201+Nsanje!O201</f>
        <v>0</v>
      </c>
      <c r="I201" s="26">
        <f>Ngabu!M201+Ngabu!N201+Ngabu!O201</f>
        <v>0</v>
      </c>
      <c r="J201" s="9">
        <f t="shared" si="50"/>
        <v>1020</v>
      </c>
    </row>
    <row r="202" spans="1:10" ht="15.6" x14ac:dyDescent="0.3">
      <c r="A202" s="662"/>
      <c r="B202" s="202" t="s">
        <v>50</v>
      </c>
      <c r="C202" s="11" t="s">
        <v>47</v>
      </c>
      <c r="D202" s="26">
        <f>Bangula!M202+Bangula!N202+Bangula!O202</f>
        <v>0</v>
      </c>
      <c r="E202" s="26">
        <f>Chikwawa!M202+Chikwawa!N202+Chikwawa!O202</f>
        <v>0</v>
      </c>
      <c r="F202" s="26">
        <f>'Miseu Folo'!M202+'Miseu Folo'!N202+'Miseu Folo'!O202</f>
        <v>0</v>
      </c>
      <c r="G202" s="26">
        <f>Nchalo!M202+Nchalo!N202+Nchalo!O202</f>
        <v>0</v>
      </c>
      <c r="H202" s="26">
        <f>Nsanje!M202+Nsanje!N202+Nsanje!O202</f>
        <v>0</v>
      </c>
      <c r="I202" s="26">
        <f>Ngabu!M202+Ngabu!N202+Ngabu!O202</f>
        <v>0</v>
      </c>
      <c r="J202" s="9">
        <f t="shared" si="50"/>
        <v>0</v>
      </c>
    </row>
    <row r="203" spans="1:10" ht="15.6" x14ac:dyDescent="0.3">
      <c r="A203" s="660"/>
      <c r="B203" s="202" t="s">
        <v>49</v>
      </c>
      <c r="C203" s="11" t="s">
        <v>47</v>
      </c>
      <c r="D203" s="26">
        <f>Bangula!M203+Bangula!N203+Bangula!O203</f>
        <v>0</v>
      </c>
      <c r="E203" s="26">
        <f>Chikwawa!M203+Chikwawa!N203+Chikwawa!O203</f>
        <v>180</v>
      </c>
      <c r="F203" s="26">
        <f>'Miseu Folo'!M203+'Miseu Folo'!N203+'Miseu Folo'!O203</f>
        <v>0</v>
      </c>
      <c r="G203" s="26">
        <f>Nchalo!M203+Nchalo!N203+Nchalo!O203</f>
        <v>0</v>
      </c>
      <c r="H203" s="26">
        <f>Nsanje!M203+Nsanje!N203+Nsanje!O203</f>
        <v>0</v>
      </c>
      <c r="I203" s="26">
        <f>Ngabu!M203+Ngabu!N203+Ngabu!O203</f>
        <v>0</v>
      </c>
      <c r="J203" s="9">
        <f t="shared" si="50"/>
        <v>180</v>
      </c>
    </row>
    <row r="204" spans="1:10" ht="15.6" x14ac:dyDescent="0.3">
      <c r="A204" s="83" t="s">
        <v>48</v>
      </c>
      <c r="B204" s="202"/>
      <c r="C204" s="11" t="s">
        <v>47</v>
      </c>
      <c r="D204" s="15">
        <f t="shared" ref="D204:I204" si="51">SUM(D199:D203)</f>
        <v>0</v>
      </c>
      <c r="E204" s="15">
        <f t="shared" si="51"/>
        <v>780</v>
      </c>
      <c r="F204" s="15">
        <f t="shared" si="51"/>
        <v>522</v>
      </c>
      <c r="G204" s="15">
        <f t="shared" si="51"/>
        <v>420</v>
      </c>
      <c r="H204" s="15">
        <f t="shared" si="51"/>
        <v>0</v>
      </c>
      <c r="I204" s="15">
        <f t="shared" si="51"/>
        <v>0</v>
      </c>
      <c r="J204" s="111">
        <f t="shared" si="50"/>
        <v>1722</v>
      </c>
    </row>
    <row r="205" spans="1:10" s="2" customFormat="1" x14ac:dyDescent="0.3">
      <c r="A205" s="595" t="s">
        <v>46</v>
      </c>
      <c r="B205" s="596"/>
      <c r="C205" s="596"/>
      <c r="D205" s="596"/>
      <c r="E205" s="596"/>
      <c r="F205" s="596"/>
      <c r="G205" s="596"/>
      <c r="H205" s="596"/>
      <c r="I205" s="596"/>
      <c r="J205" s="597"/>
    </row>
    <row r="206" spans="1:10" ht="15.6" x14ac:dyDescent="0.3">
      <c r="A206" s="591" t="s">
        <v>43</v>
      </c>
      <c r="B206" s="592"/>
      <c r="C206" s="11" t="s">
        <v>31</v>
      </c>
      <c r="D206" s="15">
        <f>Bangula!M206+Bangula!N206+Bangula!O206</f>
        <v>11165102</v>
      </c>
      <c r="E206" s="15">
        <f>Chikwawa!M206+Chikwawa!N206+Chikwawa!O206</f>
        <v>42163481</v>
      </c>
      <c r="F206" s="15">
        <f>'Miseu Folo'!M206+'Miseu Folo'!N206+'Miseu Folo'!O206</f>
        <v>2690070</v>
      </c>
      <c r="G206" s="15">
        <f>Nchalo!M206+Nchalo!N206+Nchalo!O206</f>
        <v>35700781</v>
      </c>
      <c r="H206" s="15">
        <f>Nsanje!M206+Nsanje!N206+Nsanje!O206</f>
        <v>23073589</v>
      </c>
      <c r="I206" s="15">
        <f>Ngabu!M206+Ngabu!N206+Ngabu!O206</f>
        <v>11027998</v>
      </c>
      <c r="J206" s="9">
        <f>SUM(D206:I206)</f>
        <v>125821021</v>
      </c>
    </row>
    <row r="207" spans="1:10" ht="15.6" x14ac:dyDescent="0.3">
      <c r="A207" s="591" t="s">
        <v>42</v>
      </c>
      <c r="B207" s="592"/>
      <c r="C207" s="11" t="s">
        <v>31</v>
      </c>
      <c r="D207" s="15">
        <f>Bangula!M207+Bangula!N207+Bangula!O207</f>
        <v>493500</v>
      </c>
      <c r="E207" s="15">
        <f>Chikwawa!M207+Chikwawa!N207+Chikwawa!O207</f>
        <v>450700</v>
      </c>
      <c r="F207" s="15">
        <f>'Miseu Folo'!M207+'Miseu Folo'!N207+'Miseu Folo'!O207</f>
        <v>0</v>
      </c>
      <c r="G207" s="15">
        <f>Nchalo!M207+Nchalo!N207+Nchalo!O207</f>
        <v>460160</v>
      </c>
      <c r="H207" s="15">
        <f>Nsanje!M207+Nsanje!N207+Nsanje!O207</f>
        <v>334800</v>
      </c>
      <c r="I207" s="15">
        <f>Ngabu!M207+Ngabu!N207+Ngabu!O207</f>
        <v>393300</v>
      </c>
      <c r="J207" s="9">
        <f>SUM(D207:I207)</f>
        <v>2132460</v>
      </c>
    </row>
    <row r="208" spans="1:10" ht="15.6" x14ac:dyDescent="0.3">
      <c r="A208" s="598" t="s">
        <v>41</v>
      </c>
      <c r="B208" s="599"/>
      <c r="C208" s="11" t="s">
        <v>31</v>
      </c>
      <c r="D208" s="15">
        <f>Bangula!M208+Bangula!N208+Bangula!O208</f>
        <v>532240</v>
      </c>
      <c r="E208" s="15">
        <f>Chikwawa!M208+Chikwawa!N208+Chikwawa!O208</f>
        <v>1196103</v>
      </c>
      <c r="F208" s="15">
        <f>'Miseu Folo'!M208+'Miseu Folo'!N208+'Miseu Folo'!O208</f>
        <v>73424</v>
      </c>
      <c r="G208" s="15">
        <f>Nchalo!M208+Nchalo!N208+Nchalo!O208</f>
        <v>1309154</v>
      </c>
      <c r="H208" s="15">
        <f>Nsanje!M208+Nsanje!N208+Nsanje!O208</f>
        <v>0</v>
      </c>
      <c r="I208" s="15">
        <f>Ngabu!M208+Ngabu!N208+Ngabu!O208</f>
        <v>406756</v>
      </c>
      <c r="J208" s="9">
        <f>SUM(D208:I208)</f>
        <v>3517677</v>
      </c>
    </row>
    <row r="209" spans="1:10" ht="15.6" x14ac:dyDescent="0.3">
      <c r="A209" s="591" t="s">
        <v>40</v>
      </c>
      <c r="B209" s="592"/>
      <c r="C209" s="11" t="s">
        <v>31</v>
      </c>
      <c r="D209" s="15">
        <f>Bangula!M209+Bangula!N209+Bangula!O209</f>
        <v>188850</v>
      </c>
      <c r="E209" s="15">
        <f>Chikwawa!M209+Chikwawa!N209+Chikwawa!O209</f>
        <v>8027218</v>
      </c>
      <c r="F209" s="15">
        <f>'Miseu Folo'!M209+'Miseu Folo'!N209+'Miseu Folo'!O209</f>
        <v>95495</v>
      </c>
      <c r="G209" s="15">
        <f>Nchalo!M209+Nchalo!N209+Nchalo!O209</f>
        <v>1123483</v>
      </c>
      <c r="H209" s="15">
        <f>Nsanje!M209+Nsanje!N209+Nsanje!O209</f>
        <v>1806282</v>
      </c>
      <c r="I209" s="15">
        <f>Ngabu!M209+Ngabu!N209+Ngabu!O209</f>
        <v>243875</v>
      </c>
      <c r="J209" s="9">
        <f>SUM(D209:I209)</f>
        <v>11485203</v>
      </c>
    </row>
    <row r="210" spans="1:10" ht="15.6" x14ac:dyDescent="0.3">
      <c r="A210" s="656" t="s">
        <v>45</v>
      </c>
      <c r="B210" s="657"/>
      <c r="C210" s="11" t="s">
        <v>31</v>
      </c>
      <c r="D210" s="10">
        <f t="shared" ref="D210:I210" si="52">SUM(D206:D209)</f>
        <v>12379692</v>
      </c>
      <c r="E210" s="10">
        <f t="shared" si="52"/>
        <v>51837502</v>
      </c>
      <c r="F210" s="10">
        <f t="shared" si="52"/>
        <v>2858989</v>
      </c>
      <c r="G210" s="10">
        <f t="shared" si="52"/>
        <v>38593578</v>
      </c>
      <c r="H210" s="10">
        <f t="shared" si="52"/>
        <v>25214671</v>
      </c>
      <c r="I210" s="10">
        <f t="shared" si="52"/>
        <v>12071929</v>
      </c>
      <c r="J210" s="9">
        <f>SUM(D210:I210)</f>
        <v>142956361</v>
      </c>
    </row>
    <row r="211" spans="1:10" s="2" customFormat="1" x14ac:dyDescent="0.3">
      <c r="A211" s="595" t="s">
        <v>44</v>
      </c>
      <c r="B211" s="596"/>
      <c r="C211" s="596"/>
      <c r="D211" s="596"/>
      <c r="E211" s="596"/>
      <c r="F211" s="596"/>
      <c r="G211" s="596"/>
      <c r="H211" s="596"/>
      <c r="I211" s="596"/>
      <c r="J211" s="597"/>
    </row>
    <row r="212" spans="1:10" ht="15.6" x14ac:dyDescent="0.3">
      <c r="A212" s="591" t="s">
        <v>43</v>
      </c>
      <c r="B212" s="592"/>
      <c r="C212" s="11" t="s">
        <v>31</v>
      </c>
      <c r="D212" s="15">
        <f>Bangula!M212+Bangula!N212+Bangula!O212</f>
        <v>0</v>
      </c>
      <c r="E212" s="15">
        <f>Chikwawa!M212+Chikwawa!N212+Chikwawa!O212</f>
        <v>0</v>
      </c>
      <c r="F212" s="15">
        <f>'Miseu Folo'!M212+'Miseu Folo'!N212+'Miseu Folo'!O212</f>
        <v>0</v>
      </c>
      <c r="G212" s="15">
        <f>Nchalo!M212+Nchalo!N212+Nchalo!O212</f>
        <v>0</v>
      </c>
      <c r="H212" s="15">
        <f>Nsanje!M212+Nsanje!N212+Nsanje!O212</f>
        <v>0</v>
      </c>
      <c r="I212" s="15">
        <f>Ngabu!M212+Ngabu!N212+Ngabu!O212</f>
        <v>0</v>
      </c>
      <c r="J212" s="9">
        <f>SUM(D212:I212)</f>
        <v>0</v>
      </c>
    </row>
    <row r="213" spans="1:10" ht="15.6" x14ac:dyDescent="0.3">
      <c r="A213" s="591" t="s">
        <v>42</v>
      </c>
      <c r="B213" s="592"/>
      <c r="C213" s="11" t="s">
        <v>31</v>
      </c>
      <c r="D213" s="15">
        <f>Bangula!M213+Bangula!N213+Bangula!O213</f>
        <v>0</v>
      </c>
      <c r="E213" s="15">
        <f>Chikwawa!M213+Chikwawa!N213+Chikwawa!O213</f>
        <v>0</v>
      </c>
      <c r="F213" s="15">
        <f>'Miseu Folo'!M213+'Miseu Folo'!N213+'Miseu Folo'!O213</f>
        <v>0</v>
      </c>
      <c r="G213" s="15">
        <f>Nchalo!M213+Nchalo!N213+Nchalo!O213</f>
        <v>0</v>
      </c>
      <c r="H213" s="15">
        <f>Nsanje!M213+Nsanje!N213+Nsanje!O213</f>
        <v>0</v>
      </c>
      <c r="I213" s="15">
        <f>Ngabu!M213+Ngabu!N213+Ngabu!O213</f>
        <v>0</v>
      </c>
      <c r="J213" s="9">
        <f>SUM(D213:I213)</f>
        <v>0</v>
      </c>
    </row>
    <row r="214" spans="1:10" ht="15.6" x14ac:dyDescent="0.3">
      <c r="A214" s="598" t="s">
        <v>41</v>
      </c>
      <c r="B214" s="599"/>
      <c r="C214" s="11" t="s">
        <v>31</v>
      </c>
      <c r="D214" s="15">
        <f>Bangula!M214+Bangula!N214+Bangula!O214</f>
        <v>0</v>
      </c>
      <c r="E214" s="15">
        <f>Chikwawa!M214+Chikwawa!N214+Chikwawa!O214</f>
        <v>0</v>
      </c>
      <c r="F214" s="15">
        <f>'Miseu Folo'!M214+'Miseu Folo'!N214+'Miseu Folo'!O214</f>
        <v>0</v>
      </c>
      <c r="G214" s="15">
        <f>Nchalo!M214+Nchalo!N214+Nchalo!O214</f>
        <v>0</v>
      </c>
      <c r="H214" s="15">
        <f>Nsanje!M214+Nsanje!N214+Nsanje!O214</f>
        <v>0</v>
      </c>
      <c r="I214" s="15">
        <f>Ngabu!M214+Ngabu!N214+Ngabu!O214</f>
        <v>0</v>
      </c>
      <c r="J214" s="9">
        <f>SUM(D214:I214)</f>
        <v>0</v>
      </c>
    </row>
    <row r="215" spans="1:10" ht="15.6" x14ac:dyDescent="0.3">
      <c r="A215" s="591" t="s">
        <v>40</v>
      </c>
      <c r="B215" s="592"/>
      <c r="C215" s="11" t="s">
        <v>31</v>
      </c>
      <c r="D215" s="15">
        <f>Bangula!M215+Bangula!N215+Bangula!O215</f>
        <v>10503239</v>
      </c>
      <c r="E215" s="15">
        <f>Chikwawa!M215+Chikwawa!N215+Chikwawa!O215</f>
        <v>53324985.170000002</v>
      </c>
      <c r="F215" s="15">
        <f>'Miseu Folo'!M215+'Miseu Folo'!N215+'Miseu Folo'!O215</f>
        <v>4931229</v>
      </c>
      <c r="G215" s="15">
        <f>Nchalo!M215+Nchalo!N215+Nchalo!O215</f>
        <v>15120975</v>
      </c>
      <c r="H215" s="15">
        <f>Nsanje!M215+Nsanje!N215+Nsanje!O215</f>
        <v>55632203</v>
      </c>
      <c r="I215" s="15">
        <f>Ngabu!M215+Ngabu!N215+Ngabu!O215</f>
        <v>17338375</v>
      </c>
      <c r="J215" s="9">
        <f>SUM(D215:I215)</f>
        <v>156851006.17000002</v>
      </c>
    </row>
    <row r="216" spans="1:10" ht="15.6" x14ac:dyDescent="0.3">
      <c r="A216" s="656" t="s">
        <v>39</v>
      </c>
      <c r="B216" s="657"/>
      <c r="C216" s="11" t="s">
        <v>31</v>
      </c>
      <c r="D216" s="10">
        <f t="shared" ref="D216:I216" si="53">SUM(D212:D215)</f>
        <v>10503239</v>
      </c>
      <c r="E216" s="10">
        <f t="shared" si="53"/>
        <v>53324985.170000002</v>
      </c>
      <c r="F216" s="10">
        <f t="shared" si="53"/>
        <v>4931229</v>
      </c>
      <c r="G216" s="10">
        <f t="shared" si="53"/>
        <v>15120975</v>
      </c>
      <c r="H216" s="10">
        <f>SUM(H212:H215)</f>
        <v>55632203</v>
      </c>
      <c r="I216" s="10">
        <f t="shared" si="53"/>
        <v>17338375</v>
      </c>
      <c r="J216" s="9">
        <f>SUM(D216:I216)</f>
        <v>156851006.17000002</v>
      </c>
    </row>
    <row r="217" spans="1:10" s="2" customFormat="1" ht="15.6" x14ac:dyDescent="0.3">
      <c r="A217" s="203" t="s">
        <v>38</v>
      </c>
      <c r="B217" s="204"/>
      <c r="C217" s="11" t="s">
        <v>31</v>
      </c>
      <c r="D217" s="10">
        <f>D210+D216</f>
        <v>22882931</v>
      </c>
      <c r="E217" s="10">
        <f t="shared" ref="E217:J217" si="54">E210+E216</f>
        <v>105162487.17</v>
      </c>
      <c r="F217" s="10">
        <f t="shared" si="54"/>
        <v>7790218</v>
      </c>
      <c r="G217" s="10">
        <f t="shared" si="54"/>
        <v>53714553</v>
      </c>
      <c r="H217" s="10">
        <f t="shared" si="54"/>
        <v>80846874</v>
      </c>
      <c r="I217" s="10">
        <f t="shared" si="54"/>
        <v>29410304</v>
      </c>
      <c r="J217" s="40">
        <f t="shared" si="54"/>
        <v>299807367.17000002</v>
      </c>
    </row>
    <row r="218" spans="1:10" s="2" customFormat="1" x14ac:dyDescent="0.3">
      <c r="A218" s="595" t="s">
        <v>37</v>
      </c>
      <c r="B218" s="596"/>
      <c r="C218" s="596"/>
      <c r="D218" s="596"/>
      <c r="E218" s="596"/>
      <c r="F218" s="596"/>
      <c r="G218" s="596"/>
      <c r="H218" s="596"/>
      <c r="I218" s="596"/>
      <c r="J218" s="597"/>
    </row>
    <row r="219" spans="1:10" ht="15.6" x14ac:dyDescent="0.3">
      <c r="A219" s="591" t="s">
        <v>35</v>
      </c>
      <c r="B219" s="592"/>
      <c r="C219" s="11" t="s">
        <v>31</v>
      </c>
      <c r="D219" s="15">
        <f>Bangula!M219+Bangula!N219+Bangula!O219</f>
        <v>10834954.130000001</v>
      </c>
      <c r="E219" s="15">
        <f>Chikwawa!M219+Chikwawa!N219+Chikwawa!O219</f>
        <v>45080780.950000003</v>
      </c>
      <c r="F219" s="15">
        <f>'Miseu Folo'!M219+'Miseu Folo'!N219+'Miseu Folo'!O219</f>
        <v>3154655.94</v>
      </c>
      <c r="G219" s="15">
        <f>Nchalo!M219+Nchalo!N219+Nchalo!O219</f>
        <v>35007623.210000001</v>
      </c>
      <c r="H219" s="15">
        <f>Nsanje!M219+Nsanje!N219+Nsanje!O219</f>
        <v>25393354.34</v>
      </c>
      <c r="I219" s="15">
        <f>Ngabu!M219+Ngabu!N219+Ngabu!O219</f>
        <v>15041109.76</v>
      </c>
      <c r="J219" s="9">
        <f>SUM(D219:I219)</f>
        <v>134512478.33000001</v>
      </c>
    </row>
    <row r="220" spans="1:10" ht="15.6" x14ac:dyDescent="0.3">
      <c r="A220" s="591" t="s">
        <v>34</v>
      </c>
      <c r="B220" s="592"/>
      <c r="C220" s="11" t="s">
        <v>31</v>
      </c>
      <c r="D220" s="15">
        <f>Bangula!M220+Bangula!N220+Bangula!O220</f>
        <v>515409.81</v>
      </c>
      <c r="E220" s="15">
        <f>Chikwawa!M220+Chikwawa!N220+Chikwawa!O220</f>
        <v>388296.85</v>
      </c>
      <c r="F220" s="15">
        <f>'Miseu Folo'!M220+'Miseu Folo'!N220+'Miseu Folo'!O220</f>
        <v>0</v>
      </c>
      <c r="G220" s="15">
        <f>Nchalo!M220+Nchalo!N220+Nchalo!O220</f>
        <v>403425.04000000004</v>
      </c>
      <c r="H220" s="15">
        <f>Nsanje!M220+Nsanje!N220+Nsanje!O220</f>
        <v>379949.73</v>
      </c>
      <c r="I220" s="15">
        <f>Ngabu!M220+Ngabu!N220+Ngabu!O220</f>
        <v>507758.98</v>
      </c>
      <c r="J220" s="9">
        <f>SUM(D220:I220)</f>
        <v>2194840.41</v>
      </c>
    </row>
    <row r="221" spans="1:10" ht="15.6" x14ac:dyDescent="0.3">
      <c r="A221" s="591" t="s">
        <v>33</v>
      </c>
      <c r="B221" s="592"/>
      <c r="C221" s="11" t="s">
        <v>31</v>
      </c>
      <c r="D221" s="15">
        <f>Bangula!M221+Bangula!N221+Bangula!O221</f>
        <v>346122.36</v>
      </c>
      <c r="E221" s="15">
        <f>Chikwawa!M221+Chikwawa!N221+Chikwawa!O221</f>
        <v>2178746.4900000002</v>
      </c>
      <c r="F221" s="15">
        <f>'Miseu Folo'!M221+'Miseu Folo'!N221+'Miseu Folo'!O221</f>
        <v>110731.23</v>
      </c>
      <c r="G221" s="15">
        <f>Nchalo!M221+Nchalo!N221+Nchalo!O221</f>
        <v>425427.07</v>
      </c>
      <c r="H221" s="15">
        <f>Nsanje!M221+Nsanje!N221+Nsanje!O221</f>
        <v>1020056.99</v>
      </c>
      <c r="I221" s="15">
        <f>Ngabu!M221+Ngabu!N221+Ngabu!O221</f>
        <v>1349266.06</v>
      </c>
      <c r="J221" s="9">
        <f>SUM(D221:I221)</f>
        <v>5430350.1999999993</v>
      </c>
    </row>
    <row r="222" spans="1:10" ht="15.6" x14ac:dyDescent="0.3">
      <c r="A222" s="591" t="s">
        <v>32</v>
      </c>
      <c r="B222" s="592"/>
      <c r="C222" s="11" t="s">
        <v>31</v>
      </c>
      <c r="D222" s="15">
        <f>Bangula!M222+Bangula!N222+Bangula!O222</f>
        <v>0</v>
      </c>
      <c r="E222" s="15">
        <f>Chikwawa!M222+Chikwawa!N222+Chikwawa!O222</f>
        <v>817454.21</v>
      </c>
      <c r="F222" s="15">
        <f>'Miseu Folo'!M222+'Miseu Folo'!N222+'Miseu Folo'!O222</f>
        <v>35334</v>
      </c>
      <c r="G222" s="15">
        <f>Nchalo!M222+Nchalo!N222+Nchalo!O222</f>
        <v>1246154.8799999999</v>
      </c>
      <c r="H222" s="15">
        <f>Nsanje!M222+Nsanje!N222+Nsanje!O222</f>
        <v>868951.22</v>
      </c>
      <c r="I222" s="15">
        <f>Ngabu!M222+Ngabu!N222+Ngabu!O222</f>
        <v>713940.4</v>
      </c>
      <c r="J222" s="9">
        <f>SUM(D222:I222)</f>
        <v>3681834.7099999995</v>
      </c>
    </row>
    <row r="223" spans="1:10" ht="15.6" x14ac:dyDescent="0.3">
      <c r="A223" s="656" t="s">
        <v>36</v>
      </c>
      <c r="B223" s="657"/>
      <c r="C223" s="11" t="s">
        <v>31</v>
      </c>
      <c r="D223" s="12">
        <f t="shared" ref="D223:I223" si="55">SUM(D219:D222)</f>
        <v>11696486.300000001</v>
      </c>
      <c r="E223" s="10">
        <f t="shared" si="55"/>
        <v>48465278.500000007</v>
      </c>
      <c r="F223" s="10">
        <f t="shared" si="55"/>
        <v>3300721.17</v>
      </c>
      <c r="G223" s="10">
        <f t="shared" si="55"/>
        <v>37082630.200000003</v>
      </c>
      <c r="H223" s="10">
        <f t="shared" si="55"/>
        <v>27662312.279999997</v>
      </c>
      <c r="I223" s="10">
        <f t="shared" si="55"/>
        <v>17612075.199999999</v>
      </c>
      <c r="J223" s="9">
        <f>SUM(D223:I223)</f>
        <v>145819503.65000001</v>
      </c>
    </row>
    <row r="224" spans="1:10" x14ac:dyDescent="0.3">
      <c r="A224" s="595" t="s">
        <v>211</v>
      </c>
      <c r="B224" s="596"/>
      <c r="C224" s="596"/>
      <c r="D224" s="596"/>
      <c r="E224" s="596"/>
      <c r="F224" s="596"/>
      <c r="G224" s="596"/>
      <c r="H224" s="596"/>
      <c r="I224" s="596"/>
      <c r="J224" s="597"/>
    </row>
    <row r="225" spans="1:10" ht="15.6" x14ac:dyDescent="0.3">
      <c r="A225" s="591" t="s">
        <v>35</v>
      </c>
      <c r="B225" s="592"/>
      <c r="C225" s="11" t="s">
        <v>31</v>
      </c>
      <c r="D225" s="15">
        <f>Bangula!M225+Bangula!N225+Bangula!O225</f>
        <v>0</v>
      </c>
      <c r="E225" s="15">
        <f>Chikwawa!M225+Chikwawa!N225+Chikwawa!O225</f>
        <v>0</v>
      </c>
      <c r="F225" s="15">
        <f>'Miseu Folo'!M225+'Miseu Folo'!N225+'Miseu Folo'!O225</f>
        <v>0</v>
      </c>
      <c r="G225" s="15">
        <f>Nchalo!M225+Nchalo!N225+Nchalo!O225</f>
        <v>0</v>
      </c>
      <c r="H225" s="15">
        <f>Nsanje!M225+Nsanje!N225+Nsanje!O225</f>
        <v>0</v>
      </c>
      <c r="I225" s="15">
        <f>Ngabu!M225+Ngabu!N225+Ngabu!O225</f>
        <v>0</v>
      </c>
      <c r="J225" s="9">
        <f t="shared" ref="J225:J230" si="56">SUM(D225:I225)</f>
        <v>0</v>
      </c>
    </row>
    <row r="226" spans="1:10" ht="15.6" x14ac:dyDescent="0.3">
      <c r="A226" s="591" t="s">
        <v>34</v>
      </c>
      <c r="B226" s="592"/>
      <c r="C226" s="11" t="s">
        <v>31</v>
      </c>
      <c r="D226" s="15">
        <f>Bangula!M226+Bangula!N226+Bangula!O226</f>
        <v>0</v>
      </c>
      <c r="E226" s="15">
        <f>Chikwawa!M226+Chikwawa!N226+Chikwawa!O226</f>
        <v>0</v>
      </c>
      <c r="F226" s="15">
        <f>'Miseu Folo'!M226+'Miseu Folo'!N226+'Miseu Folo'!O226</f>
        <v>0</v>
      </c>
      <c r="G226" s="15">
        <f>Nchalo!M226+Nchalo!N226+Nchalo!O226</f>
        <v>0</v>
      </c>
      <c r="H226" s="15">
        <f>Nsanje!M226+Nsanje!N226+Nsanje!O226</f>
        <v>0</v>
      </c>
      <c r="I226" s="15">
        <f>Ngabu!M226+Ngabu!N226+Ngabu!O226</f>
        <v>0</v>
      </c>
      <c r="J226" s="9">
        <f t="shared" si="56"/>
        <v>0</v>
      </c>
    </row>
    <row r="227" spans="1:10" ht="15.6" x14ac:dyDescent="0.3">
      <c r="A227" s="591" t="s">
        <v>33</v>
      </c>
      <c r="B227" s="592"/>
      <c r="C227" s="11" t="s">
        <v>31</v>
      </c>
      <c r="D227" s="15">
        <f>Bangula!M227+Bangula!N227+Bangula!O227</f>
        <v>10427124.619999999</v>
      </c>
      <c r="E227" s="15">
        <f>Chikwawa!M227+Chikwawa!N227+Chikwawa!O227</f>
        <v>52622854.089999996</v>
      </c>
      <c r="F227" s="15">
        <f>'Miseu Folo'!M227+'Miseu Folo'!N227+'Miseu Folo'!O227</f>
        <v>4931229</v>
      </c>
      <c r="G227" s="15">
        <f>Nchalo!M227+Nchalo!N227+Nchalo!O227</f>
        <v>14759340.030000001</v>
      </c>
      <c r="H227" s="15">
        <f>Nsanje!M227+Nsanje!N227+Nsanje!O227</f>
        <v>46155518.310000002</v>
      </c>
      <c r="I227" s="15">
        <f>Ngabu!M227+Ngabu!N227+Ngabu!O227</f>
        <v>17007152.41</v>
      </c>
      <c r="J227" s="9">
        <f t="shared" si="56"/>
        <v>145903218.46000001</v>
      </c>
    </row>
    <row r="228" spans="1:10" ht="15.6" x14ac:dyDescent="0.3">
      <c r="A228" s="591" t="s">
        <v>32</v>
      </c>
      <c r="B228" s="592"/>
      <c r="C228" s="11" t="s">
        <v>31</v>
      </c>
      <c r="D228" s="15">
        <f>Bangula!M228+Bangula!N228+Bangula!O228</f>
        <v>0</v>
      </c>
      <c r="E228" s="15">
        <f>Chikwawa!M228+Chikwawa!N228+Chikwawa!O228</f>
        <v>0</v>
      </c>
      <c r="F228" s="15">
        <f>'Miseu Folo'!M228+'Miseu Folo'!N228+'Miseu Folo'!O228</f>
        <v>0</v>
      </c>
      <c r="G228" s="15">
        <f>Nchalo!M228+Nchalo!N228+Nchalo!O228</f>
        <v>0</v>
      </c>
      <c r="H228" s="15">
        <f>Nsanje!M228+Nsanje!N228+Nsanje!O228</f>
        <v>0</v>
      </c>
      <c r="I228" s="15">
        <f>Ngabu!M228+Ngabu!N228+Ngabu!O228</f>
        <v>0</v>
      </c>
      <c r="J228" s="9">
        <f t="shared" si="56"/>
        <v>0</v>
      </c>
    </row>
    <row r="229" spans="1:10" ht="15.6" x14ac:dyDescent="0.3">
      <c r="A229" s="656" t="s">
        <v>212</v>
      </c>
      <c r="B229" s="657"/>
      <c r="C229" s="11" t="s">
        <v>31</v>
      </c>
      <c r="D229" s="12">
        <f t="shared" ref="D229:I229" si="57">SUM(D225:D228)</f>
        <v>10427124.619999999</v>
      </c>
      <c r="E229" s="10">
        <f t="shared" si="57"/>
        <v>52622854.089999996</v>
      </c>
      <c r="F229" s="10">
        <f t="shared" si="57"/>
        <v>4931229</v>
      </c>
      <c r="G229" s="10">
        <f t="shared" si="57"/>
        <v>14759340.030000001</v>
      </c>
      <c r="H229" s="10">
        <f t="shared" si="57"/>
        <v>46155518.310000002</v>
      </c>
      <c r="I229" s="10">
        <f t="shared" si="57"/>
        <v>17007152.41</v>
      </c>
      <c r="J229" s="9">
        <f t="shared" si="56"/>
        <v>145903218.46000001</v>
      </c>
    </row>
    <row r="230" spans="1:10" ht="15.6" x14ac:dyDescent="0.3">
      <c r="A230" s="203" t="s">
        <v>213</v>
      </c>
      <c r="B230" s="120"/>
      <c r="C230" s="11" t="s">
        <v>31</v>
      </c>
      <c r="D230" s="12">
        <f>D223+D229</f>
        <v>22123610.920000002</v>
      </c>
      <c r="E230" s="12">
        <f t="shared" ref="E230:I230" si="58">E223+E229</f>
        <v>101088132.59</v>
      </c>
      <c r="F230" s="12">
        <f t="shared" si="58"/>
        <v>8231950.1699999999</v>
      </c>
      <c r="G230" s="12">
        <f t="shared" si="58"/>
        <v>51841970.230000004</v>
      </c>
      <c r="H230" s="12">
        <f t="shared" si="58"/>
        <v>73817830.590000004</v>
      </c>
      <c r="I230" s="12">
        <f t="shared" si="58"/>
        <v>34619227.609999999</v>
      </c>
      <c r="J230" s="9">
        <f t="shared" si="56"/>
        <v>291722722.11000001</v>
      </c>
    </row>
    <row r="231" spans="1:10" x14ac:dyDescent="0.3">
      <c r="A231" s="595" t="s">
        <v>30</v>
      </c>
      <c r="B231" s="596"/>
      <c r="C231" s="596"/>
      <c r="D231" s="596"/>
      <c r="E231" s="596"/>
      <c r="F231" s="596"/>
      <c r="G231" s="596"/>
      <c r="H231" s="596"/>
      <c r="I231" s="596"/>
      <c r="J231" s="597"/>
    </row>
    <row r="232" spans="1:10" ht="15.6" x14ac:dyDescent="0.3">
      <c r="A232" s="591" t="s">
        <v>29</v>
      </c>
      <c r="B232" s="592"/>
      <c r="C232" s="11" t="s">
        <v>18</v>
      </c>
      <c r="D232" s="15">
        <f>Bangula!M232+Bangula!N232+Bangula!O232</f>
        <v>867979.71</v>
      </c>
      <c r="E232" s="15">
        <f>Chikwawa!M232+Chikwawa!N232+Chikwawa!O232</f>
        <v>2990732.81</v>
      </c>
      <c r="F232" s="15">
        <f>'Miseu Folo'!M232+'Miseu Folo'!N232+'Miseu Folo'!O232</f>
        <v>301197.21999999997</v>
      </c>
      <c r="G232" s="15">
        <f>Nchalo!M232+Nchalo!N232+Nchalo!O232</f>
        <v>2209994.9900000002</v>
      </c>
      <c r="H232" s="15">
        <f>Nsanje!M232+Nsanje!N232+Nsanje!O232</f>
        <v>1668802.73</v>
      </c>
      <c r="I232" s="15">
        <f>Ngabu!M232+Ngabu!N232+Ngabu!O232</f>
        <v>1243202.31</v>
      </c>
      <c r="J232" s="9">
        <f>SUM(D232:I232)</f>
        <v>9281909.7700000014</v>
      </c>
    </row>
    <row r="233" spans="1:10" ht="15.6" x14ac:dyDescent="0.3">
      <c r="A233" s="591" t="s">
        <v>28</v>
      </c>
      <c r="B233" s="592"/>
      <c r="C233" s="11" t="s">
        <v>18</v>
      </c>
      <c r="D233" s="15">
        <f>Bangula!M233+Bangula!N233+Bangula!O233</f>
        <v>7476.46</v>
      </c>
      <c r="E233" s="15">
        <f>Chikwawa!M233+Chikwawa!N233+Chikwawa!O233</f>
        <v>5216.8999999999996</v>
      </c>
      <c r="F233" s="15">
        <f>'Miseu Folo'!M233+'Miseu Folo'!N233+'Miseu Folo'!O233</f>
        <v>0</v>
      </c>
      <c r="G233" s="15">
        <f>Nchalo!M233+Nchalo!N233+Nchalo!O233</f>
        <v>4173.12</v>
      </c>
      <c r="H233" s="15">
        <f>Nsanje!M233+Nsanje!N233+Nsanje!O233</f>
        <v>4173.12</v>
      </c>
      <c r="I233" s="15">
        <f>Ngabu!M233+Ngabu!N233+Ngabu!O233</f>
        <v>8694.130000000001</v>
      </c>
      <c r="J233" s="9">
        <f>SUM(D233:I233)</f>
        <v>29733.73</v>
      </c>
    </row>
    <row r="234" spans="1:10" ht="15.6" x14ac:dyDescent="0.3">
      <c r="A234" s="591" t="s">
        <v>27</v>
      </c>
      <c r="B234" s="592"/>
      <c r="C234" s="11" t="s">
        <v>18</v>
      </c>
      <c r="D234" s="15">
        <f>Bangula!M234+Bangula!N234+Bangula!O234</f>
        <v>64787.91</v>
      </c>
      <c r="E234" s="15">
        <f>Chikwawa!M234+Chikwawa!N234+Chikwawa!O234</f>
        <v>222129.12</v>
      </c>
      <c r="F234" s="15">
        <f>'Miseu Folo'!M234+'Miseu Folo'!N234+'Miseu Folo'!O234</f>
        <v>33937.39</v>
      </c>
      <c r="G234" s="15">
        <f>Nchalo!M234+Nchalo!N234+Nchalo!O234</f>
        <v>80212.91</v>
      </c>
      <c r="H234" s="15">
        <f>Nsanje!M234+Nsanje!N234+Nsanje!O234</f>
        <v>111065.56</v>
      </c>
      <c r="I234" s="15">
        <f>Ngabu!M234+Ngabu!N234+Ngabu!O234</f>
        <v>123405.56</v>
      </c>
      <c r="J234" s="9">
        <f>SUM(D234:I234)</f>
        <v>635538.45000000007</v>
      </c>
    </row>
    <row r="235" spans="1:10" ht="15.6" x14ac:dyDescent="0.3">
      <c r="A235" s="591" t="s">
        <v>26</v>
      </c>
      <c r="B235" s="592"/>
      <c r="C235" s="11" t="s">
        <v>18</v>
      </c>
      <c r="D235" s="15">
        <f>Bangula!M235+Bangula!N235+Bangula!O235</f>
        <v>0</v>
      </c>
      <c r="E235" s="15">
        <f>Chikwawa!M235+Chikwawa!N235+Chikwawa!O235</f>
        <v>164415.24</v>
      </c>
      <c r="F235" s="15">
        <f>'Miseu Folo'!M235+'Miseu Folo'!N235+'Miseu Folo'!O235</f>
        <v>4216</v>
      </c>
      <c r="G235" s="15">
        <f>Nchalo!M235+Nchalo!N235+Nchalo!O235</f>
        <v>88530.62</v>
      </c>
      <c r="H235" s="15">
        <f>Nsanje!M235+Nsanje!N235+Nsanje!O235</f>
        <v>33725.54</v>
      </c>
      <c r="I235" s="15">
        <f>Ngabu!M235+Ngabu!N235+Ngabu!O235</f>
        <v>71668.850000000006</v>
      </c>
      <c r="J235" s="9">
        <f>SUM(D235:I235)</f>
        <v>362556.25</v>
      </c>
    </row>
    <row r="236" spans="1:10" ht="15.6" x14ac:dyDescent="0.3">
      <c r="A236" s="656" t="s">
        <v>25</v>
      </c>
      <c r="B236" s="657"/>
      <c r="C236" s="11" t="s">
        <v>18</v>
      </c>
      <c r="D236" s="12">
        <f>SUM(D232:D235)</f>
        <v>940244.08</v>
      </c>
      <c r="E236" s="12">
        <f t="shared" ref="E236:J236" si="59">SUM(E232:E235)</f>
        <v>3382494.0700000003</v>
      </c>
      <c r="F236" s="12">
        <f t="shared" si="59"/>
        <v>339350.61</v>
      </c>
      <c r="G236" s="12">
        <f t="shared" si="59"/>
        <v>2382911.6400000006</v>
      </c>
      <c r="H236" s="12">
        <f t="shared" si="59"/>
        <v>1817766.9500000002</v>
      </c>
      <c r="I236" s="12">
        <f t="shared" si="59"/>
        <v>1446970.85</v>
      </c>
      <c r="J236" s="40">
        <f t="shared" si="59"/>
        <v>10309738.200000001</v>
      </c>
    </row>
    <row r="237" spans="1:10" x14ac:dyDescent="0.3">
      <c r="A237" s="595" t="s">
        <v>24</v>
      </c>
      <c r="B237" s="596"/>
      <c r="C237" s="596"/>
      <c r="D237" s="596"/>
      <c r="E237" s="596"/>
      <c r="F237" s="596"/>
      <c r="G237" s="596"/>
      <c r="H237" s="596"/>
      <c r="I237" s="596"/>
      <c r="J237" s="597"/>
    </row>
    <row r="238" spans="1:10" ht="15.6" x14ac:dyDescent="0.3">
      <c r="A238" s="591" t="s">
        <v>23</v>
      </c>
      <c r="B238" s="592"/>
      <c r="C238" s="11" t="s">
        <v>18</v>
      </c>
      <c r="D238" s="15">
        <f>Bangula!M238+Bangula!N238+Bangula!O238</f>
        <v>1488631</v>
      </c>
      <c r="E238" s="15">
        <f>Chikwawa!M238+Chikwawa!N238+Chikwawa!O238</f>
        <v>5539279</v>
      </c>
      <c r="F238" s="15">
        <f>'Miseu Folo'!M238+'Miseu Folo'!N238+'Miseu Folo'!O238</f>
        <v>542944</v>
      </c>
      <c r="G238" s="15">
        <f>Nchalo!M238+Nchalo!N238+Nchalo!O238</f>
        <v>3965813</v>
      </c>
      <c r="H238" s="15">
        <f>Nsanje!M238+Nsanje!N238+Nsanje!O238</f>
        <v>2923682</v>
      </c>
      <c r="I238" s="15">
        <f>Ngabu!M238+Ngabu!N238+Ngabu!O238</f>
        <v>2276257</v>
      </c>
      <c r="J238" s="9">
        <f>SUM(D238:I238)</f>
        <v>16736606</v>
      </c>
    </row>
    <row r="239" spans="1:10" ht="15.6" x14ac:dyDescent="0.3">
      <c r="A239" s="591" t="s">
        <v>22</v>
      </c>
      <c r="B239" s="592"/>
      <c r="C239" s="11" t="s">
        <v>18</v>
      </c>
      <c r="D239" s="15">
        <f>Bangula!M239+Bangula!N239+Bangula!O239</f>
        <v>38399</v>
      </c>
      <c r="E239" s="15">
        <f>Chikwawa!M239+Chikwawa!N239+Chikwawa!O239</f>
        <v>26790</v>
      </c>
      <c r="F239" s="15">
        <f>'Miseu Folo'!M239+'Miseu Folo'!N239+'Miseu Folo'!O239</f>
        <v>0</v>
      </c>
      <c r="G239" s="15">
        <f>Nchalo!M239+Nchalo!N239+Nchalo!O239</f>
        <v>21432</v>
      </c>
      <c r="H239" s="15">
        <f>Nsanje!M239+Nsanje!N239+Nsanje!O239</f>
        <v>21432</v>
      </c>
      <c r="I239" s="15">
        <f>Ngabu!M239+Ngabu!N239+Ngabu!O239</f>
        <v>44650</v>
      </c>
      <c r="J239" s="9">
        <f>SUM(D239:I239)</f>
        <v>152703</v>
      </c>
    </row>
    <row r="240" spans="1:10" ht="15.6" x14ac:dyDescent="0.3">
      <c r="A240" s="591" t="s">
        <v>21</v>
      </c>
      <c r="B240" s="592"/>
      <c r="C240" s="11" t="s">
        <v>18</v>
      </c>
      <c r="D240" s="15">
        <f>Bangula!M240+Bangula!N240+Bangula!O240</f>
        <v>18753</v>
      </c>
      <c r="E240" s="15">
        <f>Chikwawa!M240+Chikwawa!N240+Chikwawa!O240</f>
        <v>64296</v>
      </c>
      <c r="F240" s="15">
        <f>'Miseu Folo'!M240+'Miseu Folo'!N240+'Miseu Folo'!O240</f>
        <v>9823</v>
      </c>
      <c r="G240" s="15">
        <f>Nchalo!M240+Nchalo!N240+Nchalo!O240</f>
        <v>23218</v>
      </c>
      <c r="H240" s="15">
        <f>Nsanje!M240+Nsanje!N240+Nsanje!O240</f>
        <v>32148</v>
      </c>
      <c r="I240" s="15">
        <f>Ngabu!M240+Ngabu!N240+Ngabu!O240</f>
        <v>35720</v>
      </c>
      <c r="J240" s="9">
        <f>SUM(D240:I240)</f>
        <v>183958</v>
      </c>
    </row>
    <row r="241" spans="1:10" ht="15.6" x14ac:dyDescent="0.3">
      <c r="A241" s="591" t="s">
        <v>20</v>
      </c>
      <c r="B241" s="592"/>
      <c r="C241" s="11" t="s">
        <v>18</v>
      </c>
      <c r="D241" s="15">
        <f>Bangula!M241+Bangula!N241+Bangula!O241</f>
        <v>0</v>
      </c>
      <c r="E241" s="15">
        <f>Chikwawa!M241+Chikwawa!N241+Chikwawa!O241</f>
        <v>34827</v>
      </c>
      <c r="F241" s="15">
        <f>'Miseu Folo'!M241+'Miseu Folo'!N241+'Miseu Folo'!O241</f>
        <v>893</v>
      </c>
      <c r="G241" s="15">
        <f>Nchalo!M241+Nchalo!N241+Nchalo!O241</f>
        <v>18753</v>
      </c>
      <c r="H241" s="15">
        <f>Nsanje!M241+Nsanje!N241+Nsanje!O241</f>
        <v>7144</v>
      </c>
      <c r="I241" s="15">
        <f>Ngabu!M241+Ngabu!N241+Ngabu!O241</f>
        <v>15181</v>
      </c>
      <c r="J241" s="9">
        <f>SUM(D241:I241)</f>
        <v>76798</v>
      </c>
    </row>
    <row r="242" spans="1:10" ht="15.6" x14ac:dyDescent="0.3">
      <c r="A242" s="656" t="s">
        <v>19</v>
      </c>
      <c r="B242" s="657"/>
      <c r="C242" s="11" t="s">
        <v>18</v>
      </c>
      <c r="D242" s="12">
        <f t="shared" ref="D242:J242" si="60">SUM(D238:D241)</f>
        <v>1545783</v>
      </c>
      <c r="E242" s="12">
        <f t="shared" si="60"/>
        <v>5665192</v>
      </c>
      <c r="F242" s="12">
        <f t="shared" si="60"/>
        <v>553660</v>
      </c>
      <c r="G242" s="12">
        <f t="shared" si="60"/>
        <v>4029216</v>
      </c>
      <c r="H242" s="12">
        <f t="shared" si="60"/>
        <v>2984406</v>
      </c>
      <c r="I242" s="12">
        <f t="shared" si="60"/>
        <v>2371808</v>
      </c>
      <c r="J242" s="40">
        <f t="shared" si="60"/>
        <v>17150065</v>
      </c>
    </row>
    <row r="243" spans="1:10" ht="15.6" x14ac:dyDescent="0.3">
      <c r="A243" s="656" t="s">
        <v>214</v>
      </c>
      <c r="B243" s="657"/>
      <c r="C243" s="11" t="s">
        <v>18</v>
      </c>
      <c r="D243" s="10">
        <f>D230+D236+D242</f>
        <v>24609638</v>
      </c>
      <c r="E243" s="10">
        <f t="shared" ref="E243:I243" si="61">E230+E236+E242</f>
        <v>110135818.66</v>
      </c>
      <c r="F243" s="10">
        <f t="shared" si="61"/>
        <v>9124960.7799999993</v>
      </c>
      <c r="G243" s="10">
        <f t="shared" si="61"/>
        <v>58254097.870000005</v>
      </c>
      <c r="H243" s="10">
        <f t="shared" si="61"/>
        <v>78620003.540000007</v>
      </c>
      <c r="I243" s="10">
        <f t="shared" si="61"/>
        <v>38438006.460000001</v>
      </c>
      <c r="J243" s="40">
        <f t="shared" ref="J243" si="62">J216+J223+J236+J242</f>
        <v>330130313.02000004</v>
      </c>
    </row>
    <row r="244" spans="1:10" x14ac:dyDescent="0.3">
      <c r="A244" s="595" t="s">
        <v>204</v>
      </c>
      <c r="B244" s="596"/>
      <c r="C244" s="596"/>
      <c r="D244" s="596"/>
      <c r="E244" s="596"/>
      <c r="F244" s="596"/>
      <c r="G244" s="596"/>
      <c r="H244" s="596"/>
      <c r="I244" s="596"/>
      <c r="J244" s="597"/>
    </row>
    <row r="245" spans="1:10" ht="15.6" x14ac:dyDescent="0.3">
      <c r="A245" s="663" t="s">
        <v>205</v>
      </c>
      <c r="B245" s="664"/>
      <c r="C245" s="11" t="s">
        <v>18</v>
      </c>
      <c r="D245" s="15">
        <f>Bangula!O245</f>
        <v>24969495.48</v>
      </c>
      <c r="E245" s="15">
        <f>Chikwawa!O245</f>
        <v>103169500.08</v>
      </c>
      <c r="F245" s="15">
        <f>'Miseu Folo'!O245</f>
        <v>8954614.7400000002</v>
      </c>
      <c r="G245" s="15">
        <f>Nchalo!O245</f>
        <v>59639648.439999998</v>
      </c>
      <c r="H245" s="15">
        <f>Nsanje!O245</f>
        <v>38649396.310000002</v>
      </c>
      <c r="I245" s="15">
        <f>Ngabu!O245</f>
        <v>44071877.020000003</v>
      </c>
      <c r="J245" s="40">
        <f t="shared" ref="J245:J246" si="63">SUM(J241:J244)</f>
        <v>347357176.02000004</v>
      </c>
    </row>
    <row r="246" spans="1:10" ht="15.6" x14ac:dyDescent="0.3">
      <c r="A246" s="663" t="s">
        <v>206</v>
      </c>
      <c r="B246" s="664"/>
      <c r="C246" s="11" t="s">
        <v>18</v>
      </c>
      <c r="D246" s="15">
        <f>Bangula!O246</f>
        <v>0</v>
      </c>
      <c r="E246" s="15">
        <f>Chikwawa!O246</f>
        <v>0</v>
      </c>
      <c r="F246" s="15">
        <f>'Miseu Folo'!O246</f>
        <v>0</v>
      </c>
      <c r="G246" s="15">
        <f>Nchalo!O246</f>
        <v>0</v>
      </c>
      <c r="H246" s="15">
        <f>Nsanje!O246</f>
        <v>0</v>
      </c>
      <c r="I246" s="15">
        <f>Ngabu!O246</f>
        <v>0</v>
      </c>
      <c r="J246" s="40">
        <f t="shared" si="63"/>
        <v>694637554.04000008</v>
      </c>
    </row>
    <row r="247" spans="1:10" ht="15.6" x14ac:dyDescent="0.3">
      <c r="A247" s="665" t="s">
        <v>207</v>
      </c>
      <c r="B247" s="666"/>
      <c r="C247" s="11" t="s">
        <v>18</v>
      </c>
      <c r="D247" s="143">
        <f>D245+D246</f>
        <v>24969495.48</v>
      </c>
      <c r="E247" s="143">
        <f t="shared" ref="E247:I247" si="64">E245+E246</f>
        <v>103169500.08</v>
      </c>
      <c r="F247" s="143">
        <f t="shared" si="64"/>
        <v>8954614.7400000002</v>
      </c>
      <c r="G247" s="143">
        <f t="shared" si="64"/>
        <v>59639648.439999998</v>
      </c>
      <c r="H247" s="143">
        <f t="shared" si="64"/>
        <v>38649396.310000002</v>
      </c>
      <c r="I247" s="143">
        <f t="shared" si="64"/>
        <v>44071877.020000003</v>
      </c>
      <c r="J247" s="161">
        <f t="shared" ref="J247" si="65">SUM(J243:J246)</f>
        <v>1372125043.0800002</v>
      </c>
    </row>
    <row r="248" spans="1:10" x14ac:dyDescent="0.3">
      <c r="A248" s="595" t="s">
        <v>17</v>
      </c>
      <c r="B248" s="596"/>
      <c r="C248" s="596"/>
      <c r="D248" s="596"/>
      <c r="E248" s="596"/>
      <c r="F248" s="596"/>
      <c r="G248" s="596"/>
      <c r="H248" s="596"/>
      <c r="I248" s="596"/>
      <c r="J248" s="597"/>
    </row>
    <row r="249" spans="1:10" ht="15.6" x14ac:dyDescent="0.3">
      <c r="A249" s="620" t="s">
        <v>16</v>
      </c>
      <c r="B249" s="621"/>
      <c r="C249" s="5" t="s">
        <v>6</v>
      </c>
      <c r="D249" s="8">
        <f>D58/D243%</f>
        <v>5.6637403519913629</v>
      </c>
      <c r="E249" s="8">
        <f t="shared" ref="E249:J249" si="66">E58/E243%</f>
        <v>7.2713345798268749</v>
      </c>
      <c r="F249" s="8">
        <f t="shared" si="66"/>
        <v>6.4227409095779153</v>
      </c>
      <c r="G249" s="8">
        <f t="shared" si="66"/>
        <v>3.762617301003274</v>
      </c>
      <c r="H249" s="8">
        <f t="shared" si="66"/>
        <v>10.765768762263784</v>
      </c>
      <c r="I249" s="8">
        <f t="shared" si="66"/>
        <v>8.4738752939608109</v>
      </c>
      <c r="J249" s="112">
        <f t="shared" si="66"/>
        <v>7.2399766974267532</v>
      </c>
    </row>
    <row r="250" spans="1:10" ht="15.6" x14ac:dyDescent="0.3">
      <c r="A250" s="620" t="s">
        <v>208</v>
      </c>
      <c r="B250" s="621"/>
      <c r="C250" s="5" t="s">
        <v>6</v>
      </c>
      <c r="D250" s="29">
        <f>D210/(D223+D245)%</f>
        <v>33.76342702148149</v>
      </c>
      <c r="E250" s="29">
        <f t="shared" ref="E250:J250" si="67">E210/(E223+E245)%</f>
        <v>34.185760341682688</v>
      </c>
      <c r="F250" s="29">
        <f t="shared" si="67"/>
        <v>23.328524170987002</v>
      </c>
      <c r="G250" s="29">
        <f t="shared" si="67"/>
        <v>39.90143588701541</v>
      </c>
      <c r="H250" s="29">
        <f t="shared" si="67"/>
        <v>38.024462853008806</v>
      </c>
      <c r="I250" s="29">
        <f t="shared" si="67"/>
        <v>19.570615314895267</v>
      </c>
      <c r="J250" s="109">
        <f t="shared" si="67"/>
        <v>28.986845261145877</v>
      </c>
    </row>
    <row r="251" spans="1:10" ht="16.2" thickBot="1" x14ac:dyDescent="0.35">
      <c r="A251" s="669" t="s">
        <v>15</v>
      </c>
      <c r="B251" s="670"/>
      <c r="C251" s="5" t="s">
        <v>6</v>
      </c>
      <c r="D251" s="7">
        <f>D210/D223%</f>
        <v>105.84111914019853</v>
      </c>
      <c r="E251" s="7">
        <f t="shared" ref="E251:J251" si="68">E210/E223%</f>
        <v>106.95801944065995</v>
      </c>
      <c r="F251" s="7">
        <f t="shared" si="68"/>
        <v>86.617101316679836</v>
      </c>
      <c r="G251" s="7">
        <f t="shared" si="68"/>
        <v>104.07454323453032</v>
      </c>
      <c r="H251" s="7">
        <f t="shared" si="68"/>
        <v>91.151711197441529</v>
      </c>
      <c r="I251" s="7">
        <f t="shared" si="68"/>
        <v>68.543478624256622</v>
      </c>
      <c r="J251" s="113">
        <f t="shared" si="68"/>
        <v>98.036515981516288</v>
      </c>
    </row>
    <row r="252" spans="1:10" x14ac:dyDescent="0.3">
      <c r="A252" s="649" t="s">
        <v>14</v>
      </c>
      <c r="B252" s="650"/>
      <c r="C252" s="650"/>
      <c r="D252" s="650"/>
      <c r="E252" s="650"/>
      <c r="F252" s="650"/>
      <c r="G252" s="650"/>
      <c r="H252" s="650"/>
      <c r="I252" s="650"/>
      <c r="J252" s="651"/>
    </row>
    <row r="253" spans="1:10" s="2" customFormat="1" ht="15" customHeight="1" x14ac:dyDescent="0.3">
      <c r="A253" s="620" t="s">
        <v>13</v>
      </c>
      <c r="B253" s="621"/>
      <c r="C253" s="5" t="s">
        <v>3</v>
      </c>
      <c r="D253" s="26">
        <f>Bangula!M253+Bangula!N253+Bangula!O253</f>
        <v>17</v>
      </c>
      <c r="E253" s="26">
        <f>Chikwawa!M253+Chikwawa!N253+Chikwawa!O253</f>
        <v>41</v>
      </c>
      <c r="F253" s="26">
        <f>'Miseu Folo'!M253+'Miseu Folo'!N253+'Miseu Folo'!O253</f>
        <v>19</v>
      </c>
      <c r="G253" s="26">
        <f>Nchalo!M253+Nchalo!N253+Nchalo!O253</f>
        <v>41</v>
      </c>
      <c r="H253" s="26">
        <f>Nsanje!M253+Nsanje!N253+Nsanje!O253</f>
        <v>22</v>
      </c>
      <c r="I253" s="26">
        <f>Ngabu!M253+Ngabu!N253+Ngabu!O253</f>
        <v>145</v>
      </c>
      <c r="J253" s="114">
        <f>SUM(D253:I253)</f>
        <v>285</v>
      </c>
    </row>
    <row r="254" spans="1:10" s="2" customFormat="1" ht="15.6" x14ac:dyDescent="0.3">
      <c r="A254" s="620" t="s">
        <v>12</v>
      </c>
      <c r="B254" s="621"/>
      <c r="C254" s="5" t="s">
        <v>3</v>
      </c>
      <c r="D254" s="26">
        <f>Bangula!M254+Bangula!N254+Bangula!O254</f>
        <v>6</v>
      </c>
      <c r="E254" s="26">
        <f>Chikwawa!M254+Chikwawa!N254+Chikwawa!O254</f>
        <v>3</v>
      </c>
      <c r="F254" s="26">
        <f>'Miseu Folo'!M254+'Miseu Folo'!N254+'Miseu Folo'!O254</f>
        <v>11</v>
      </c>
      <c r="G254" s="26">
        <f>Nchalo!M254+Nchalo!N254+Nchalo!O254</f>
        <v>14</v>
      </c>
      <c r="H254" s="26">
        <f>Nsanje!M254+Nsanje!N254+Nsanje!O254</f>
        <v>44</v>
      </c>
      <c r="I254" s="26">
        <f>Ngabu!M254+Ngabu!N254+Ngabu!O254</f>
        <v>6</v>
      </c>
      <c r="J254" s="114">
        <f>SUM(D254:I254)</f>
        <v>84</v>
      </c>
    </row>
    <row r="255" spans="1:10" ht="15.75" customHeight="1" x14ac:dyDescent="0.3">
      <c r="A255" s="620" t="s">
        <v>11</v>
      </c>
      <c r="B255" s="621"/>
      <c r="C255" s="5" t="s">
        <v>3</v>
      </c>
      <c r="D255" s="26">
        <f>Bangula!M255+Bangula!N255+Bangula!O255</f>
        <v>63</v>
      </c>
      <c r="E255" s="26">
        <f>Chikwawa!M255+Chikwawa!N255+Chikwawa!O255</f>
        <v>735</v>
      </c>
      <c r="F255" s="26">
        <f>'Miseu Folo'!M255+'Miseu Folo'!N255+'Miseu Folo'!O255</f>
        <v>697</v>
      </c>
      <c r="G255" s="26">
        <f>Nchalo!M255+Nchalo!N255+Nchalo!O255</f>
        <v>89</v>
      </c>
      <c r="H255" s="26">
        <f>Nsanje!M255+Nsanje!N255+Nsanje!O255</f>
        <v>416</v>
      </c>
      <c r="I255" s="26">
        <f>Ngabu!M255+Ngabu!N255+Ngabu!O255</f>
        <v>151</v>
      </c>
      <c r="J255" s="114">
        <f>SUM(D255:I255)</f>
        <v>2151</v>
      </c>
    </row>
    <row r="256" spans="1:10" ht="15.6" x14ac:dyDescent="0.3">
      <c r="A256" s="620" t="s">
        <v>10</v>
      </c>
      <c r="B256" s="621"/>
      <c r="C256" s="5" t="s">
        <v>3</v>
      </c>
      <c r="D256" s="26">
        <f>Bangula!M256+Bangula!N256+Bangula!O256</f>
        <v>6</v>
      </c>
      <c r="E256" s="26">
        <f>Chikwawa!M256+Chikwawa!N256+Chikwawa!O256</f>
        <v>41</v>
      </c>
      <c r="F256" s="26">
        <f>'Miseu Folo'!M256+'Miseu Folo'!N256+'Miseu Folo'!O256</f>
        <v>18</v>
      </c>
      <c r="G256" s="26">
        <f>Nchalo!M256+Nchalo!N256+Nchalo!O256</f>
        <v>61</v>
      </c>
      <c r="H256" s="26">
        <f>Nsanje!M256+Nsanje!N256+Nsanje!O256</f>
        <v>32</v>
      </c>
      <c r="I256" s="26">
        <f>Ngabu!M256+Ngabu!N256+Ngabu!O256</f>
        <v>0</v>
      </c>
      <c r="J256" s="114">
        <f>SUM(D256:I256)</f>
        <v>158</v>
      </c>
    </row>
    <row r="257" spans="1:10" ht="15.6" customHeight="1" x14ac:dyDescent="0.3">
      <c r="A257" s="620" t="s">
        <v>9</v>
      </c>
      <c r="B257" s="621"/>
      <c r="C257" s="5" t="s">
        <v>3</v>
      </c>
      <c r="D257" s="26">
        <f>Bangula!M257+Bangula!N257+Bangula!O257</f>
        <v>114</v>
      </c>
      <c r="E257" s="26">
        <f>Chikwawa!M257+Chikwawa!N257+Chikwawa!O257</f>
        <v>90</v>
      </c>
      <c r="F257" s="26">
        <f>'Miseu Folo'!M257+'Miseu Folo'!N257+'Miseu Folo'!O257</f>
        <v>13</v>
      </c>
      <c r="G257" s="26">
        <f>Nchalo!M257+Nchalo!N257+Nchalo!O257</f>
        <v>115</v>
      </c>
      <c r="H257" s="26">
        <f>Nsanje!M257+Nsanje!N257+Nsanje!O257</f>
        <v>243</v>
      </c>
      <c r="I257" s="26">
        <f>Ngabu!M257+Ngabu!N257+Ngabu!O257</f>
        <v>80</v>
      </c>
      <c r="J257" s="114">
        <f>SUM(D257:I257)</f>
        <v>655</v>
      </c>
    </row>
    <row r="258" spans="1:10" ht="15.6" x14ac:dyDescent="0.3">
      <c r="A258" s="656" t="s">
        <v>8</v>
      </c>
      <c r="B258" s="657"/>
      <c r="C258" s="5" t="s">
        <v>3</v>
      </c>
      <c r="D258" s="1">
        <f t="shared" ref="D258:J258" si="69">D257/D256</f>
        <v>19</v>
      </c>
      <c r="E258" s="1">
        <f t="shared" si="69"/>
        <v>2.1951219512195124</v>
      </c>
      <c r="F258" s="1">
        <f t="shared" si="69"/>
        <v>0.72222222222222221</v>
      </c>
      <c r="G258" s="3">
        <f t="shared" si="69"/>
        <v>1.8852459016393444</v>
      </c>
      <c r="H258" s="3">
        <f t="shared" si="69"/>
        <v>7.59375</v>
      </c>
      <c r="I258" s="3" t="e">
        <f t="shared" si="69"/>
        <v>#DIV/0!</v>
      </c>
      <c r="J258" s="114">
        <f t="shared" si="69"/>
        <v>4.1455696202531644</v>
      </c>
    </row>
    <row r="259" spans="1:10" ht="15.6" x14ac:dyDescent="0.3">
      <c r="A259" s="656" t="s">
        <v>7</v>
      </c>
      <c r="B259" s="657"/>
      <c r="C259" s="5" t="s">
        <v>6</v>
      </c>
      <c r="D259" s="1">
        <f t="shared" ref="D259:J259" si="70">D92/D255*100</f>
        <v>22.222222222222221</v>
      </c>
      <c r="E259" s="1">
        <f t="shared" si="70"/>
        <v>8.9795918367346932</v>
      </c>
      <c r="F259" s="1">
        <f t="shared" si="70"/>
        <v>2.7259684361549499</v>
      </c>
      <c r="G259" s="6">
        <f t="shared" si="70"/>
        <v>40.449438202247187</v>
      </c>
      <c r="H259" s="6">
        <f t="shared" si="70"/>
        <v>8.8942307692307701</v>
      </c>
      <c r="I259" s="6">
        <f t="shared" si="70"/>
        <v>13.90728476821192</v>
      </c>
      <c r="J259" s="115">
        <f t="shared" si="70"/>
        <v>8.9725708972570892</v>
      </c>
    </row>
    <row r="260" spans="1:10" x14ac:dyDescent="0.3">
      <c r="A260" s="595" t="s">
        <v>5</v>
      </c>
      <c r="B260" s="596"/>
      <c r="C260" s="596"/>
      <c r="D260" s="596"/>
      <c r="E260" s="596"/>
      <c r="F260" s="596"/>
      <c r="G260" s="596"/>
      <c r="H260" s="596"/>
      <c r="I260" s="596"/>
      <c r="J260" s="597"/>
    </row>
    <row r="261" spans="1:10" s="2" customFormat="1" ht="15" customHeight="1" x14ac:dyDescent="0.3">
      <c r="A261" s="620" t="s">
        <v>4</v>
      </c>
      <c r="B261" s="621"/>
      <c r="C261" s="5" t="s">
        <v>3</v>
      </c>
      <c r="D261" s="26">
        <f>Bangula!M261+Bangula!N261+Bangula!O261</f>
        <v>53</v>
      </c>
      <c r="E261" s="26">
        <f>Chikwawa!M261+Chikwawa!N261+Chikwawa!O261</f>
        <v>27</v>
      </c>
      <c r="F261" s="26">
        <f>'Miseu Folo'!M261+'Miseu Folo'!N261+'Miseu Folo'!O261</f>
        <v>17</v>
      </c>
      <c r="G261" s="26">
        <f>Nchalo!M261+Nchalo!N261+Nchalo!O261</f>
        <v>40</v>
      </c>
      <c r="H261" s="26">
        <f>Nsanje!M261+Nsanje!N261+Nsanje!O261</f>
        <v>17</v>
      </c>
      <c r="I261" s="26">
        <f>Ngabu!M261+Ngabu!N261+Ngabu!O261</f>
        <v>45</v>
      </c>
      <c r="J261" s="114">
        <f>SUM(D261:I261)</f>
        <v>199</v>
      </c>
    </row>
    <row r="262" spans="1:10" s="2" customFormat="1" ht="15.75" customHeight="1" x14ac:dyDescent="0.3">
      <c r="A262" s="620" t="s">
        <v>2</v>
      </c>
      <c r="B262" s="621"/>
      <c r="C262" s="5" t="s">
        <v>0</v>
      </c>
      <c r="D262" s="26">
        <f>Bangula!M262+Bangula!N262+Bangula!O262</f>
        <v>118</v>
      </c>
      <c r="E262" s="26">
        <f>Chikwawa!M262+Chikwawa!N262+Chikwawa!O262</f>
        <v>180</v>
      </c>
      <c r="F262" s="26">
        <f>'Miseu Folo'!M262+'Miseu Folo'!N262+'Miseu Folo'!O262</f>
        <v>15</v>
      </c>
      <c r="G262" s="26">
        <f>Nchalo!M262+Nchalo!N262+Nchalo!O262</f>
        <v>27</v>
      </c>
      <c r="H262" s="26">
        <f>Nsanje!M262+Nsanje!N262+Nsanje!O262</f>
        <v>34</v>
      </c>
      <c r="I262" s="26">
        <f>Ngabu!M262+Ngabu!N262+Ngabu!O262</f>
        <v>10</v>
      </c>
      <c r="J262" s="114">
        <f>SUM(D262:I262)</f>
        <v>384</v>
      </c>
    </row>
    <row r="263" spans="1:10" ht="16.2" thickBot="1" x14ac:dyDescent="0.35">
      <c r="A263" s="667" t="s">
        <v>1</v>
      </c>
      <c r="B263" s="668"/>
      <c r="C263" s="116" t="s">
        <v>0</v>
      </c>
      <c r="D263" s="117">
        <f t="shared" ref="D263:J263" si="71">D261/D262</f>
        <v>0.44915254237288138</v>
      </c>
      <c r="E263" s="117">
        <f t="shared" si="71"/>
        <v>0.15</v>
      </c>
      <c r="F263" s="117">
        <f t="shared" si="71"/>
        <v>1.1333333333333333</v>
      </c>
      <c r="G263" s="117">
        <f t="shared" si="71"/>
        <v>1.4814814814814814</v>
      </c>
      <c r="H263" s="117">
        <f t="shared" si="71"/>
        <v>0.5</v>
      </c>
      <c r="I263" s="117">
        <f t="shared" si="71"/>
        <v>4.5</v>
      </c>
      <c r="J263" s="174">
        <f t="shared" si="71"/>
        <v>0.51822916666666663</v>
      </c>
    </row>
  </sheetData>
  <mergeCells count="155"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7:B7"/>
    <mergeCell ref="A8:J8"/>
    <mergeCell ref="A9:B9"/>
    <mergeCell ref="A10:J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/>
  <dimension ref="A1:J265"/>
  <sheetViews>
    <sheetView tabSelected="1" workbookViewId="0">
      <pane xSplit="2" ySplit="8" topLeftCell="C114" activePane="bottomRight" state="frozen"/>
      <selection pane="topRight" activeCell="C1" sqref="C1"/>
      <selection pane="bottomLeft" activeCell="A9" sqref="A9"/>
      <selection pane="bottomRight" activeCell="J1" sqref="J1:J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109375" customWidth="1"/>
    <col min="10" max="10" width="21.109375" bestFit="1" customWidth="1"/>
  </cols>
  <sheetData>
    <row r="1" spans="1:10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21"/>
    </row>
    <row r="2" spans="1:10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3"/>
    </row>
    <row r="3" spans="1:10" ht="18" thickBot="1" x14ac:dyDescent="0.35">
      <c r="A3" s="186" t="s">
        <v>217</v>
      </c>
      <c r="B3" s="187"/>
      <c r="C3" s="187"/>
      <c r="D3" s="187"/>
      <c r="E3" s="187"/>
      <c r="F3" s="187"/>
      <c r="G3" s="187"/>
      <c r="H3" s="187"/>
      <c r="I3" s="187"/>
      <c r="J3" s="188"/>
    </row>
    <row r="4" spans="1:10" ht="18" thickBot="1" x14ac:dyDescent="0.35">
      <c r="A4" s="94" t="s">
        <v>226</v>
      </c>
      <c r="B4" s="124"/>
      <c r="C4" s="124"/>
      <c r="D4" s="124"/>
      <c r="E4" s="124"/>
      <c r="F4" s="124"/>
      <c r="G4" s="124"/>
      <c r="H4" s="124"/>
      <c r="I4" s="124"/>
      <c r="J4" s="125"/>
    </row>
    <row r="5" spans="1:10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126"/>
    </row>
    <row r="6" spans="1:10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9"/>
    </row>
    <row r="7" spans="1:10" ht="16.2" thickBot="1" x14ac:dyDescent="0.35">
      <c r="A7" s="589" t="s">
        <v>174</v>
      </c>
      <c r="B7" s="590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60" t="s">
        <v>223</v>
      </c>
      <c r="I7" s="60" t="s">
        <v>224</v>
      </c>
      <c r="J7" s="59" t="s">
        <v>160</v>
      </c>
    </row>
    <row r="8" spans="1:10" ht="15" thickBot="1" x14ac:dyDescent="0.35">
      <c r="A8" s="600" t="s">
        <v>159</v>
      </c>
      <c r="B8" s="601"/>
      <c r="C8" s="601"/>
      <c r="D8" s="601"/>
      <c r="E8" s="601"/>
      <c r="F8" s="601"/>
      <c r="G8" s="601"/>
      <c r="H8" s="601"/>
      <c r="I8" s="601"/>
      <c r="J8" s="602"/>
    </row>
    <row r="9" spans="1:10" ht="15.6" x14ac:dyDescent="0.3">
      <c r="A9" s="603" t="s">
        <v>176</v>
      </c>
      <c r="B9" s="604"/>
      <c r="C9" s="58" t="s">
        <v>152</v>
      </c>
      <c r="D9" s="57">
        <f>Bangula!P9</f>
        <v>129236</v>
      </c>
      <c r="E9" s="57">
        <f>Chikwawa!P9</f>
        <v>338631</v>
      </c>
      <c r="F9" s="57">
        <f>'Miseu Folo'!P9</f>
        <v>44406</v>
      </c>
      <c r="G9" s="57">
        <f>Nchalo!P9</f>
        <v>277541</v>
      </c>
      <c r="H9" s="57">
        <f>Nsanje!P9</f>
        <v>264365</v>
      </c>
      <c r="I9" s="57">
        <f>Ngabu!P9</f>
        <v>169178</v>
      </c>
      <c r="J9" s="150">
        <f>SUM(D9:I9)</f>
        <v>1223357</v>
      </c>
    </row>
    <row r="10" spans="1:10" x14ac:dyDescent="0.3">
      <c r="A10" s="595" t="s">
        <v>177</v>
      </c>
      <c r="B10" s="596"/>
      <c r="C10" s="596"/>
      <c r="D10" s="685"/>
      <c r="E10" s="685"/>
      <c r="F10" s="685"/>
      <c r="G10" s="685"/>
      <c r="H10" s="685"/>
      <c r="I10" s="685"/>
      <c r="J10" s="597"/>
    </row>
    <row r="11" spans="1:10" ht="15.6" x14ac:dyDescent="0.3">
      <c r="A11" s="598" t="s">
        <v>157</v>
      </c>
      <c r="B11" s="599"/>
      <c r="C11" s="11" t="s">
        <v>152</v>
      </c>
      <c r="D11" s="26">
        <f>Bangula!P11</f>
        <v>58308</v>
      </c>
      <c r="E11" s="26">
        <f>Chikwawa!P11</f>
        <v>202044</v>
      </c>
      <c r="F11" s="26">
        <f>'Miseu Folo'!P11</f>
        <v>11527</v>
      </c>
      <c r="G11" s="26">
        <f>Nchalo!P11</f>
        <v>166715</v>
      </c>
      <c r="H11" s="26">
        <f>Nsanje!P11</f>
        <v>111337</v>
      </c>
      <c r="I11" s="26">
        <f>Ngabu!P11</f>
        <v>70196</v>
      </c>
      <c r="J11" s="55">
        <f>SUM(D11:I11)</f>
        <v>620127</v>
      </c>
    </row>
    <row r="12" spans="1:10" ht="15.6" x14ac:dyDescent="0.3">
      <c r="A12" s="598" t="s">
        <v>156</v>
      </c>
      <c r="B12" s="599"/>
      <c r="C12" s="11" t="s">
        <v>152</v>
      </c>
      <c r="D12" s="26">
        <f>Bangula!P12</f>
        <v>17035</v>
      </c>
      <c r="E12" s="26">
        <f>Chikwawa!P12</f>
        <v>9608</v>
      </c>
      <c r="F12" s="26">
        <f>'Miseu Folo'!P12</f>
        <v>0</v>
      </c>
      <c r="G12" s="26">
        <f>Nchalo!P12</f>
        <v>8881</v>
      </c>
      <c r="H12" s="26">
        <f>Nsanje!P12</f>
        <v>8985</v>
      </c>
      <c r="I12" s="26">
        <f>Ngabu!P12</f>
        <v>12513</v>
      </c>
      <c r="J12" s="55">
        <f>SUM(D12:I12)</f>
        <v>57022</v>
      </c>
    </row>
    <row r="13" spans="1:10" ht="15.6" x14ac:dyDescent="0.3">
      <c r="A13" s="598" t="s">
        <v>155</v>
      </c>
      <c r="B13" s="599"/>
      <c r="C13" s="11" t="s">
        <v>152</v>
      </c>
      <c r="D13" s="26">
        <f>Bangula!P13</f>
        <v>754</v>
      </c>
      <c r="E13" s="26">
        <f>Chikwawa!P13</f>
        <v>3773</v>
      </c>
      <c r="F13" s="26">
        <f>'Miseu Folo'!P13</f>
        <v>54</v>
      </c>
      <c r="G13" s="26">
        <f>Nchalo!P13</f>
        <v>948</v>
      </c>
      <c r="H13" s="26">
        <f>Nsanje!P13</f>
        <v>1456</v>
      </c>
      <c r="I13" s="26">
        <f>Ngabu!P13</f>
        <v>2307</v>
      </c>
      <c r="J13" s="55">
        <f>SUM(D13:I13)</f>
        <v>9292</v>
      </c>
    </row>
    <row r="14" spans="1:10" ht="15.6" x14ac:dyDescent="0.3">
      <c r="A14" s="591" t="s">
        <v>154</v>
      </c>
      <c r="B14" s="592"/>
      <c r="C14" s="11" t="s">
        <v>152</v>
      </c>
      <c r="D14" s="26">
        <f>Bangula!P14</f>
        <v>52</v>
      </c>
      <c r="E14" s="26">
        <f>Chikwawa!P14</f>
        <v>1299</v>
      </c>
      <c r="F14" s="26">
        <f>'Miseu Folo'!P14</f>
        <v>121</v>
      </c>
      <c r="G14" s="26">
        <f>Nchalo!P14</f>
        <v>2439</v>
      </c>
      <c r="H14" s="26">
        <f>Nsanje!P14</f>
        <v>1009</v>
      </c>
      <c r="I14" s="26">
        <f>Ngabu!P14</f>
        <v>671</v>
      </c>
      <c r="J14" s="55">
        <f>SUM(D14:I14)</f>
        <v>5591</v>
      </c>
    </row>
    <row r="15" spans="1:10" s="63" customFormat="1" ht="15.6" x14ac:dyDescent="0.3">
      <c r="A15" s="593" t="s">
        <v>158</v>
      </c>
      <c r="B15" s="594"/>
      <c r="C15" s="62" t="s">
        <v>152</v>
      </c>
      <c r="D15" s="34">
        <f t="shared" ref="D15:J15" si="0">SUM(D11:D14)</f>
        <v>76149</v>
      </c>
      <c r="E15" s="34">
        <f t="shared" si="0"/>
        <v>216724</v>
      </c>
      <c r="F15" s="34">
        <f t="shared" si="0"/>
        <v>11702</v>
      </c>
      <c r="G15" s="34">
        <f t="shared" si="0"/>
        <v>178983</v>
      </c>
      <c r="H15" s="34">
        <f t="shared" si="0"/>
        <v>122787</v>
      </c>
      <c r="I15" s="34">
        <f t="shared" si="0"/>
        <v>85687</v>
      </c>
      <c r="J15" s="55">
        <f t="shared" si="0"/>
        <v>692032</v>
      </c>
    </row>
    <row r="16" spans="1:10" s="2" customFormat="1" x14ac:dyDescent="0.3">
      <c r="A16" s="595" t="s">
        <v>178</v>
      </c>
      <c r="B16" s="596"/>
      <c r="C16" s="596"/>
      <c r="D16" s="596"/>
      <c r="E16" s="596"/>
      <c r="F16" s="596"/>
      <c r="G16" s="596"/>
      <c r="H16" s="596"/>
      <c r="I16" s="596"/>
      <c r="J16" s="597"/>
    </row>
    <row r="17" spans="1:10" s="2" customFormat="1" ht="15.6" x14ac:dyDescent="0.3">
      <c r="A17" s="598" t="s">
        <v>180</v>
      </c>
      <c r="B17" s="599"/>
      <c r="C17" s="11" t="s">
        <v>152</v>
      </c>
      <c r="D17" s="26">
        <f>Bangula!P17</f>
        <v>13292</v>
      </c>
      <c r="E17" s="26">
        <f>Chikwawa!P17</f>
        <v>15231</v>
      </c>
      <c r="F17" s="26">
        <f>'Miseu Folo'!P17</f>
        <v>2037.6</v>
      </c>
      <c r="G17" s="26">
        <f>Nchalo!P17</f>
        <v>0</v>
      </c>
      <c r="H17" s="26">
        <f>Nsanje!P17</f>
        <v>42763</v>
      </c>
      <c r="I17" s="26">
        <f>Ngabu!P17</f>
        <v>15786.2</v>
      </c>
      <c r="J17" s="55">
        <f>SUM(D17:I17)</f>
        <v>89109.8</v>
      </c>
    </row>
    <row r="18" spans="1:10" s="2" customFormat="1" ht="15.6" x14ac:dyDescent="0.3">
      <c r="A18" s="598" t="s">
        <v>181</v>
      </c>
      <c r="B18" s="599"/>
      <c r="C18" s="11" t="s">
        <v>152</v>
      </c>
      <c r="D18" s="26">
        <f>Bangula!P18</f>
        <v>59</v>
      </c>
      <c r="E18" s="26">
        <f>Chikwawa!P18</f>
        <v>0</v>
      </c>
      <c r="F18" s="26">
        <f>'Miseu Folo'!P18</f>
        <v>0</v>
      </c>
      <c r="G18" s="26">
        <f>Nchalo!P18</f>
        <v>0</v>
      </c>
      <c r="H18" s="26">
        <f>Nsanje!P18</f>
        <v>0</v>
      </c>
      <c r="I18" s="26">
        <f>Ngabu!P18</f>
        <v>0</v>
      </c>
      <c r="J18" s="55">
        <f>SUM(D18:I18)</f>
        <v>59</v>
      </c>
    </row>
    <row r="19" spans="1:10" s="2" customFormat="1" ht="15.6" x14ac:dyDescent="0.3">
      <c r="A19" s="598" t="s">
        <v>182</v>
      </c>
      <c r="B19" s="599"/>
      <c r="C19" s="11" t="s">
        <v>152</v>
      </c>
      <c r="D19" s="26">
        <f>Bangula!P19</f>
        <v>13111.4</v>
      </c>
      <c r="E19" s="26">
        <f>Chikwawa!P19</f>
        <v>40252</v>
      </c>
      <c r="F19" s="26">
        <f>'Miseu Folo'!P19</f>
        <v>23390.500000000004</v>
      </c>
      <c r="G19" s="26">
        <f>Nchalo!P19</f>
        <v>29666.100000000002</v>
      </c>
      <c r="H19" s="26">
        <f>Nsanje!P19</f>
        <v>28414.3</v>
      </c>
      <c r="I19" s="26">
        <f>Ngabu!P19</f>
        <v>19437</v>
      </c>
      <c r="J19" s="55">
        <f>SUM(D19:I19)</f>
        <v>154271.30000000002</v>
      </c>
    </row>
    <row r="20" spans="1:10" s="2" customFormat="1" ht="15.6" x14ac:dyDescent="0.3">
      <c r="A20" s="591" t="s">
        <v>183</v>
      </c>
      <c r="B20" s="592"/>
      <c r="C20" s="11" t="s">
        <v>152</v>
      </c>
      <c r="D20" s="26">
        <f>Bangula!P20</f>
        <v>2668</v>
      </c>
      <c r="E20" s="26">
        <f>Chikwawa!P20</f>
        <v>6995</v>
      </c>
      <c r="F20" s="26">
        <f>'Miseu Folo'!P20</f>
        <v>0</v>
      </c>
      <c r="G20" s="26">
        <f>Nchalo!P20</f>
        <v>0</v>
      </c>
      <c r="H20" s="26">
        <f>Nsanje!P20</f>
        <v>3951</v>
      </c>
      <c r="I20" s="26">
        <f>Ngabu!P20</f>
        <v>617</v>
      </c>
      <c r="J20" s="55">
        <f>SUM(D20:I20)</f>
        <v>14231</v>
      </c>
    </row>
    <row r="21" spans="1:10" s="73" customFormat="1" ht="15.6" x14ac:dyDescent="0.3">
      <c r="A21" s="593" t="s">
        <v>184</v>
      </c>
      <c r="B21" s="594"/>
      <c r="C21" s="62" t="s">
        <v>152</v>
      </c>
      <c r="D21" s="34">
        <f>SUM(D17:D20)</f>
        <v>29130.400000000001</v>
      </c>
      <c r="E21" s="34">
        <f t="shared" ref="E21:J21" si="1">SUM(E17:E20)</f>
        <v>62478</v>
      </c>
      <c r="F21" s="34">
        <f t="shared" si="1"/>
        <v>25428.100000000002</v>
      </c>
      <c r="G21" s="34">
        <f t="shared" si="1"/>
        <v>29666.100000000002</v>
      </c>
      <c r="H21" s="34">
        <f t="shared" si="1"/>
        <v>75128.3</v>
      </c>
      <c r="I21" s="34">
        <f t="shared" si="1"/>
        <v>35840.199999999997</v>
      </c>
      <c r="J21" s="55">
        <f t="shared" si="1"/>
        <v>257671.10000000003</v>
      </c>
    </row>
    <row r="22" spans="1:10" s="2" customFormat="1" ht="15.6" x14ac:dyDescent="0.3">
      <c r="A22" s="197" t="s">
        <v>185</v>
      </c>
      <c r="B22" s="190"/>
      <c r="C22" s="11" t="s">
        <v>152</v>
      </c>
      <c r="D22" s="34">
        <f>D21+D15</f>
        <v>105279.4</v>
      </c>
      <c r="E22" s="34">
        <f t="shared" ref="E22:J22" si="2">E21+E15</f>
        <v>279202</v>
      </c>
      <c r="F22" s="34">
        <f t="shared" si="2"/>
        <v>37130.100000000006</v>
      </c>
      <c r="G22" s="34">
        <f t="shared" si="2"/>
        <v>208649.1</v>
      </c>
      <c r="H22" s="34">
        <f t="shared" si="2"/>
        <v>197915.3</v>
      </c>
      <c r="I22" s="34">
        <f t="shared" si="2"/>
        <v>121527.2</v>
      </c>
      <c r="J22" s="55">
        <f t="shared" si="2"/>
        <v>949703.10000000009</v>
      </c>
    </row>
    <row r="23" spans="1:10" x14ac:dyDescent="0.3">
      <c r="A23" s="595" t="s">
        <v>215</v>
      </c>
      <c r="B23" s="596"/>
      <c r="C23" s="596"/>
      <c r="D23" s="596"/>
      <c r="E23" s="596"/>
      <c r="F23" s="596"/>
      <c r="G23" s="596"/>
      <c r="H23" s="596"/>
      <c r="I23" s="596"/>
      <c r="J23" s="597"/>
    </row>
    <row r="24" spans="1:10" ht="15.6" x14ac:dyDescent="0.3">
      <c r="A24" s="610" t="s">
        <v>179</v>
      </c>
      <c r="B24" s="37" t="s">
        <v>153</v>
      </c>
      <c r="C24" s="5" t="s">
        <v>152</v>
      </c>
      <c r="D24" s="54">
        <f>D9-D22</f>
        <v>23956.600000000006</v>
      </c>
      <c r="E24" s="54">
        <f t="shared" ref="E24:J24" si="3">E9-E22</f>
        <v>59429</v>
      </c>
      <c r="F24" s="54">
        <f t="shared" si="3"/>
        <v>7275.8999999999942</v>
      </c>
      <c r="G24" s="54">
        <f t="shared" si="3"/>
        <v>68891.899999999994</v>
      </c>
      <c r="H24" s="54">
        <f t="shared" si="3"/>
        <v>66449.700000000012</v>
      </c>
      <c r="I24" s="54">
        <f t="shared" si="3"/>
        <v>47650.8</v>
      </c>
      <c r="J24" s="100">
        <f t="shared" si="3"/>
        <v>273653.89999999991</v>
      </c>
    </row>
    <row r="25" spans="1:10" ht="15.6" x14ac:dyDescent="0.3">
      <c r="A25" s="611"/>
      <c r="B25" s="53" t="s">
        <v>151</v>
      </c>
      <c r="C25" s="52" t="s">
        <v>6</v>
      </c>
      <c r="D25" s="51">
        <f t="shared" ref="D25:J25" si="4">D24/D9</f>
        <v>0.18537094927110098</v>
      </c>
      <c r="E25" s="51">
        <f t="shared" si="4"/>
        <v>0.17549781325395489</v>
      </c>
      <c r="F25" s="51">
        <f t="shared" si="4"/>
        <v>0.1638494798000269</v>
      </c>
      <c r="G25" s="51">
        <f t="shared" si="4"/>
        <v>0.24822242479489515</v>
      </c>
      <c r="H25" s="51">
        <f t="shared" si="4"/>
        <v>0.25135589053013829</v>
      </c>
      <c r="I25" s="51">
        <f t="shared" si="4"/>
        <v>0.28166073602950742</v>
      </c>
      <c r="J25" s="151">
        <f t="shared" si="4"/>
        <v>0.22369095856728649</v>
      </c>
    </row>
    <row r="26" spans="1:10" x14ac:dyDescent="0.3">
      <c r="A26" s="595" t="s">
        <v>150</v>
      </c>
      <c r="B26" s="596"/>
      <c r="C26" s="596"/>
      <c r="D26" s="596"/>
      <c r="E26" s="596"/>
      <c r="F26" s="596"/>
      <c r="G26" s="596"/>
      <c r="H26" s="596"/>
      <c r="I26" s="596"/>
      <c r="J26" s="597"/>
    </row>
    <row r="27" spans="1:10" x14ac:dyDescent="0.3">
      <c r="A27" s="671" t="s">
        <v>149</v>
      </c>
      <c r="B27" s="672"/>
      <c r="C27" s="672"/>
      <c r="D27" s="672"/>
      <c r="E27" s="672"/>
      <c r="F27" s="672"/>
      <c r="G27" s="672"/>
      <c r="H27" s="672"/>
      <c r="I27" s="672"/>
      <c r="J27" s="673"/>
    </row>
    <row r="28" spans="1:10" ht="15.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6"/>
    </row>
    <row r="29" spans="1:10" ht="15.6" x14ac:dyDescent="0.3">
      <c r="A29" s="587" t="s">
        <v>146</v>
      </c>
      <c r="B29" s="585">
        <v>3525.29</v>
      </c>
      <c r="C29" s="5" t="s">
        <v>140</v>
      </c>
      <c r="D29" s="26">
        <f>Bangula!P29</f>
        <v>178</v>
      </c>
      <c r="E29" s="26">
        <f>Chikwawa!P29</f>
        <v>364</v>
      </c>
      <c r="F29" s="26">
        <f>'Miseu Folo'!P29</f>
        <v>83.3</v>
      </c>
      <c r="G29" s="26">
        <f>Nchalo!P29</f>
        <v>219</v>
      </c>
      <c r="H29" s="26">
        <f>Nsanje!P29</f>
        <v>149.25</v>
      </c>
      <c r="I29" s="26">
        <f>Ngabu!P29</f>
        <v>208</v>
      </c>
      <c r="J29" s="45">
        <f>SUM(D29:I29)</f>
        <v>1201.55</v>
      </c>
    </row>
    <row r="30" spans="1:10" ht="15.6" x14ac:dyDescent="0.3">
      <c r="A30" s="588"/>
      <c r="B30" s="586"/>
      <c r="C30" s="42" t="s">
        <v>139</v>
      </c>
      <c r="D30" s="15">
        <f t="shared" ref="D30:J30" si="5">D29/(D9/1000)</f>
        <v>1.3773252035036678</v>
      </c>
      <c r="E30" s="15">
        <f t="shared" si="5"/>
        <v>1.0749163543798412</v>
      </c>
      <c r="F30" s="15">
        <f t="shared" si="5"/>
        <v>1.8758726298247985</v>
      </c>
      <c r="G30" s="15">
        <f t="shared" si="5"/>
        <v>0.78907260548891878</v>
      </c>
      <c r="H30" s="15">
        <f t="shared" si="5"/>
        <v>0.56456036162124335</v>
      </c>
      <c r="I30" s="15">
        <f t="shared" si="5"/>
        <v>1.2294742815259667</v>
      </c>
      <c r="J30" s="103">
        <f t="shared" si="5"/>
        <v>0.98217445929520164</v>
      </c>
    </row>
    <row r="31" spans="1:10" ht="15.6" x14ac:dyDescent="0.3">
      <c r="A31" s="605" t="s">
        <v>145</v>
      </c>
      <c r="B31" s="243"/>
      <c r="C31" s="5" t="s">
        <v>140</v>
      </c>
      <c r="D31" s="26">
        <f>Bangula!P31</f>
        <v>0</v>
      </c>
      <c r="E31" s="26">
        <f>Chikwawa!P31</f>
        <v>0</v>
      </c>
      <c r="F31" s="26">
        <f>'Miseu Folo'!P31</f>
        <v>0</v>
      </c>
      <c r="G31" s="26">
        <f>Nchalo!P31</f>
        <v>0</v>
      </c>
      <c r="H31" s="26">
        <f>Nsanje!P31</f>
        <v>0</v>
      </c>
      <c r="I31" s="26">
        <f>Ngabu!P31</f>
        <v>0</v>
      </c>
      <c r="J31" s="45">
        <f>SUM(D31:I31)</f>
        <v>0</v>
      </c>
    </row>
    <row r="32" spans="1:10" ht="15.6" x14ac:dyDescent="0.3">
      <c r="A32" s="606"/>
      <c r="B32" s="244">
        <v>1060.01</v>
      </c>
      <c r="C32" s="42" t="s">
        <v>139</v>
      </c>
      <c r="D32" s="15">
        <f t="shared" ref="D32:J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03">
        <f t="shared" si="6"/>
        <v>0</v>
      </c>
    </row>
    <row r="33" spans="1:10" ht="15.6" x14ac:dyDescent="0.3">
      <c r="A33" s="605" t="s">
        <v>144</v>
      </c>
      <c r="B33" s="243"/>
      <c r="C33" s="5" t="s">
        <v>140</v>
      </c>
      <c r="D33" s="26">
        <f>Bangula!P33</f>
        <v>0</v>
      </c>
      <c r="E33" s="26">
        <f>Chikwawa!P33</f>
        <v>0</v>
      </c>
      <c r="F33" s="26">
        <f>'Miseu Folo'!P33</f>
        <v>0</v>
      </c>
      <c r="G33" s="26">
        <f>Nchalo!P33</f>
        <v>0</v>
      </c>
      <c r="H33" s="26">
        <f>Nsanje!P33</f>
        <v>0</v>
      </c>
      <c r="I33" s="26">
        <f>Ngabu!P33</f>
        <v>0</v>
      </c>
      <c r="J33" s="45">
        <f>SUM(D33:I33)</f>
        <v>0</v>
      </c>
    </row>
    <row r="34" spans="1:10" ht="15.6" x14ac:dyDescent="0.3">
      <c r="A34" s="606"/>
      <c r="B34" s="244">
        <v>1228.29</v>
      </c>
      <c r="C34" s="42" t="s">
        <v>139</v>
      </c>
      <c r="D34" s="15">
        <f t="shared" ref="D34:J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03">
        <f t="shared" si="7"/>
        <v>0</v>
      </c>
    </row>
    <row r="35" spans="1:10" ht="15.6" x14ac:dyDescent="0.3">
      <c r="A35" s="605" t="s">
        <v>143</v>
      </c>
      <c r="B35" s="243"/>
      <c r="C35" s="5" t="s">
        <v>126</v>
      </c>
      <c r="D35" s="26">
        <f>Bangula!P35</f>
        <v>0</v>
      </c>
      <c r="E35" s="26">
        <f>Chikwawa!P35</f>
        <v>0</v>
      </c>
      <c r="F35" s="26">
        <f>'Miseu Folo'!P35</f>
        <v>0</v>
      </c>
      <c r="G35" s="26">
        <f>Nchalo!P35</f>
        <v>0</v>
      </c>
      <c r="H35" s="26">
        <f>Nsanje!P35</f>
        <v>0</v>
      </c>
      <c r="I35" s="26">
        <f>Ngabu!P35</f>
        <v>0</v>
      </c>
      <c r="J35" s="103"/>
    </row>
    <row r="36" spans="1:10" ht="15.6" x14ac:dyDescent="0.3">
      <c r="A36" s="606"/>
      <c r="B36" s="244">
        <v>3726.73</v>
      </c>
      <c r="C36" s="5" t="s">
        <v>142</v>
      </c>
      <c r="D36" s="13"/>
      <c r="E36" s="13"/>
      <c r="F36" s="13"/>
      <c r="G36" s="13"/>
      <c r="H36" s="13"/>
      <c r="I36" s="13"/>
      <c r="J36" s="103"/>
    </row>
    <row r="37" spans="1:10" ht="15.6" x14ac:dyDescent="0.3">
      <c r="A37" s="605" t="s">
        <v>186</v>
      </c>
      <c r="B37" s="243"/>
      <c r="C37" s="5" t="s">
        <v>126</v>
      </c>
      <c r="D37" s="26">
        <f>Bangula!P37</f>
        <v>0</v>
      </c>
      <c r="E37" s="26">
        <f>Chikwawa!P37</f>
        <v>0</v>
      </c>
      <c r="F37" s="26">
        <f>'Miseu Folo'!P37</f>
        <v>0</v>
      </c>
      <c r="G37" s="26">
        <f>Nchalo!P37</f>
        <v>0</v>
      </c>
      <c r="H37" s="26">
        <f>Nsanje!P37</f>
        <v>0</v>
      </c>
      <c r="I37" s="26">
        <f>Ngabu!P37</f>
        <v>0</v>
      </c>
      <c r="J37" s="45">
        <f>SUM(D37:I37)</f>
        <v>0</v>
      </c>
    </row>
    <row r="38" spans="1:10" ht="15.6" x14ac:dyDescent="0.3">
      <c r="A38" s="606"/>
      <c r="B38" s="244">
        <v>3951.59</v>
      </c>
      <c r="C38" s="5" t="s">
        <v>142</v>
      </c>
      <c r="D38" s="15">
        <f t="shared" ref="D38:J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5">
        <f t="shared" si="8"/>
        <v>0</v>
      </c>
      <c r="I38" s="15">
        <f t="shared" si="8"/>
        <v>0</v>
      </c>
      <c r="J38" s="103">
        <f t="shared" si="8"/>
        <v>0</v>
      </c>
    </row>
    <row r="39" spans="1:10" ht="15.6" x14ac:dyDescent="0.3">
      <c r="A39" s="605" t="s">
        <v>141</v>
      </c>
      <c r="B39" s="243"/>
      <c r="C39" s="5" t="s">
        <v>140</v>
      </c>
      <c r="D39" s="26">
        <f>Bangula!P39</f>
        <v>0</v>
      </c>
      <c r="E39" s="26">
        <f>Chikwawa!P39</f>
        <v>0</v>
      </c>
      <c r="F39" s="26">
        <f>'Miseu Folo'!P39</f>
        <v>0</v>
      </c>
      <c r="G39" s="26">
        <f>Nchalo!P39</f>
        <v>0</v>
      </c>
      <c r="H39" s="26">
        <f>Nsanje!P39</f>
        <v>0</v>
      </c>
      <c r="I39" s="26">
        <f>Ngabu!P39</f>
        <v>0</v>
      </c>
      <c r="J39" s="45">
        <f>SUM(D39:I39)</f>
        <v>0</v>
      </c>
    </row>
    <row r="40" spans="1:10" ht="15.6" x14ac:dyDescent="0.3">
      <c r="A40" s="606"/>
      <c r="B40" s="244">
        <v>1950</v>
      </c>
      <c r="C40" s="42" t="s">
        <v>139</v>
      </c>
      <c r="D40" s="15">
        <f t="shared" ref="D40:J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03">
        <f t="shared" si="9"/>
        <v>0</v>
      </c>
    </row>
    <row r="41" spans="1:10" ht="15.6" x14ac:dyDescent="0.3">
      <c r="A41" s="591" t="s">
        <v>138</v>
      </c>
      <c r="B41" s="592"/>
      <c r="C41" s="11" t="s">
        <v>31</v>
      </c>
      <c r="D41" s="41">
        <f>(D29*$B29)+(D31*$B31)+(D33*$B33)+(D35*$B35)+(D37*$B37)+(D39*$B39)</f>
        <v>627501.62</v>
      </c>
      <c r="E41" s="41">
        <f t="shared" ref="E41:I41" si="10">(E29*$B29)+(E31*$B31)+(E33*$B33)+(E35*$B35)+(E37*$B37)+(E39*$B39)</f>
        <v>1283205.56</v>
      </c>
      <c r="F41" s="41">
        <f t="shared" si="10"/>
        <v>293656.65700000001</v>
      </c>
      <c r="G41" s="41">
        <f t="shared" si="10"/>
        <v>772038.51</v>
      </c>
      <c r="H41" s="41">
        <f t="shared" si="10"/>
        <v>526149.53249999997</v>
      </c>
      <c r="I41" s="41">
        <f t="shared" si="10"/>
        <v>733260.32</v>
      </c>
      <c r="J41" s="39">
        <f>SUM(D41:I41)</f>
        <v>4235812.1995000001</v>
      </c>
    </row>
    <row r="42" spans="1:10" ht="15.6" x14ac:dyDescent="0.3">
      <c r="A42" s="615" t="s">
        <v>137</v>
      </c>
      <c r="B42" s="616"/>
      <c r="C42" s="42" t="s">
        <v>115</v>
      </c>
      <c r="D42" s="15">
        <f t="shared" ref="D42:J42" si="11">D41/D9</f>
        <v>4.8554707666594448</v>
      </c>
      <c r="E42" s="15">
        <f t="shared" si="11"/>
        <v>3.7893918749317104</v>
      </c>
      <c r="F42" s="15">
        <f t="shared" si="11"/>
        <v>6.6129950231950643</v>
      </c>
      <c r="G42" s="15">
        <f t="shared" si="11"/>
        <v>2.7817097654040306</v>
      </c>
      <c r="H42" s="15">
        <f t="shared" si="11"/>
        <v>1.9902389972197529</v>
      </c>
      <c r="I42" s="15">
        <f t="shared" si="11"/>
        <v>4.3342533899206748</v>
      </c>
      <c r="J42" s="44">
        <f t="shared" si="11"/>
        <v>3.4624497996087813</v>
      </c>
    </row>
    <row r="43" spans="1:10" x14ac:dyDescent="0.3">
      <c r="A43" s="617" t="s">
        <v>136</v>
      </c>
      <c r="B43" s="618"/>
      <c r="C43" s="618"/>
      <c r="D43" s="618"/>
      <c r="E43" s="618"/>
      <c r="F43" s="618"/>
      <c r="G43" s="618"/>
      <c r="H43" s="618"/>
      <c r="I43" s="618"/>
      <c r="J43" s="619"/>
    </row>
    <row r="44" spans="1:10" ht="15.6" x14ac:dyDescent="0.3">
      <c r="A44" s="591" t="s">
        <v>135</v>
      </c>
      <c r="B44" s="592"/>
      <c r="C44" s="11" t="s">
        <v>134</v>
      </c>
      <c r="D44" s="26">
        <f>Bangula!P44</f>
        <v>82215.899999999994</v>
      </c>
      <c r="E44" s="26">
        <f>Chikwawa!P44</f>
        <v>197290</v>
      </c>
      <c r="F44" s="26">
        <f>'Miseu Folo'!P44</f>
        <v>12975</v>
      </c>
      <c r="G44" s="26">
        <f>Nchalo!P44</f>
        <v>83574</v>
      </c>
      <c r="H44" s="26">
        <f>Nsanje!P44</f>
        <v>185908</v>
      </c>
      <c r="I44" s="26">
        <f>Ngabu!P44</f>
        <v>111197.56000000001</v>
      </c>
      <c r="J44" s="39">
        <f>SUM(D44:I44)</f>
        <v>673160.46000000008</v>
      </c>
    </row>
    <row r="45" spans="1:10" ht="15.6" x14ac:dyDescent="0.3">
      <c r="A45" s="615" t="s">
        <v>133</v>
      </c>
      <c r="B45" s="616"/>
      <c r="C45" s="42" t="s">
        <v>132</v>
      </c>
      <c r="D45" s="15">
        <f t="shared" ref="D45:J45" si="12">D44/D9</f>
        <v>0.63616871459964708</v>
      </c>
      <c r="E45" s="15">
        <f t="shared" si="12"/>
        <v>0.58261057020768925</v>
      </c>
      <c r="F45" s="15">
        <f t="shared" si="12"/>
        <v>0.29219024456154574</v>
      </c>
      <c r="G45" s="15">
        <f t="shared" si="12"/>
        <v>0.3011230773111</v>
      </c>
      <c r="H45" s="15">
        <f t="shared" si="12"/>
        <v>0.70322470826319672</v>
      </c>
      <c r="I45" s="15">
        <f t="shared" si="12"/>
        <v>0.65728144321365667</v>
      </c>
      <c r="J45" s="103">
        <f t="shared" si="12"/>
        <v>0.55025676070026985</v>
      </c>
    </row>
    <row r="46" spans="1:10" ht="15.6" x14ac:dyDescent="0.3">
      <c r="A46" s="620" t="s">
        <v>131</v>
      </c>
      <c r="B46" s="621"/>
      <c r="C46" s="5" t="s">
        <v>31</v>
      </c>
      <c r="D46" s="26">
        <f>Bangula!P46</f>
        <v>12248054.604629997</v>
      </c>
      <c r="E46" s="26">
        <f>Chikwawa!P46</f>
        <v>28730759.432999998</v>
      </c>
      <c r="F46" s="26">
        <f>'Miseu Folo'!P46</f>
        <v>1968641.0859999999</v>
      </c>
      <c r="G46" s="26">
        <f>Nchalo!P46</f>
        <v>12258446.4165</v>
      </c>
      <c r="H46" s="26">
        <f>Nsanje!P46</f>
        <v>27285900.287499998</v>
      </c>
      <c r="I46" s="26">
        <f>Ngabu!P46</f>
        <v>16247481.256405002</v>
      </c>
      <c r="J46" s="39">
        <f>SUM(D46:I46)</f>
        <v>98739283.084034994</v>
      </c>
    </row>
    <row r="47" spans="1:10" s="2" customFormat="1" ht="15.6" x14ac:dyDescent="0.3">
      <c r="A47" s="591" t="s">
        <v>130</v>
      </c>
      <c r="B47" s="592"/>
      <c r="C47" s="11" t="s">
        <v>115</v>
      </c>
      <c r="D47" s="15">
        <f t="shared" ref="D47:J47" si="13">D46/D9</f>
        <v>94.772776971045204</v>
      </c>
      <c r="E47" s="15">
        <f t="shared" si="13"/>
        <v>84.843854912869759</v>
      </c>
      <c r="F47" s="15">
        <f t="shared" si="13"/>
        <v>44.332772283024816</v>
      </c>
      <c r="G47" s="15">
        <f t="shared" si="13"/>
        <v>44.168055950292029</v>
      </c>
      <c r="H47" s="15">
        <f t="shared" si="13"/>
        <v>103.21298313884212</v>
      </c>
      <c r="I47" s="15">
        <f t="shared" si="13"/>
        <v>96.037790116947832</v>
      </c>
      <c r="J47" s="103">
        <f t="shared" si="13"/>
        <v>80.711748969462718</v>
      </c>
    </row>
    <row r="48" spans="1:10" x14ac:dyDescent="0.3">
      <c r="A48" s="617" t="s">
        <v>129</v>
      </c>
      <c r="B48" s="618"/>
      <c r="C48" s="618"/>
      <c r="D48" s="618"/>
      <c r="E48" s="618"/>
      <c r="F48" s="618"/>
      <c r="G48" s="618"/>
      <c r="H48" s="618"/>
      <c r="I48" s="618"/>
      <c r="J48" s="619"/>
    </row>
    <row r="49" spans="1:10" ht="15.6" x14ac:dyDescent="0.3">
      <c r="A49" s="591" t="s">
        <v>128</v>
      </c>
      <c r="B49" s="592"/>
      <c r="C49" s="5" t="s">
        <v>127</v>
      </c>
      <c r="D49" s="26">
        <f>Bangula!P49</f>
        <v>2697</v>
      </c>
      <c r="E49" s="26">
        <f>Chikwawa!P49</f>
        <v>12793</v>
      </c>
      <c r="F49" s="26">
        <f>'Miseu Folo'!P49</f>
        <v>655</v>
      </c>
      <c r="G49" s="26">
        <f>Nchalo!P49</f>
        <v>0</v>
      </c>
      <c r="H49" s="26">
        <f>Nsanje!P49</f>
        <v>24069</v>
      </c>
      <c r="I49" s="26">
        <f>Ngabu!P49</f>
        <v>10863</v>
      </c>
      <c r="J49" s="39">
        <f>SUM(D49:I49)</f>
        <v>51077</v>
      </c>
    </row>
    <row r="50" spans="1:10" ht="15.6" x14ac:dyDescent="0.3">
      <c r="A50" s="591" t="s">
        <v>187</v>
      </c>
      <c r="B50" s="592"/>
      <c r="C50" s="5" t="s">
        <v>126</v>
      </c>
      <c r="D50" s="26">
        <f>Bangula!P50</f>
        <v>150.79</v>
      </c>
      <c r="E50" s="26">
        <f>Chikwawa!P50</f>
        <v>2383</v>
      </c>
      <c r="F50" s="26">
        <f>'Miseu Folo'!P50</f>
        <v>50</v>
      </c>
      <c r="G50" s="26">
        <f>Nchalo!P50</f>
        <v>0</v>
      </c>
      <c r="H50" s="26">
        <f>Nsanje!P50</f>
        <v>2752</v>
      </c>
      <c r="I50" s="26">
        <f>Ngabu!P50</f>
        <v>1676</v>
      </c>
      <c r="J50" s="39">
        <f>SUM(D50:I50)</f>
        <v>7011.79</v>
      </c>
    </row>
    <row r="51" spans="1:10" ht="15.6" x14ac:dyDescent="0.3">
      <c r="A51" s="620" t="s">
        <v>125</v>
      </c>
      <c r="B51" s="621"/>
      <c r="C51" s="5" t="s">
        <v>31</v>
      </c>
      <c r="D51" s="26">
        <f>Bangula!P51</f>
        <v>221661.3</v>
      </c>
      <c r="E51" s="26">
        <f>Chikwawa!P51</f>
        <v>4701530</v>
      </c>
      <c r="F51" s="26">
        <f>'Miseu Folo'!P51</f>
        <v>96000</v>
      </c>
      <c r="G51" s="26">
        <f>Nchalo!P51</f>
        <v>0</v>
      </c>
      <c r="H51" s="26">
        <f>Nsanje!P51</f>
        <v>5283840</v>
      </c>
      <c r="I51" s="26">
        <f>Ngabu!P51</f>
        <v>3217920</v>
      </c>
      <c r="J51" s="40">
        <f>SUM(D51:I51)</f>
        <v>13520951.300000001</v>
      </c>
    </row>
    <row r="52" spans="1:10" ht="15.6" x14ac:dyDescent="0.3">
      <c r="A52" s="591" t="s">
        <v>124</v>
      </c>
      <c r="B52" s="592"/>
      <c r="C52" s="5" t="s">
        <v>31</v>
      </c>
      <c r="D52" s="26">
        <f>Bangula!P52</f>
        <v>115000</v>
      </c>
      <c r="E52" s="26">
        <f>Chikwawa!P52</f>
        <v>0</v>
      </c>
      <c r="F52" s="26">
        <f>'Miseu Folo'!P52</f>
        <v>0</v>
      </c>
      <c r="G52" s="26">
        <f>Nchalo!P52</f>
        <v>0</v>
      </c>
      <c r="H52" s="26">
        <f>Nsanje!P52</f>
        <v>0</v>
      </c>
      <c r="I52" s="26">
        <f>Ngabu!P52</f>
        <v>0</v>
      </c>
      <c r="J52" s="40">
        <f>SUM(D52:I52)</f>
        <v>115000</v>
      </c>
    </row>
    <row r="53" spans="1:10" x14ac:dyDescent="0.3">
      <c r="A53" s="617" t="s">
        <v>123</v>
      </c>
      <c r="B53" s="618"/>
      <c r="C53" s="618"/>
      <c r="D53" s="618"/>
      <c r="E53" s="618"/>
      <c r="F53" s="618"/>
      <c r="G53" s="618"/>
      <c r="H53" s="618"/>
      <c r="I53" s="618"/>
      <c r="J53" s="619"/>
    </row>
    <row r="54" spans="1:10" ht="15.6" x14ac:dyDescent="0.3">
      <c r="A54" s="591" t="s">
        <v>122</v>
      </c>
      <c r="B54" s="592"/>
      <c r="C54" s="11" t="s">
        <v>18</v>
      </c>
      <c r="D54" s="26">
        <f>Bangula!P54</f>
        <v>6693357.9680000013</v>
      </c>
      <c r="E54" s="26">
        <f>Chikwawa!P54</f>
        <v>0</v>
      </c>
      <c r="F54" s="26">
        <f>'Miseu Folo'!P54</f>
        <v>11505222.431999998</v>
      </c>
      <c r="G54" s="26">
        <f>Nchalo!P54</f>
        <v>12183616.544</v>
      </c>
      <c r="H54" s="26">
        <f>Nsanje!P54</f>
        <v>30993385.82</v>
      </c>
      <c r="I54" s="26">
        <f>Ngabu!P54</f>
        <v>13326472.544</v>
      </c>
      <c r="J54" s="39">
        <f>SUM(D54:I54)</f>
        <v>74702055.307999998</v>
      </c>
    </row>
    <row r="55" spans="1:10" ht="15.6" x14ac:dyDescent="0.3">
      <c r="A55" s="189" t="s">
        <v>121</v>
      </c>
      <c r="B55" s="190"/>
      <c r="C55" s="11" t="s">
        <v>18</v>
      </c>
      <c r="D55" s="26">
        <f>Bangula!P55</f>
        <v>1323801.04</v>
      </c>
      <c r="E55" s="26">
        <f>Chikwawa!P55</f>
        <v>0</v>
      </c>
      <c r="F55" s="26">
        <f>'Miseu Folo'!P55</f>
        <v>0</v>
      </c>
      <c r="G55" s="26">
        <f>Nchalo!P55</f>
        <v>1392310.4000000001</v>
      </c>
      <c r="H55" s="26">
        <f>Nsanje!P55</f>
        <v>4983562.017195994</v>
      </c>
      <c r="I55" s="26">
        <f>Ngabu!P55</f>
        <v>1929235.1999999997</v>
      </c>
      <c r="J55" s="39">
        <f>SUM(D55:I55)</f>
        <v>9628908.6571959946</v>
      </c>
    </row>
    <row r="56" spans="1:10" ht="15.6" x14ac:dyDescent="0.3">
      <c r="A56" s="591" t="s">
        <v>120</v>
      </c>
      <c r="B56" s="592"/>
      <c r="C56" s="5" t="s">
        <v>18</v>
      </c>
      <c r="D56" s="26">
        <f>Bangula!P56</f>
        <v>0</v>
      </c>
      <c r="E56" s="26">
        <f>Chikwawa!P56</f>
        <v>0</v>
      </c>
      <c r="F56" s="26">
        <f>'Miseu Folo'!P56</f>
        <v>0</v>
      </c>
      <c r="G56" s="26">
        <f>Nchalo!P56</f>
        <v>0</v>
      </c>
      <c r="H56" s="26">
        <f>Nsanje!P56</f>
        <v>125.93027132674177</v>
      </c>
      <c r="I56" s="26">
        <f>Ngabu!P56</f>
        <v>0</v>
      </c>
      <c r="J56" s="39">
        <f>SUM(D56:I56)</f>
        <v>125.93027132674177</v>
      </c>
    </row>
    <row r="57" spans="1:10" x14ac:dyDescent="0.3">
      <c r="A57" s="617" t="s">
        <v>119</v>
      </c>
      <c r="B57" s="618"/>
      <c r="C57" s="618"/>
      <c r="D57" s="618"/>
      <c r="E57" s="618"/>
      <c r="F57" s="618"/>
      <c r="G57" s="618"/>
      <c r="H57" s="618"/>
      <c r="I57" s="618"/>
      <c r="J57" s="619"/>
    </row>
    <row r="58" spans="1:10" ht="15.6" x14ac:dyDescent="0.3">
      <c r="A58" s="620" t="s">
        <v>118</v>
      </c>
      <c r="B58" s="621"/>
      <c r="C58" s="5" t="s">
        <v>18</v>
      </c>
      <c r="D58" s="13">
        <f>D41+D46+D51+D52+D54+D55+D56</f>
        <v>21229376.532629997</v>
      </c>
      <c r="E58" s="13">
        <f t="shared" ref="E58:I58" si="14">E41+E46+E51+E52+E54+E55+E56</f>
        <v>34715494.993000001</v>
      </c>
      <c r="F58" s="13">
        <f t="shared" si="14"/>
        <v>13863520.174999997</v>
      </c>
      <c r="G58" s="13">
        <f t="shared" si="14"/>
        <v>26606411.870499998</v>
      </c>
      <c r="H58" s="13">
        <f t="shared" si="14"/>
        <v>69072963.587467328</v>
      </c>
      <c r="I58" s="13">
        <f t="shared" si="14"/>
        <v>35454369.320404999</v>
      </c>
      <c r="J58" s="64">
        <f>SUM(D58:I58)</f>
        <v>200942136.47900233</v>
      </c>
    </row>
    <row r="59" spans="1:10" ht="15.6" x14ac:dyDescent="0.3">
      <c r="A59" s="620" t="s">
        <v>117</v>
      </c>
      <c r="B59" s="621"/>
      <c r="C59" s="5" t="s">
        <v>115</v>
      </c>
      <c r="D59" s="15">
        <f t="shared" ref="D59:J59" si="15">D58/D9</f>
        <v>164.26828850034045</v>
      </c>
      <c r="E59" s="15">
        <f t="shared" si="15"/>
        <v>102.51717944606371</v>
      </c>
      <c r="F59" s="15">
        <f t="shared" si="15"/>
        <v>312.19925629419441</v>
      </c>
      <c r="G59" s="15">
        <f t="shared" si="15"/>
        <v>95.864797887519316</v>
      </c>
      <c r="H59" s="15">
        <f t="shared" si="15"/>
        <v>261.27877588738045</v>
      </c>
      <c r="I59" s="15">
        <f t="shared" si="15"/>
        <v>209.56843868827505</v>
      </c>
      <c r="J59" s="103">
        <f t="shared" si="15"/>
        <v>164.25469955131848</v>
      </c>
    </row>
    <row r="60" spans="1:10" ht="15.6" x14ac:dyDescent="0.3">
      <c r="A60" s="620" t="s">
        <v>116</v>
      </c>
      <c r="B60" s="621"/>
      <c r="C60" s="5" t="s">
        <v>115</v>
      </c>
      <c r="D60" s="15">
        <f>D58/D22</f>
        <v>201.64796277932814</v>
      </c>
      <c r="E60" s="15">
        <f t="shared" ref="E60:I60" si="16">E58/E22</f>
        <v>124.33827477238702</v>
      </c>
      <c r="F60" s="15">
        <f t="shared" si="16"/>
        <v>373.37686068715124</v>
      </c>
      <c r="G60" s="15">
        <f t="shared" si="16"/>
        <v>127.51750125210221</v>
      </c>
      <c r="H60" s="15">
        <f t="shared" si="16"/>
        <v>349.00264702863967</v>
      </c>
      <c r="I60" s="15">
        <f t="shared" si="16"/>
        <v>291.74019742415692</v>
      </c>
      <c r="J60" s="104">
        <f>J58/J22</f>
        <v>211.5841640182098</v>
      </c>
    </row>
    <row r="61" spans="1:10" ht="15.6" x14ac:dyDescent="0.3">
      <c r="A61" s="591" t="s">
        <v>114</v>
      </c>
      <c r="B61" s="592"/>
      <c r="C61" s="5" t="s">
        <v>3</v>
      </c>
      <c r="D61" s="26">
        <f>Bangula!P61</f>
        <v>2</v>
      </c>
      <c r="E61" s="26">
        <f>Chikwawa!P61</f>
        <v>8</v>
      </c>
      <c r="F61" s="26">
        <f>'Miseu Folo'!P61</f>
        <v>7</v>
      </c>
      <c r="G61" s="26">
        <f>Nchalo!P61</f>
        <v>6</v>
      </c>
      <c r="H61" s="26">
        <f>Nsanje!P61</f>
        <v>6</v>
      </c>
      <c r="I61" s="26">
        <f>Ngabu!P61</f>
        <v>7</v>
      </c>
      <c r="J61" s="9">
        <f>SUM(D61:I61)</f>
        <v>36</v>
      </c>
    </row>
    <row r="62" spans="1:10" ht="15.6" customHeight="1" x14ac:dyDescent="0.3">
      <c r="A62" s="620" t="s">
        <v>113</v>
      </c>
      <c r="B62" s="621"/>
      <c r="C62" s="5" t="s">
        <v>112</v>
      </c>
      <c r="D62" s="15">
        <f t="shared" ref="D62:J62" si="17">(D61*1000*31)/D9</f>
        <v>0.47974248661363705</v>
      </c>
      <c r="E62" s="15">
        <f t="shared" si="17"/>
        <v>0.73236059309395773</v>
      </c>
      <c r="F62" s="15">
        <f t="shared" si="17"/>
        <v>4.8867270188713237</v>
      </c>
      <c r="G62" s="15">
        <f t="shared" si="17"/>
        <v>0.67017125397688992</v>
      </c>
      <c r="H62" s="15">
        <f t="shared" si="17"/>
        <v>0.70357271197019278</v>
      </c>
      <c r="I62" s="15">
        <f t="shared" si="17"/>
        <v>1.282672687938148</v>
      </c>
      <c r="J62" s="103">
        <f t="shared" si="17"/>
        <v>0.91224393206561949</v>
      </c>
    </row>
    <row r="63" spans="1:10" ht="15.6" x14ac:dyDescent="0.3">
      <c r="A63" s="634" t="s">
        <v>111</v>
      </c>
      <c r="B63" s="635"/>
      <c r="C63" s="38" t="s">
        <v>3</v>
      </c>
      <c r="D63" s="26">
        <f>Bangula!P63</f>
        <v>45</v>
      </c>
      <c r="E63" s="26">
        <f>Chikwawa!P63</f>
        <v>77</v>
      </c>
      <c r="F63" s="26">
        <f>'Miseu Folo'!P63</f>
        <v>10</v>
      </c>
      <c r="G63" s="26">
        <f>Nchalo!P63</f>
        <v>72</v>
      </c>
      <c r="H63" s="26">
        <f>Nsanje!P63</f>
        <v>72</v>
      </c>
      <c r="I63" s="26">
        <f>Ngabu!P63</f>
        <v>72</v>
      </c>
      <c r="J63" s="9">
        <f>SUM(D63:I63)</f>
        <v>348</v>
      </c>
    </row>
    <row r="64" spans="1:10" x14ac:dyDescent="0.3">
      <c r="A64" s="674"/>
      <c r="B64" s="675"/>
      <c r="C64" s="675"/>
      <c r="D64" s="675"/>
      <c r="E64" s="675"/>
      <c r="F64" s="675"/>
      <c r="G64" s="675"/>
      <c r="H64" s="675"/>
      <c r="I64" s="675"/>
      <c r="J64" s="676"/>
    </row>
    <row r="65" spans="1:10" ht="14.4" customHeight="1" x14ac:dyDescent="0.3">
      <c r="A65" s="617" t="s">
        <v>110</v>
      </c>
      <c r="B65" s="618"/>
      <c r="C65" s="618"/>
      <c r="D65" s="618"/>
      <c r="E65" s="618"/>
      <c r="F65" s="618"/>
      <c r="G65" s="618"/>
      <c r="H65" s="618"/>
      <c r="I65" s="618"/>
      <c r="J65" s="619"/>
    </row>
    <row r="66" spans="1:10" ht="15.6" x14ac:dyDescent="0.3">
      <c r="A66" s="622" t="s">
        <v>109</v>
      </c>
      <c r="B66" s="37" t="s">
        <v>85</v>
      </c>
      <c r="C66" s="5" t="s">
        <v>3</v>
      </c>
      <c r="D66" s="26">
        <f>Bangula!D66</f>
        <v>45</v>
      </c>
      <c r="E66" s="26">
        <f>Chikwawa!D66</f>
        <v>376</v>
      </c>
      <c r="F66" s="26">
        <f>'Miseu Folo'!P66</f>
        <v>4</v>
      </c>
      <c r="G66" s="26">
        <f>Nchalo!D66</f>
        <v>54</v>
      </c>
      <c r="H66" s="26">
        <f>Nsanje!P66</f>
        <v>166</v>
      </c>
      <c r="I66" s="26">
        <f>Ngabu!P66</f>
        <v>134</v>
      </c>
      <c r="J66" s="35">
        <f>SUM(D66:I66)</f>
        <v>779</v>
      </c>
    </row>
    <row r="67" spans="1:10" ht="15.6" x14ac:dyDescent="0.3">
      <c r="A67" s="623"/>
      <c r="B67" s="24" t="s">
        <v>104</v>
      </c>
      <c r="C67" s="5" t="s">
        <v>3</v>
      </c>
      <c r="D67" s="26">
        <f>Bangula!P67</f>
        <v>46</v>
      </c>
      <c r="E67" s="26">
        <f>Chikwawa!P67</f>
        <v>155</v>
      </c>
      <c r="F67" s="26">
        <f>'Miseu Folo'!P67</f>
        <v>389</v>
      </c>
      <c r="G67" s="26">
        <f>Nchalo!P67</f>
        <v>116</v>
      </c>
      <c r="H67" s="26">
        <f>Nsanje!P67</f>
        <v>164</v>
      </c>
      <c r="I67" s="26">
        <f>Ngabu!P67</f>
        <v>24</v>
      </c>
      <c r="J67" s="35">
        <f>SUM(D67:I67)</f>
        <v>894</v>
      </c>
    </row>
    <row r="68" spans="1:10" ht="27" x14ac:dyDescent="0.3">
      <c r="A68" s="623"/>
      <c r="B68" s="24" t="s">
        <v>103</v>
      </c>
      <c r="C68" s="5" t="s">
        <v>3</v>
      </c>
      <c r="D68" s="26">
        <f>Bangula!P68</f>
        <v>74</v>
      </c>
      <c r="E68" s="26">
        <f>Chikwawa!P68</f>
        <v>286</v>
      </c>
      <c r="F68" s="26">
        <f>'Miseu Folo'!P68</f>
        <v>160</v>
      </c>
      <c r="G68" s="26">
        <f>Nchalo!P68</f>
        <v>140</v>
      </c>
      <c r="H68" s="26">
        <f>Nsanje!P68</f>
        <v>192</v>
      </c>
      <c r="I68" s="26">
        <f>Ngabu!P68</f>
        <v>87</v>
      </c>
      <c r="J68" s="35">
        <f>SUM(D68:I68)</f>
        <v>939</v>
      </c>
    </row>
    <row r="69" spans="1:10" s="2" customFormat="1" ht="27" x14ac:dyDescent="0.3">
      <c r="A69" s="623"/>
      <c r="B69" s="24" t="s">
        <v>102</v>
      </c>
      <c r="C69" s="11" t="s">
        <v>3</v>
      </c>
      <c r="D69" s="26">
        <f>Bangula!P69</f>
        <v>0</v>
      </c>
      <c r="E69" s="26">
        <f>Chikwawa!P69</f>
        <v>4</v>
      </c>
      <c r="F69" s="26">
        <f>'Miseu Folo'!P69</f>
        <v>0</v>
      </c>
      <c r="G69" s="26">
        <f>Nchalo!P69</f>
        <v>7</v>
      </c>
      <c r="H69" s="26">
        <f>Nsanje!P69</f>
        <v>0</v>
      </c>
      <c r="I69" s="26">
        <f>Ngabu!P69</f>
        <v>28</v>
      </c>
      <c r="J69" s="74">
        <f>SUM(D69:I69)</f>
        <v>39</v>
      </c>
    </row>
    <row r="70" spans="1:10" s="2" customFormat="1" ht="15.6" x14ac:dyDescent="0.3">
      <c r="A70" s="623"/>
      <c r="B70" s="24" t="s">
        <v>188</v>
      </c>
      <c r="C70" s="11" t="s">
        <v>3</v>
      </c>
      <c r="D70" s="4">
        <f>D68+D69</f>
        <v>74</v>
      </c>
      <c r="E70" s="4">
        <f t="shared" ref="E70:J70" si="18">E68+E69</f>
        <v>290</v>
      </c>
      <c r="F70" s="4">
        <f t="shared" si="18"/>
        <v>160</v>
      </c>
      <c r="G70" s="4">
        <f t="shared" si="18"/>
        <v>147</v>
      </c>
      <c r="H70" s="4">
        <f t="shared" si="18"/>
        <v>192</v>
      </c>
      <c r="I70" s="4">
        <f t="shared" si="18"/>
        <v>115</v>
      </c>
      <c r="J70" s="105">
        <f t="shared" si="18"/>
        <v>978</v>
      </c>
    </row>
    <row r="71" spans="1:10" ht="15.6" x14ac:dyDescent="0.3">
      <c r="A71" s="624"/>
      <c r="B71" s="37" t="s">
        <v>81</v>
      </c>
      <c r="C71" s="5" t="s">
        <v>3</v>
      </c>
      <c r="D71" s="26">
        <f>D66+D67-D70</f>
        <v>17</v>
      </c>
      <c r="E71" s="26">
        <f t="shared" ref="E71:I71" si="19">E66+E67-E70</f>
        <v>241</v>
      </c>
      <c r="F71" s="26">
        <f t="shared" si="19"/>
        <v>233</v>
      </c>
      <c r="G71" s="26">
        <f t="shared" si="19"/>
        <v>23</v>
      </c>
      <c r="H71" s="26">
        <f t="shared" si="19"/>
        <v>138</v>
      </c>
      <c r="I71" s="26">
        <f t="shared" si="19"/>
        <v>43</v>
      </c>
      <c r="J71" s="106">
        <f>J66+J67-J70</f>
        <v>695</v>
      </c>
    </row>
    <row r="72" spans="1:10" ht="15.6" x14ac:dyDescent="0.3">
      <c r="A72" s="622" t="s">
        <v>108</v>
      </c>
      <c r="B72" s="37" t="s">
        <v>85</v>
      </c>
      <c r="C72" s="5" t="s">
        <v>3</v>
      </c>
      <c r="D72" s="26">
        <f>Bangula!D72</f>
        <v>0</v>
      </c>
      <c r="E72" s="26">
        <f>Chikwawa!D72</f>
        <v>0</v>
      </c>
      <c r="F72" s="26">
        <f>'Miseu Folo'!P72</f>
        <v>0</v>
      </c>
      <c r="G72" s="26">
        <f>Nchalo!D72</f>
        <v>0</v>
      </c>
      <c r="H72" s="26">
        <f>Nsanje!P72</f>
        <v>0</v>
      </c>
      <c r="I72" s="26">
        <f>Ngabu!P72</f>
        <v>0</v>
      </c>
      <c r="J72" s="35">
        <f>SUM(D72:I72)</f>
        <v>0</v>
      </c>
    </row>
    <row r="73" spans="1:10" ht="15.6" x14ac:dyDescent="0.3">
      <c r="A73" s="623"/>
      <c r="B73" s="24" t="s">
        <v>104</v>
      </c>
      <c r="C73" s="5" t="s">
        <v>3</v>
      </c>
      <c r="D73" s="26">
        <f>Bangula!P73</f>
        <v>0</v>
      </c>
      <c r="E73" s="26">
        <f>Chikwawa!P73</f>
        <v>1</v>
      </c>
      <c r="F73" s="26">
        <f>'Miseu Folo'!P73</f>
        <v>0</v>
      </c>
      <c r="G73" s="26">
        <f>Nchalo!P73</f>
        <v>1</v>
      </c>
      <c r="H73" s="26">
        <f>Nsanje!P73</f>
        <v>0</v>
      </c>
      <c r="I73" s="26">
        <f>Ngabu!P73</f>
        <v>0</v>
      </c>
      <c r="J73" s="35">
        <f>SUM(D73:I73)</f>
        <v>2</v>
      </c>
    </row>
    <row r="74" spans="1:10" ht="27" x14ac:dyDescent="0.3">
      <c r="A74" s="623"/>
      <c r="B74" s="24" t="s">
        <v>103</v>
      </c>
      <c r="C74" s="5" t="s">
        <v>3</v>
      </c>
      <c r="D74" s="26">
        <f>Bangula!P74</f>
        <v>0</v>
      </c>
      <c r="E74" s="26">
        <f>Chikwawa!P74</f>
        <v>1</v>
      </c>
      <c r="F74" s="26">
        <f>'Miseu Folo'!P74</f>
        <v>0</v>
      </c>
      <c r="G74" s="26">
        <f>Nchalo!P74</f>
        <v>1</v>
      </c>
      <c r="H74" s="26">
        <f>Nsanje!P74</f>
        <v>0</v>
      </c>
      <c r="I74" s="26">
        <f>Ngabu!P74</f>
        <v>0</v>
      </c>
      <c r="J74" s="35">
        <f>SUM(D74:I74)</f>
        <v>2</v>
      </c>
    </row>
    <row r="75" spans="1:10" s="2" customFormat="1" ht="27" x14ac:dyDescent="0.3">
      <c r="A75" s="623"/>
      <c r="B75" s="24" t="s">
        <v>102</v>
      </c>
      <c r="C75" s="11" t="s">
        <v>3</v>
      </c>
      <c r="D75" s="26">
        <f>Bangula!P75</f>
        <v>0</v>
      </c>
      <c r="E75" s="26">
        <f>Chikwawa!P75</f>
        <v>0</v>
      </c>
      <c r="F75" s="26">
        <f>'Miseu Folo'!P75</f>
        <v>0</v>
      </c>
      <c r="G75" s="26">
        <f>Nchalo!P75</f>
        <v>0</v>
      </c>
      <c r="H75" s="26">
        <f>Nsanje!P75</f>
        <v>0</v>
      </c>
      <c r="I75" s="26">
        <f>Ngabu!P75</f>
        <v>0</v>
      </c>
      <c r="J75" s="74">
        <f>SUM(D75:I75)</f>
        <v>0</v>
      </c>
    </row>
    <row r="76" spans="1:10" s="2" customFormat="1" ht="15.6" x14ac:dyDescent="0.3">
      <c r="A76" s="623"/>
      <c r="B76" s="24" t="s">
        <v>188</v>
      </c>
      <c r="C76" s="11" t="s">
        <v>3</v>
      </c>
      <c r="D76" s="4">
        <f>D74+D75</f>
        <v>0</v>
      </c>
      <c r="E76" s="4">
        <f t="shared" ref="E76:J76" si="20">E74+E75</f>
        <v>1</v>
      </c>
      <c r="F76" s="4">
        <f t="shared" si="20"/>
        <v>0</v>
      </c>
      <c r="G76" s="4">
        <f t="shared" si="20"/>
        <v>1</v>
      </c>
      <c r="H76" s="4">
        <f t="shared" si="20"/>
        <v>0</v>
      </c>
      <c r="I76" s="4">
        <f t="shared" si="20"/>
        <v>0</v>
      </c>
      <c r="J76" s="105">
        <f t="shared" si="20"/>
        <v>2</v>
      </c>
    </row>
    <row r="77" spans="1:10" ht="15.6" x14ac:dyDescent="0.3">
      <c r="A77" s="624"/>
      <c r="B77" s="37" t="s">
        <v>81</v>
      </c>
      <c r="C77" s="5" t="s">
        <v>3</v>
      </c>
      <c r="D77" s="26">
        <f>D73+D74-D76</f>
        <v>0</v>
      </c>
      <c r="E77" s="26">
        <f t="shared" ref="E77:J77" si="21">E73+E74-E76</f>
        <v>1</v>
      </c>
      <c r="F77" s="26">
        <f t="shared" si="21"/>
        <v>0</v>
      </c>
      <c r="G77" s="26">
        <f t="shared" si="21"/>
        <v>1</v>
      </c>
      <c r="H77" s="26">
        <f t="shared" si="21"/>
        <v>0</v>
      </c>
      <c r="I77" s="26">
        <f t="shared" si="21"/>
        <v>0</v>
      </c>
      <c r="J77" s="106">
        <f t="shared" si="21"/>
        <v>2</v>
      </c>
    </row>
    <row r="78" spans="1:10" ht="15.6" customHeight="1" x14ac:dyDescent="0.3">
      <c r="A78" s="622" t="s">
        <v>107</v>
      </c>
      <c r="B78" s="37" t="s">
        <v>85</v>
      </c>
      <c r="C78" s="5" t="s">
        <v>3</v>
      </c>
      <c r="D78" s="26">
        <f>Bangula!D78</f>
        <v>0</v>
      </c>
      <c r="E78" s="26">
        <f>Chikwawa!D78</f>
        <v>0</v>
      </c>
      <c r="F78" s="26">
        <f>'Miseu Folo'!P78</f>
        <v>0</v>
      </c>
      <c r="G78" s="26">
        <f>Nchalo!D78</f>
        <v>0</v>
      </c>
      <c r="H78" s="26">
        <f>Nsanje!P78</f>
        <v>0</v>
      </c>
      <c r="I78" s="26">
        <f>Ngabu!P78</f>
        <v>0</v>
      </c>
      <c r="J78" s="35">
        <f>SUM(D78:I78)</f>
        <v>0</v>
      </c>
    </row>
    <row r="79" spans="1:10" ht="15.6" x14ac:dyDescent="0.3">
      <c r="A79" s="623"/>
      <c r="B79" s="24" t="s">
        <v>104</v>
      </c>
      <c r="C79" s="5" t="s">
        <v>3</v>
      </c>
      <c r="D79" s="26">
        <f>Bangula!P79</f>
        <v>1</v>
      </c>
      <c r="E79" s="26">
        <f>Chikwawa!P79</f>
        <v>0</v>
      </c>
      <c r="F79" s="26">
        <f>'Miseu Folo'!P79</f>
        <v>0</v>
      </c>
      <c r="G79" s="26">
        <f>Nchalo!P79</f>
        <v>4</v>
      </c>
      <c r="H79" s="26">
        <f>Nsanje!P79</f>
        <v>0</v>
      </c>
      <c r="I79" s="26">
        <f>Ngabu!P79</f>
        <v>0</v>
      </c>
      <c r="J79" s="35">
        <f>SUM(D79:I79)</f>
        <v>5</v>
      </c>
    </row>
    <row r="80" spans="1:10" ht="27" x14ac:dyDescent="0.3">
      <c r="A80" s="623"/>
      <c r="B80" s="24" t="s">
        <v>103</v>
      </c>
      <c r="C80" s="5" t="s">
        <v>3</v>
      </c>
      <c r="D80" s="26">
        <f>Bangula!P80</f>
        <v>0</v>
      </c>
      <c r="E80" s="26">
        <f>Chikwawa!P80</f>
        <v>0</v>
      </c>
      <c r="F80" s="26">
        <f>'Miseu Folo'!P80</f>
        <v>0</v>
      </c>
      <c r="G80" s="26">
        <f>Nchalo!P80</f>
        <v>1</v>
      </c>
      <c r="H80" s="26">
        <f>Nsanje!P80</f>
        <v>0</v>
      </c>
      <c r="I80" s="26">
        <f>Ngabu!P80</f>
        <v>0</v>
      </c>
      <c r="J80" s="35">
        <f>SUM(D80:I80)</f>
        <v>1</v>
      </c>
    </row>
    <row r="81" spans="1:10" s="2" customFormat="1" ht="27" x14ac:dyDescent="0.3">
      <c r="A81" s="623"/>
      <c r="B81" s="24" t="s">
        <v>102</v>
      </c>
      <c r="C81" s="11" t="s">
        <v>3</v>
      </c>
      <c r="D81" s="26">
        <f>Bangula!P81</f>
        <v>0</v>
      </c>
      <c r="E81" s="26">
        <f>Chikwawa!P81</f>
        <v>0</v>
      </c>
      <c r="F81" s="26">
        <f>'Miseu Folo'!P81</f>
        <v>0</v>
      </c>
      <c r="G81" s="26">
        <f>Nchalo!P81</f>
        <v>1</v>
      </c>
      <c r="H81" s="26">
        <f>Nsanje!P81</f>
        <v>0</v>
      </c>
      <c r="I81" s="26">
        <f>Ngabu!P81</f>
        <v>0</v>
      </c>
      <c r="J81" s="74">
        <f>SUM(D81:I81)</f>
        <v>1</v>
      </c>
    </row>
    <row r="82" spans="1:10" s="2" customFormat="1" ht="15.6" x14ac:dyDescent="0.3">
      <c r="A82" s="623"/>
      <c r="B82" s="24" t="s">
        <v>188</v>
      </c>
      <c r="C82" s="11" t="s">
        <v>3</v>
      </c>
      <c r="D82" s="4">
        <f>D80+D81</f>
        <v>0</v>
      </c>
      <c r="E82" s="4">
        <f t="shared" ref="E82:I82" si="22">E80+E81</f>
        <v>0</v>
      </c>
      <c r="F82" s="4">
        <f t="shared" si="22"/>
        <v>0</v>
      </c>
      <c r="G82" s="4">
        <f t="shared" si="22"/>
        <v>2</v>
      </c>
      <c r="H82" s="4">
        <f t="shared" si="22"/>
        <v>0</v>
      </c>
      <c r="I82" s="4">
        <f t="shared" si="22"/>
        <v>0</v>
      </c>
      <c r="J82" s="105">
        <f t="shared" ref="J82" si="23">J81+J80</f>
        <v>2</v>
      </c>
    </row>
    <row r="83" spans="1:10" ht="15.6" x14ac:dyDescent="0.3">
      <c r="A83" s="624"/>
      <c r="B83" s="37" t="s">
        <v>81</v>
      </c>
      <c r="C83" s="5" t="s">
        <v>3</v>
      </c>
      <c r="D83" s="26">
        <f>D78+D79-D82</f>
        <v>1</v>
      </c>
      <c r="E83" s="26">
        <f t="shared" ref="E83:J83" si="24">E78+E79-E82</f>
        <v>0</v>
      </c>
      <c r="F83" s="26">
        <f t="shared" si="24"/>
        <v>0</v>
      </c>
      <c r="G83" s="26">
        <f t="shared" si="24"/>
        <v>2</v>
      </c>
      <c r="H83" s="26">
        <f t="shared" si="24"/>
        <v>0</v>
      </c>
      <c r="I83" s="26">
        <f t="shared" si="24"/>
        <v>0</v>
      </c>
      <c r="J83" s="106">
        <f t="shared" si="24"/>
        <v>3</v>
      </c>
    </row>
    <row r="84" spans="1:10" ht="15.6" x14ac:dyDescent="0.3">
      <c r="A84" s="625" t="s">
        <v>106</v>
      </c>
      <c r="B84" s="37" t="s">
        <v>85</v>
      </c>
      <c r="C84" s="5" t="s">
        <v>3</v>
      </c>
      <c r="D84" s="26">
        <f>Bangula!D84</f>
        <v>0</v>
      </c>
      <c r="E84" s="26">
        <f>Chikwawa!D84</f>
        <v>0</v>
      </c>
      <c r="F84" s="26">
        <f>'Miseu Folo'!P84</f>
        <v>0</v>
      </c>
      <c r="G84" s="26">
        <f>Nchalo!D84</f>
        <v>0</v>
      </c>
      <c r="H84" s="26">
        <f>Nsanje!P84</f>
        <v>0</v>
      </c>
      <c r="I84" s="26">
        <f>Ngabu!P84</f>
        <v>0</v>
      </c>
      <c r="J84" s="35">
        <f>SUM(D84:I84)</f>
        <v>0</v>
      </c>
    </row>
    <row r="85" spans="1:10" ht="15.6" x14ac:dyDescent="0.3">
      <c r="A85" s="626"/>
      <c r="B85" s="37" t="s">
        <v>104</v>
      </c>
      <c r="C85" s="5" t="s">
        <v>3</v>
      </c>
      <c r="D85" s="26">
        <f>Bangula!P85</f>
        <v>1</v>
      </c>
      <c r="E85" s="26">
        <f>Chikwawa!P85</f>
        <v>0</v>
      </c>
      <c r="F85" s="26">
        <f>'Miseu Folo'!P85</f>
        <v>0</v>
      </c>
      <c r="G85" s="26">
        <f>Nchalo!P85</f>
        <v>0</v>
      </c>
      <c r="H85" s="26">
        <f>Nsanje!P85</f>
        <v>0</v>
      </c>
      <c r="I85" s="26">
        <f>Ngabu!P85</f>
        <v>0</v>
      </c>
      <c r="J85" s="35">
        <f>SUM(D85:I85)</f>
        <v>1</v>
      </c>
    </row>
    <row r="86" spans="1:10" ht="27" x14ac:dyDescent="0.3">
      <c r="A86" s="626"/>
      <c r="B86" s="37" t="s">
        <v>103</v>
      </c>
      <c r="C86" s="5" t="s">
        <v>3</v>
      </c>
      <c r="D86" s="26">
        <f>Bangula!P86</f>
        <v>1</v>
      </c>
      <c r="E86" s="26">
        <f>Chikwawa!P86</f>
        <v>0</v>
      </c>
      <c r="F86" s="26">
        <f>'Miseu Folo'!P86</f>
        <v>0</v>
      </c>
      <c r="G86" s="26">
        <f>Nchalo!P86</f>
        <v>0</v>
      </c>
      <c r="H86" s="26">
        <f>Nsanje!P86</f>
        <v>0</v>
      </c>
      <c r="I86" s="26">
        <f>Ngabu!P86</f>
        <v>0</v>
      </c>
      <c r="J86" s="35">
        <f>SUM(D86:I86)</f>
        <v>1</v>
      </c>
    </row>
    <row r="87" spans="1:10" s="2" customFormat="1" ht="27" x14ac:dyDescent="0.3">
      <c r="A87" s="626"/>
      <c r="B87" s="24" t="s">
        <v>102</v>
      </c>
      <c r="C87" s="11" t="s">
        <v>3</v>
      </c>
      <c r="D87" s="26">
        <f>Bangula!P87</f>
        <v>0</v>
      </c>
      <c r="E87" s="26">
        <f>Chikwawa!P87</f>
        <v>0</v>
      </c>
      <c r="F87" s="26">
        <f>'Miseu Folo'!P87</f>
        <v>0</v>
      </c>
      <c r="G87" s="26">
        <f>Nchalo!P87</f>
        <v>0</v>
      </c>
      <c r="H87" s="26">
        <f>Nsanje!P87</f>
        <v>0</v>
      </c>
      <c r="I87" s="26">
        <f>Ngabu!P87</f>
        <v>0</v>
      </c>
      <c r="J87" s="74">
        <f>SUM(D87:I87)</f>
        <v>0</v>
      </c>
    </row>
    <row r="88" spans="1:10" s="2" customFormat="1" ht="15.6" x14ac:dyDescent="0.3">
      <c r="A88" s="626"/>
      <c r="B88" s="24" t="s">
        <v>188</v>
      </c>
      <c r="C88" s="11" t="s">
        <v>3</v>
      </c>
      <c r="D88" s="4">
        <f>D86+D87</f>
        <v>1</v>
      </c>
      <c r="E88" s="4">
        <f t="shared" ref="E88:I88" si="25">E86+E87</f>
        <v>0</v>
      </c>
      <c r="F88" s="4">
        <f t="shared" si="25"/>
        <v>0</v>
      </c>
      <c r="G88" s="4">
        <f t="shared" si="25"/>
        <v>0</v>
      </c>
      <c r="H88" s="4">
        <f t="shared" si="25"/>
        <v>0</v>
      </c>
      <c r="I88" s="4">
        <f t="shared" si="25"/>
        <v>0</v>
      </c>
      <c r="J88" s="74"/>
    </row>
    <row r="89" spans="1:10" ht="15.6" x14ac:dyDescent="0.3">
      <c r="A89" s="627"/>
      <c r="B89" s="36" t="s">
        <v>81</v>
      </c>
      <c r="C89" s="5" t="s">
        <v>3</v>
      </c>
      <c r="D89" s="26">
        <f>D84+D85-D88</f>
        <v>0</v>
      </c>
      <c r="E89" s="26"/>
      <c r="F89" s="26"/>
      <c r="G89" s="26"/>
      <c r="H89" s="26"/>
      <c r="I89" s="26"/>
      <c r="J89" s="106">
        <f t="shared" ref="J89" si="26">J84+J85-J86-J87</f>
        <v>0</v>
      </c>
    </row>
    <row r="90" spans="1:10" ht="15.6" x14ac:dyDescent="0.3">
      <c r="A90" s="628" t="s">
        <v>105</v>
      </c>
      <c r="B90" s="24" t="s">
        <v>85</v>
      </c>
      <c r="C90" s="11" t="s">
        <v>3</v>
      </c>
      <c r="D90" s="136">
        <f>D66+D72+D78+D84</f>
        <v>45</v>
      </c>
      <c r="E90" s="136">
        <f t="shared" ref="E90:I90" si="27">E66+E72+E78+E84</f>
        <v>376</v>
      </c>
      <c r="F90" s="136">
        <f t="shared" si="27"/>
        <v>4</v>
      </c>
      <c r="G90" s="136">
        <f t="shared" si="27"/>
        <v>54</v>
      </c>
      <c r="H90" s="136">
        <f t="shared" si="27"/>
        <v>166</v>
      </c>
      <c r="I90" s="136">
        <f t="shared" si="27"/>
        <v>134</v>
      </c>
      <c r="J90" s="35">
        <f>SUM(D90:I90)</f>
        <v>779</v>
      </c>
    </row>
    <row r="91" spans="1:10" ht="15.6" x14ac:dyDescent="0.3">
      <c r="A91" s="629"/>
      <c r="B91" s="24" t="s">
        <v>104</v>
      </c>
      <c r="C91" s="11" t="s">
        <v>3</v>
      </c>
      <c r="D91" s="136">
        <f t="shared" ref="D91:I93" si="28">D67+D73+D79+D85</f>
        <v>48</v>
      </c>
      <c r="E91" s="136">
        <f t="shared" si="28"/>
        <v>156</v>
      </c>
      <c r="F91" s="136">
        <f t="shared" si="28"/>
        <v>389</v>
      </c>
      <c r="G91" s="136">
        <f t="shared" si="28"/>
        <v>121</v>
      </c>
      <c r="H91" s="136">
        <f t="shared" si="28"/>
        <v>164</v>
      </c>
      <c r="I91" s="136">
        <f t="shared" si="28"/>
        <v>24</v>
      </c>
      <c r="J91" s="35">
        <f>SUM(D91:I91)</f>
        <v>902</v>
      </c>
    </row>
    <row r="92" spans="1:10" ht="27" x14ac:dyDescent="0.3">
      <c r="A92" s="629"/>
      <c r="B92" s="24" t="s">
        <v>103</v>
      </c>
      <c r="C92" s="11" t="s">
        <v>3</v>
      </c>
      <c r="D92" s="136">
        <f t="shared" si="28"/>
        <v>75</v>
      </c>
      <c r="E92" s="136">
        <f t="shared" si="28"/>
        <v>287</v>
      </c>
      <c r="F92" s="136">
        <f t="shared" si="28"/>
        <v>160</v>
      </c>
      <c r="G92" s="136">
        <f t="shared" si="28"/>
        <v>142</v>
      </c>
      <c r="H92" s="136">
        <f t="shared" si="28"/>
        <v>192</v>
      </c>
      <c r="I92" s="136">
        <f t="shared" si="28"/>
        <v>87</v>
      </c>
      <c r="J92" s="35">
        <f>SUM(D92:I92)</f>
        <v>943</v>
      </c>
    </row>
    <row r="93" spans="1:10" s="2" customFormat="1" ht="27" x14ac:dyDescent="0.3">
      <c r="A93" s="629"/>
      <c r="B93" s="24" t="s">
        <v>102</v>
      </c>
      <c r="C93" s="11"/>
      <c r="D93" s="136">
        <f t="shared" si="28"/>
        <v>0</v>
      </c>
      <c r="E93" s="136">
        <f t="shared" si="28"/>
        <v>4</v>
      </c>
      <c r="F93" s="136">
        <f t="shared" si="28"/>
        <v>0</v>
      </c>
      <c r="G93" s="136">
        <f t="shared" si="28"/>
        <v>8</v>
      </c>
      <c r="H93" s="136">
        <f t="shared" si="28"/>
        <v>0</v>
      </c>
      <c r="I93" s="136">
        <f t="shared" si="28"/>
        <v>28</v>
      </c>
      <c r="J93" s="35">
        <f>SUM(D93:I93)</f>
        <v>40</v>
      </c>
    </row>
    <row r="94" spans="1:10" s="2" customFormat="1" ht="15.6" x14ac:dyDescent="0.3">
      <c r="A94" s="629"/>
      <c r="B94" s="24" t="s">
        <v>188</v>
      </c>
      <c r="C94" s="11" t="s">
        <v>3</v>
      </c>
      <c r="D94" s="137">
        <f>D93+D92</f>
        <v>75</v>
      </c>
      <c r="E94" s="137">
        <f t="shared" ref="E94:J94" si="29">E93+E92</f>
        <v>291</v>
      </c>
      <c r="F94" s="137">
        <f t="shared" si="29"/>
        <v>160</v>
      </c>
      <c r="G94" s="137">
        <f t="shared" si="29"/>
        <v>150</v>
      </c>
      <c r="H94" s="137">
        <f t="shared" si="29"/>
        <v>192</v>
      </c>
      <c r="I94" s="137">
        <f t="shared" si="29"/>
        <v>115</v>
      </c>
      <c r="J94" s="144">
        <f t="shared" si="29"/>
        <v>983</v>
      </c>
    </row>
    <row r="95" spans="1:10" ht="16.2" thickBot="1" x14ac:dyDescent="0.35">
      <c r="A95" s="630"/>
      <c r="B95" s="24" t="s">
        <v>81</v>
      </c>
      <c r="C95" s="11" t="s">
        <v>3</v>
      </c>
      <c r="D95" s="138">
        <f>D90+D91-D94</f>
        <v>18</v>
      </c>
      <c r="E95" s="138">
        <f t="shared" ref="E95:J95" si="30">E90+E91-E94</f>
        <v>241</v>
      </c>
      <c r="F95" s="138">
        <f t="shared" si="30"/>
        <v>233</v>
      </c>
      <c r="G95" s="138">
        <f t="shared" si="30"/>
        <v>25</v>
      </c>
      <c r="H95" s="138">
        <f t="shared" si="30"/>
        <v>138</v>
      </c>
      <c r="I95" s="138">
        <f t="shared" si="30"/>
        <v>43</v>
      </c>
      <c r="J95" s="145">
        <f t="shared" si="30"/>
        <v>698</v>
      </c>
    </row>
    <row r="96" spans="1:10" ht="16.2" customHeight="1" thickBot="1" x14ac:dyDescent="0.35">
      <c r="A96" s="677"/>
      <c r="B96" s="678"/>
      <c r="C96" s="678"/>
      <c r="D96" s="678"/>
      <c r="E96" s="678"/>
      <c r="F96" s="678"/>
      <c r="G96" s="678"/>
      <c r="H96" s="678"/>
      <c r="I96" s="678"/>
      <c r="J96" s="679"/>
    </row>
    <row r="97" spans="1:10" s="2" customFormat="1" ht="15.75" customHeight="1" thickBot="1" x14ac:dyDescent="0.35">
      <c r="A97" s="631" t="s">
        <v>189</v>
      </c>
      <c r="B97" s="632"/>
      <c r="C97" s="632"/>
      <c r="D97" s="632"/>
      <c r="E97" s="632"/>
      <c r="F97" s="632"/>
      <c r="G97" s="632"/>
      <c r="H97" s="632"/>
      <c r="I97" s="632"/>
      <c r="J97" s="633"/>
    </row>
    <row r="98" spans="1:10" ht="15.6" x14ac:dyDescent="0.3">
      <c r="A98" s="88" t="s">
        <v>190</v>
      </c>
      <c r="B98" s="69"/>
      <c r="C98" s="11" t="s">
        <v>3</v>
      </c>
      <c r="D98" s="26">
        <f>Bangula!P98</f>
        <v>0</v>
      </c>
      <c r="E98" s="26">
        <f>Chikwawa!P98</f>
        <v>5</v>
      </c>
      <c r="F98" s="26">
        <f>'Miseu Folo'!P98</f>
        <v>0</v>
      </c>
      <c r="G98" s="26">
        <f>Nchalo!P98</f>
        <v>0</v>
      </c>
      <c r="H98" s="26">
        <f>Nsanje!P98</f>
        <v>0</v>
      </c>
      <c r="I98" s="26">
        <f>Ngabu!P98</f>
        <v>0</v>
      </c>
      <c r="J98" s="108">
        <f>SUM(D98:I98)</f>
        <v>5</v>
      </c>
    </row>
    <row r="99" spans="1:10" ht="15.6" x14ac:dyDescent="0.3">
      <c r="A99" s="88"/>
      <c r="B99" s="24"/>
      <c r="C99" s="11"/>
      <c r="D99" s="65">
        <f>D94/3269*400</f>
        <v>9.177118384827164</v>
      </c>
      <c r="E99" s="65">
        <f t="shared" ref="E99:I99" si="31">E94/3269*400</f>
        <v>35.6072193331294</v>
      </c>
      <c r="F99" s="65">
        <f t="shared" si="31"/>
        <v>19.577852554297952</v>
      </c>
      <c r="G99" s="65">
        <f t="shared" si="31"/>
        <v>18.354236769654328</v>
      </c>
      <c r="H99" s="65">
        <f t="shared" si="31"/>
        <v>23.49342306515754</v>
      </c>
      <c r="I99" s="65">
        <f t="shared" si="31"/>
        <v>14.071581523401653</v>
      </c>
      <c r="J99" s="107"/>
    </row>
    <row r="100" spans="1:10" s="2" customFormat="1" x14ac:dyDescent="0.3">
      <c r="A100" s="642" t="s">
        <v>101</v>
      </c>
      <c r="B100" s="643"/>
      <c r="C100" s="643"/>
      <c r="D100" s="643"/>
      <c r="E100" s="643"/>
      <c r="F100" s="643"/>
      <c r="G100" s="643"/>
      <c r="H100" s="643"/>
      <c r="I100" s="643"/>
      <c r="J100" s="644"/>
    </row>
    <row r="101" spans="1:10" ht="15.6" x14ac:dyDescent="0.3">
      <c r="A101" s="591" t="s">
        <v>100</v>
      </c>
      <c r="B101" s="592"/>
      <c r="C101" s="11" t="s">
        <v>3</v>
      </c>
      <c r="D101" s="26">
        <f>Bangula!P101</f>
        <v>246</v>
      </c>
      <c r="E101" s="26">
        <f>Chikwawa!P101</f>
        <v>835</v>
      </c>
      <c r="F101" s="26">
        <f>'Miseu Folo'!P101</f>
        <v>0</v>
      </c>
      <c r="G101" s="26">
        <f>Nchalo!P101</f>
        <v>652</v>
      </c>
      <c r="H101" s="26">
        <f>Nsanje!P101</f>
        <v>515</v>
      </c>
      <c r="I101" s="26">
        <f>Ngabu!P101</f>
        <v>558</v>
      </c>
      <c r="J101" s="168">
        <f>SUM(D101:I101)</f>
        <v>2806</v>
      </c>
    </row>
    <row r="102" spans="1:10" ht="15.6" x14ac:dyDescent="0.3">
      <c r="A102" s="591" t="s">
        <v>99</v>
      </c>
      <c r="B102" s="592"/>
      <c r="C102" s="11" t="s">
        <v>3</v>
      </c>
      <c r="D102" s="26">
        <f>Bangula!P102</f>
        <v>17</v>
      </c>
      <c r="E102" s="26">
        <f>Chikwawa!P102</f>
        <v>11</v>
      </c>
      <c r="F102" s="26">
        <f>'Miseu Folo'!P102</f>
        <v>0</v>
      </c>
      <c r="G102" s="26">
        <f>Nchalo!P102</f>
        <v>17</v>
      </c>
      <c r="H102" s="26">
        <f>Nsanje!P102</f>
        <v>20</v>
      </c>
      <c r="I102" s="26">
        <f>Ngabu!P102</f>
        <v>42</v>
      </c>
      <c r="J102" s="168">
        <f>SUM(D102:I102)</f>
        <v>107</v>
      </c>
    </row>
    <row r="103" spans="1:10" ht="15.6" customHeight="1" x14ac:dyDescent="0.3">
      <c r="A103" s="598" t="s">
        <v>98</v>
      </c>
      <c r="B103" s="599"/>
      <c r="C103" s="11" t="s">
        <v>3</v>
      </c>
      <c r="D103" s="26">
        <f>Bangula!P103</f>
        <v>12</v>
      </c>
      <c r="E103" s="26">
        <f>Chikwawa!P103</f>
        <v>13</v>
      </c>
      <c r="F103" s="26">
        <f>'Miseu Folo'!P103</f>
        <v>0</v>
      </c>
      <c r="G103" s="26">
        <f>Nchalo!P103</f>
        <v>27</v>
      </c>
      <c r="H103" s="26">
        <f>Nsanje!P103</f>
        <v>3</v>
      </c>
      <c r="I103" s="26">
        <f>Ngabu!P103</f>
        <v>56</v>
      </c>
      <c r="J103" s="168">
        <f>SUM(D103:I103)</f>
        <v>111</v>
      </c>
    </row>
    <row r="104" spans="1:10" ht="15.6" x14ac:dyDescent="0.3">
      <c r="A104" s="598" t="s">
        <v>97</v>
      </c>
      <c r="B104" s="599"/>
      <c r="C104" s="11" t="s">
        <v>3</v>
      </c>
      <c r="D104" s="26">
        <f>Bangula!P104</f>
        <v>5</v>
      </c>
      <c r="E104" s="26">
        <f>Chikwawa!P104</f>
        <v>16</v>
      </c>
      <c r="F104" s="26">
        <f>'Miseu Folo'!P104</f>
        <v>0</v>
      </c>
      <c r="G104" s="26">
        <f>Nchalo!P104</f>
        <v>11</v>
      </c>
      <c r="H104" s="26">
        <f>Nsanje!P104</f>
        <v>25</v>
      </c>
      <c r="I104" s="26">
        <f>Ngabu!P104</f>
        <v>19</v>
      </c>
      <c r="J104" s="168">
        <f>SUM(D104:I104)</f>
        <v>76</v>
      </c>
    </row>
    <row r="105" spans="1:10" ht="15.6" x14ac:dyDescent="0.3">
      <c r="A105" s="645" t="s">
        <v>96</v>
      </c>
      <c r="B105" s="646"/>
      <c r="C105" s="11" t="s">
        <v>3</v>
      </c>
      <c r="D105" s="33">
        <f>SUM(D101:D104)</f>
        <v>280</v>
      </c>
      <c r="E105" s="33">
        <f t="shared" ref="E105:I105" si="32">SUM(E101:E104)</f>
        <v>875</v>
      </c>
      <c r="F105" s="33">
        <f t="shared" si="32"/>
        <v>0</v>
      </c>
      <c r="G105" s="33">
        <f t="shared" si="32"/>
        <v>707</v>
      </c>
      <c r="H105" s="33">
        <f t="shared" si="32"/>
        <v>563</v>
      </c>
      <c r="I105" s="33">
        <f t="shared" si="32"/>
        <v>675</v>
      </c>
      <c r="J105" s="55">
        <f>SUM(D105:I105)</f>
        <v>3100</v>
      </c>
    </row>
    <row r="106" spans="1:10" s="2" customFormat="1" ht="15.6" customHeight="1" x14ac:dyDescent="0.3">
      <c r="A106" s="639" t="s">
        <v>210</v>
      </c>
      <c r="B106" s="640"/>
      <c r="C106" s="640"/>
      <c r="D106" s="640"/>
      <c r="E106" s="640"/>
      <c r="F106" s="640"/>
      <c r="G106" s="640"/>
      <c r="H106" s="640"/>
      <c r="I106" s="640"/>
      <c r="J106" s="641"/>
    </row>
    <row r="107" spans="1:10" ht="15.6" x14ac:dyDescent="0.3">
      <c r="A107" s="591" t="s">
        <v>193</v>
      </c>
      <c r="B107" s="592"/>
      <c r="C107" s="11" t="s">
        <v>3</v>
      </c>
      <c r="D107" s="26">
        <f>Bangula!P107</f>
        <v>510</v>
      </c>
      <c r="E107" s="26">
        <f>Chikwawa!P107</f>
        <v>1916</v>
      </c>
      <c r="F107" s="26">
        <f>'Miseu Folo'!P107</f>
        <v>220</v>
      </c>
      <c r="G107" s="26">
        <f>Nchalo!P107</f>
        <v>1406</v>
      </c>
      <c r="H107" s="26">
        <f>Nsanje!P107</f>
        <v>1116</v>
      </c>
      <c r="I107" s="26">
        <f>Ngabu!P107</f>
        <v>659</v>
      </c>
      <c r="J107" s="168">
        <f>SUM(D107:I107)</f>
        <v>5827</v>
      </c>
    </row>
    <row r="108" spans="1:10" ht="15.6" x14ac:dyDescent="0.3">
      <c r="A108" s="591" t="s">
        <v>194</v>
      </c>
      <c r="B108" s="592"/>
      <c r="C108" s="11" t="s">
        <v>3</v>
      </c>
      <c r="D108" s="26">
        <f>Bangula!P108</f>
        <v>5</v>
      </c>
      <c r="E108" s="26">
        <f>Chikwawa!P108</f>
        <v>22</v>
      </c>
      <c r="F108" s="26">
        <f>'Miseu Folo'!P108</f>
        <v>0</v>
      </c>
      <c r="G108" s="26">
        <f>Nchalo!P108</f>
        <v>6</v>
      </c>
      <c r="H108" s="26">
        <f>Nsanje!P108</f>
        <v>7</v>
      </c>
      <c r="I108" s="26">
        <f>Ngabu!P108</f>
        <v>9</v>
      </c>
      <c r="J108" s="168">
        <f>SUM(D108:I108)</f>
        <v>49</v>
      </c>
    </row>
    <row r="109" spans="1:10" ht="15.6" x14ac:dyDescent="0.3">
      <c r="A109" s="591" t="s">
        <v>195</v>
      </c>
      <c r="B109" s="592"/>
      <c r="C109" s="11" t="s">
        <v>3</v>
      </c>
      <c r="D109" s="26">
        <f>Bangula!P109</f>
        <v>2</v>
      </c>
      <c r="E109" s="26">
        <f>Chikwawa!P109</f>
        <v>13</v>
      </c>
      <c r="F109" s="26">
        <f>'Miseu Folo'!P109</f>
        <v>2</v>
      </c>
      <c r="G109" s="26">
        <f>Nchalo!P109</f>
        <v>9</v>
      </c>
      <c r="H109" s="26">
        <f>Nsanje!P109</f>
        <v>1</v>
      </c>
      <c r="I109" s="26">
        <f>Ngabu!P109</f>
        <v>3</v>
      </c>
      <c r="J109" s="168">
        <f>SUM(D109:I109)</f>
        <v>30</v>
      </c>
    </row>
    <row r="110" spans="1:10" ht="15.6" x14ac:dyDescent="0.3">
      <c r="A110" s="591" t="s">
        <v>196</v>
      </c>
      <c r="B110" s="592"/>
      <c r="C110" s="11" t="s">
        <v>3</v>
      </c>
      <c r="D110" s="26">
        <f>Bangula!P110</f>
        <v>18</v>
      </c>
      <c r="E110" s="26">
        <f>Chikwawa!P110</f>
        <v>12</v>
      </c>
      <c r="F110" s="26">
        <f>'Miseu Folo'!P110</f>
        <v>0</v>
      </c>
      <c r="G110" s="26">
        <f>Nchalo!P110</f>
        <v>8</v>
      </c>
      <c r="H110" s="26">
        <f>Nsanje!P110</f>
        <v>9</v>
      </c>
      <c r="I110" s="26">
        <f>Ngabu!P110</f>
        <v>19</v>
      </c>
      <c r="J110" s="168">
        <f>SUM(D110:I110)</f>
        <v>66</v>
      </c>
    </row>
    <row r="111" spans="1:10" ht="15.6" x14ac:dyDescent="0.3">
      <c r="A111" s="593" t="s">
        <v>95</v>
      </c>
      <c r="B111" s="594"/>
      <c r="C111" s="11" t="s">
        <v>3</v>
      </c>
      <c r="D111" s="33">
        <f>SUM(D107:D110)</f>
        <v>535</v>
      </c>
      <c r="E111" s="33">
        <f t="shared" ref="E111:I111" si="33">SUM(E107:E110)</f>
        <v>1963</v>
      </c>
      <c r="F111" s="33">
        <f t="shared" si="33"/>
        <v>222</v>
      </c>
      <c r="G111" s="33">
        <f t="shared" si="33"/>
        <v>1429</v>
      </c>
      <c r="H111" s="33">
        <f t="shared" si="33"/>
        <v>1133</v>
      </c>
      <c r="I111" s="33">
        <f t="shared" si="33"/>
        <v>690</v>
      </c>
      <c r="J111" s="55">
        <f>SUM(D111:I111)</f>
        <v>5972</v>
      </c>
    </row>
    <row r="112" spans="1:10" s="2" customFormat="1" ht="15.6" customHeight="1" x14ac:dyDescent="0.3">
      <c r="A112" s="642" t="s">
        <v>210</v>
      </c>
      <c r="B112" s="643"/>
      <c r="C112" s="643"/>
      <c r="D112" s="643"/>
      <c r="E112" s="643"/>
      <c r="F112" s="643"/>
      <c r="G112" s="643"/>
      <c r="H112" s="643"/>
      <c r="I112" s="643"/>
      <c r="J112" s="644"/>
    </row>
    <row r="113" spans="1:10" ht="15.6" x14ac:dyDescent="0.3">
      <c r="A113" s="591" t="s">
        <v>197</v>
      </c>
      <c r="B113" s="592"/>
      <c r="C113" s="11" t="s">
        <v>3</v>
      </c>
      <c r="D113" s="26">
        <f>Bangula!P113</f>
        <v>181</v>
      </c>
      <c r="E113" s="26">
        <f>Chikwawa!P113</f>
        <v>623</v>
      </c>
      <c r="F113" s="26">
        <f>'Miseu Folo'!P113</f>
        <v>384</v>
      </c>
      <c r="G113" s="26">
        <f>Nchalo!P113</f>
        <v>307</v>
      </c>
      <c r="H113" s="26">
        <f>Nsanje!P113</f>
        <v>508</v>
      </c>
      <c r="I113" s="26">
        <f>Ngabu!P113</f>
        <v>344</v>
      </c>
      <c r="J113" s="168">
        <f t="shared" ref="J113:J117" si="34">SUM(D113:I113)</f>
        <v>2347</v>
      </c>
    </row>
    <row r="114" spans="1:10" ht="15.6" x14ac:dyDescent="0.3">
      <c r="A114" s="591" t="s">
        <v>198</v>
      </c>
      <c r="B114" s="592"/>
      <c r="C114" s="11" t="s">
        <v>3</v>
      </c>
      <c r="D114" s="26">
        <f>Bangula!P114</f>
        <v>32</v>
      </c>
      <c r="E114" s="26">
        <f>Chikwawa!P114</f>
        <v>42</v>
      </c>
      <c r="F114" s="26">
        <f>'Miseu Folo'!P114</f>
        <v>10</v>
      </c>
      <c r="G114" s="26">
        <f>Nchalo!P114</f>
        <v>27</v>
      </c>
      <c r="H114" s="26">
        <f>Nsanje!P114</f>
        <v>52</v>
      </c>
      <c r="I114" s="26">
        <f>Ngabu!P114</f>
        <v>25</v>
      </c>
      <c r="J114" s="168">
        <f t="shared" si="34"/>
        <v>188</v>
      </c>
    </row>
    <row r="115" spans="1:10" ht="15.6" x14ac:dyDescent="0.3">
      <c r="A115" s="591" t="s">
        <v>199</v>
      </c>
      <c r="B115" s="592"/>
      <c r="C115" s="11" t="s">
        <v>3</v>
      </c>
      <c r="D115" s="26">
        <f>Bangula!P115</f>
        <v>25</v>
      </c>
      <c r="E115" s="26">
        <f>Chikwawa!P115</f>
        <v>56</v>
      </c>
      <c r="F115" s="26">
        <f>'Miseu Folo'!P115</f>
        <v>6</v>
      </c>
      <c r="G115" s="26">
        <f>Nchalo!P115</f>
        <v>62</v>
      </c>
      <c r="H115" s="26">
        <f>Nsanje!P115</f>
        <v>49</v>
      </c>
      <c r="I115" s="26">
        <f>Ngabu!P115</f>
        <v>34</v>
      </c>
      <c r="J115" s="168">
        <f t="shared" si="34"/>
        <v>232</v>
      </c>
    </row>
    <row r="116" spans="1:10" ht="15.6" x14ac:dyDescent="0.3">
      <c r="A116" s="591" t="s">
        <v>200</v>
      </c>
      <c r="B116" s="592"/>
      <c r="C116" s="11" t="s">
        <v>3</v>
      </c>
      <c r="D116" s="26">
        <f>Bangula!P116</f>
        <v>1</v>
      </c>
      <c r="E116" s="26">
        <f>Chikwawa!P116</f>
        <v>3</v>
      </c>
      <c r="F116" s="26">
        <f>'Miseu Folo'!P116</f>
        <v>14</v>
      </c>
      <c r="G116" s="26">
        <f>Nchalo!P116</f>
        <v>1</v>
      </c>
      <c r="H116" s="26">
        <f>Nsanje!P116</f>
        <v>1</v>
      </c>
      <c r="I116" s="26">
        <f>Ngabu!P116</f>
        <v>1</v>
      </c>
      <c r="J116" s="168">
        <f t="shared" si="34"/>
        <v>21</v>
      </c>
    </row>
    <row r="117" spans="1:10" ht="15.6" x14ac:dyDescent="0.3">
      <c r="A117" s="593" t="s">
        <v>94</v>
      </c>
      <c r="B117" s="594"/>
      <c r="C117" s="11" t="s">
        <v>3</v>
      </c>
      <c r="D117" s="33">
        <f>SUM(D113:D116)</f>
        <v>239</v>
      </c>
      <c r="E117" s="33">
        <f t="shared" ref="E117:I117" si="35">SUM(E113:E116)</f>
        <v>724</v>
      </c>
      <c r="F117" s="33">
        <f t="shared" si="35"/>
        <v>414</v>
      </c>
      <c r="G117" s="33">
        <f t="shared" si="35"/>
        <v>397</v>
      </c>
      <c r="H117" s="33">
        <f t="shared" si="35"/>
        <v>610</v>
      </c>
      <c r="I117" s="33">
        <f t="shared" si="35"/>
        <v>404</v>
      </c>
      <c r="J117" s="55">
        <f t="shared" si="34"/>
        <v>2788</v>
      </c>
    </row>
    <row r="118" spans="1:10" s="2" customFormat="1" ht="15.6" x14ac:dyDescent="0.3">
      <c r="A118" s="191" t="s">
        <v>191</v>
      </c>
      <c r="B118" s="192"/>
      <c r="C118" s="11" t="s">
        <v>3</v>
      </c>
      <c r="D118" s="33">
        <f>D111+D117</f>
        <v>774</v>
      </c>
      <c r="E118" s="33">
        <f t="shared" ref="E118:I118" si="36">E111+E117</f>
        <v>2687</v>
      </c>
      <c r="F118" s="33">
        <f t="shared" si="36"/>
        <v>636</v>
      </c>
      <c r="G118" s="33">
        <f t="shared" si="36"/>
        <v>1826</v>
      </c>
      <c r="H118" s="33">
        <f t="shared" si="36"/>
        <v>1743</v>
      </c>
      <c r="I118" s="33">
        <f t="shared" si="36"/>
        <v>1094</v>
      </c>
      <c r="J118" s="55">
        <f t="shared" ref="J118" si="37">J117+J111</f>
        <v>8760</v>
      </c>
    </row>
    <row r="119" spans="1:10" ht="15.6" x14ac:dyDescent="0.3">
      <c r="A119" s="593" t="s">
        <v>192</v>
      </c>
      <c r="B119" s="594"/>
      <c r="C119" s="11" t="s">
        <v>3</v>
      </c>
      <c r="D119" s="33">
        <f>D118+D105</f>
        <v>1054</v>
      </c>
      <c r="E119" s="33">
        <f t="shared" ref="E119:J119" si="38">E118+E105</f>
        <v>3562</v>
      </c>
      <c r="F119" s="33">
        <f t="shared" si="38"/>
        <v>636</v>
      </c>
      <c r="G119" s="33">
        <f t="shared" si="38"/>
        <v>2533</v>
      </c>
      <c r="H119" s="33">
        <f t="shared" si="38"/>
        <v>2306</v>
      </c>
      <c r="I119" s="33">
        <f t="shared" si="38"/>
        <v>1769</v>
      </c>
      <c r="J119" s="55">
        <f t="shared" si="38"/>
        <v>11860</v>
      </c>
    </row>
    <row r="120" spans="1:10" x14ac:dyDescent="0.3">
      <c r="A120" s="595" t="s">
        <v>201</v>
      </c>
      <c r="B120" s="596"/>
      <c r="C120" s="596"/>
      <c r="D120" s="596"/>
      <c r="E120" s="596"/>
      <c r="F120" s="596"/>
      <c r="G120" s="596"/>
      <c r="H120" s="596"/>
      <c r="I120" s="596"/>
      <c r="J120" s="597"/>
    </row>
    <row r="121" spans="1:10" ht="15.6" x14ac:dyDescent="0.3">
      <c r="A121" s="591" t="s">
        <v>93</v>
      </c>
      <c r="B121" s="592"/>
      <c r="C121" s="5" t="s">
        <v>3</v>
      </c>
      <c r="D121" s="26">
        <f>Bangula!P121</f>
        <v>11637.416217643484</v>
      </c>
      <c r="E121" s="26">
        <f>Chikwawa!P121</f>
        <v>22620.73570744893</v>
      </c>
      <c r="F121" s="26">
        <f>'Miseu Folo'!P121</f>
        <v>7278.7366724474623</v>
      </c>
      <c r="G121" s="26">
        <f>Nchalo!P121</f>
        <v>21455.403396612845</v>
      </c>
      <c r="H121" s="26">
        <f>Nsanje!P121</f>
        <v>26230.544608932891</v>
      </c>
      <c r="I121" s="26">
        <f>Ngabu!P121</f>
        <v>18732.205786027465</v>
      </c>
      <c r="J121" s="31">
        <f>SUM(D121:I121)</f>
        <v>107955.04238911308</v>
      </c>
    </row>
    <row r="122" spans="1:10" ht="15.6" x14ac:dyDescent="0.3">
      <c r="A122" s="591" t="s">
        <v>92</v>
      </c>
      <c r="B122" s="592"/>
      <c r="C122" s="5" t="s">
        <v>3</v>
      </c>
      <c r="D122" s="26">
        <f>Bangula!P122</f>
        <v>7248</v>
      </c>
      <c r="E122" s="26">
        <f>Chikwawa!P122</f>
        <v>17253</v>
      </c>
      <c r="F122" s="26">
        <f>'Miseu Folo'!P122</f>
        <v>5427</v>
      </c>
      <c r="G122" s="26">
        <f>Nchalo!P122</f>
        <v>16629</v>
      </c>
      <c r="H122" s="26">
        <f>Nsanje!P122</f>
        <v>18350</v>
      </c>
      <c r="I122" s="26">
        <f>Ngabu!P122</f>
        <v>11783</v>
      </c>
      <c r="J122" s="31">
        <f>SUM(D122:I122)</f>
        <v>76690</v>
      </c>
    </row>
    <row r="123" spans="1:10" ht="15.6" x14ac:dyDescent="0.3">
      <c r="A123" s="647" t="s">
        <v>91</v>
      </c>
      <c r="B123" s="648"/>
      <c r="C123" s="30" t="s">
        <v>6</v>
      </c>
      <c r="D123" s="29">
        <f t="shared" ref="D123:J123" si="39">D122/D121</f>
        <v>0.62281866218820192</v>
      </c>
      <c r="E123" s="29">
        <f t="shared" si="39"/>
        <v>0.76270728870761917</v>
      </c>
      <c r="F123" s="29">
        <f t="shared" si="39"/>
        <v>0.74559641929939213</v>
      </c>
      <c r="G123" s="29">
        <f t="shared" si="39"/>
        <v>0.77504951515501286</v>
      </c>
      <c r="H123" s="29">
        <f t="shared" si="39"/>
        <v>0.69956610789357576</v>
      </c>
      <c r="I123" s="29">
        <f t="shared" si="39"/>
        <v>0.62902362565272774</v>
      </c>
      <c r="J123" s="109">
        <f t="shared" si="39"/>
        <v>0.71038830889972349</v>
      </c>
    </row>
    <row r="124" spans="1:10" x14ac:dyDescent="0.3">
      <c r="A124" s="649" t="s">
        <v>90</v>
      </c>
      <c r="B124" s="650"/>
      <c r="C124" s="650"/>
      <c r="D124" s="650"/>
      <c r="E124" s="650"/>
      <c r="F124" s="650"/>
      <c r="G124" s="650"/>
      <c r="H124" s="650"/>
      <c r="I124" s="650"/>
      <c r="J124" s="651"/>
    </row>
    <row r="125" spans="1:10" ht="15.6" x14ac:dyDescent="0.3">
      <c r="A125" s="605" t="s">
        <v>227</v>
      </c>
      <c r="B125" s="24" t="s">
        <v>85</v>
      </c>
      <c r="C125" s="11" t="s">
        <v>3</v>
      </c>
      <c r="D125" s="26">
        <f>Bangula!P125</f>
        <v>0</v>
      </c>
      <c r="E125" s="26">
        <f>Chikwawa!P125</f>
        <v>0</v>
      </c>
      <c r="F125" s="26">
        <f>'Miseu Folo'!P125</f>
        <v>0</v>
      </c>
      <c r="G125" s="26">
        <f>Nchalo!P125</f>
        <v>0</v>
      </c>
      <c r="H125" s="26">
        <f>Nsanje!P125</f>
        <v>0</v>
      </c>
      <c r="I125" s="26">
        <f>Ngabu!P125</f>
        <v>1</v>
      </c>
      <c r="J125" s="74">
        <f>SUM(D125:I125)</f>
        <v>1</v>
      </c>
    </row>
    <row r="126" spans="1:10" ht="15.6" x14ac:dyDescent="0.3">
      <c r="A126" s="655"/>
      <c r="B126" s="24" t="s">
        <v>84</v>
      </c>
      <c r="C126" s="11" t="s">
        <v>3</v>
      </c>
      <c r="D126" s="26">
        <f>Bangula!P126</f>
        <v>0</v>
      </c>
      <c r="E126" s="26">
        <f>Chikwawa!P126</f>
        <v>0</v>
      </c>
      <c r="F126" s="26">
        <f>'Miseu Folo'!P126</f>
        <v>0</v>
      </c>
      <c r="G126" s="26">
        <f>Nchalo!P126</f>
        <v>0</v>
      </c>
      <c r="H126" s="26">
        <f>Nsanje!P126</f>
        <v>0</v>
      </c>
      <c r="I126" s="26">
        <f>Ngabu!P126</f>
        <v>0</v>
      </c>
      <c r="J126" s="74">
        <f>SUM(D126:I126)</f>
        <v>0</v>
      </c>
    </row>
    <row r="127" spans="1:10" ht="15.6" x14ac:dyDescent="0.3">
      <c r="A127" s="655"/>
      <c r="B127" s="82" t="s">
        <v>88</v>
      </c>
      <c r="C127" s="11" t="s">
        <v>3</v>
      </c>
      <c r="D127" s="26">
        <f>Bangula!P127</f>
        <v>0</v>
      </c>
      <c r="E127" s="26">
        <f>Chikwawa!P127</f>
        <v>0</v>
      </c>
      <c r="F127" s="26">
        <f>'Miseu Folo'!P127</f>
        <v>0</v>
      </c>
      <c r="G127" s="26">
        <f>Nchalo!P127</f>
        <v>0</v>
      </c>
      <c r="H127" s="26">
        <f>Nsanje!P127</f>
        <v>0</v>
      </c>
      <c r="I127" s="26">
        <f>Ngabu!P127</f>
        <v>0</v>
      </c>
      <c r="J127" s="74">
        <f>SUM(D127:I127)</f>
        <v>0</v>
      </c>
    </row>
    <row r="128" spans="1:10" ht="15.6" x14ac:dyDescent="0.3">
      <c r="A128" s="655"/>
      <c r="B128" s="24" t="s">
        <v>82</v>
      </c>
      <c r="C128" s="11" t="s">
        <v>3</v>
      </c>
      <c r="D128" s="26">
        <f>Bangula!P128</f>
        <v>0</v>
      </c>
      <c r="E128" s="26">
        <f>Chikwawa!P128</f>
        <v>0</v>
      </c>
      <c r="F128" s="26">
        <f>'Miseu Folo'!P128</f>
        <v>0</v>
      </c>
      <c r="G128" s="26">
        <f>Nchalo!P128</f>
        <v>0</v>
      </c>
      <c r="H128" s="26">
        <f>Nsanje!P128</f>
        <v>0</v>
      </c>
      <c r="I128" s="26">
        <f>Ngabu!P128</f>
        <v>0</v>
      </c>
      <c r="J128" s="74">
        <f>SUM(D128:I128)</f>
        <v>0</v>
      </c>
    </row>
    <row r="129" spans="1:10" ht="15.6" x14ac:dyDescent="0.3">
      <c r="A129" s="606"/>
      <c r="B129" s="24" t="s">
        <v>81</v>
      </c>
      <c r="C129" s="11" t="s">
        <v>3</v>
      </c>
      <c r="D129" s="140">
        <f t="shared" ref="D129:J129" si="40">D125+D126-D127-D128</f>
        <v>0</v>
      </c>
      <c r="E129" s="140">
        <f t="shared" si="40"/>
        <v>0</v>
      </c>
      <c r="F129" s="140">
        <f t="shared" si="40"/>
        <v>0</v>
      </c>
      <c r="G129" s="140">
        <f t="shared" si="40"/>
        <v>0</v>
      </c>
      <c r="H129" s="140">
        <f t="shared" si="40"/>
        <v>0</v>
      </c>
      <c r="I129" s="140">
        <f t="shared" si="40"/>
        <v>1</v>
      </c>
      <c r="J129" s="35">
        <f t="shared" si="40"/>
        <v>1</v>
      </c>
    </row>
    <row r="130" spans="1:10" ht="15.6" x14ac:dyDescent="0.3">
      <c r="A130" s="605" t="s">
        <v>228</v>
      </c>
      <c r="B130" s="28" t="s">
        <v>85</v>
      </c>
      <c r="C130" s="27" t="s">
        <v>3</v>
      </c>
      <c r="D130" s="26">
        <f>Bangula!P130</f>
        <v>0</v>
      </c>
      <c r="E130" s="26">
        <f>Chikwawa!P130</f>
        <v>0</v>
      </c>
      <c r="F130" s="26">
        <f>'Miseu Folo'!P130</f>
        <v>0</v>
      </c>
      <c r="G130" s="26">
        <f>Nchalo!P130</f>
        <v>1</v>
      </c>
      <c r="H130" s="26">
        <f>Nsanje!P130</f>
        <v>0</v>
      </c>
      <c r="I130" s="26">
        <f>Ngabu!P130</f>
        <v>0</v>
      </c>
      <c r="J130" s="74">
        <f>SUM(D130:I130)</f>
        <v>1</v>
      </c>
    </row>
    <row r="131" spans="1:10" ht="15.6" x14ac:dyDescent="0.3">
      <c r="A131" s="655"/>
      <c r="B131" s="24" t="s">
        <v>84</v>
      </c>
      <c r="C131" s="11" t="s">
        <v>3</v>
      </c>
      <c r="D131" s="26">
        <f>Bangula!P131</f>
        <v>0</v>
      </c>
      <c r="E131" s="26">
        <f>Chikwawa!P131</f>
        <v>0</v>
      </c>
      <c r="F131" s="26">
        <f>'Miseu Folo'!P131</f>
        <v>0</v>
      </c>
      <c r="G131" s="26">
        <f>Nchalo!P131</f>
        <v>0</v>
      </c>
      <c r="H131" s="26">
        <f>Nsanje!P131</f>
        <v>0</v>
      </c>
      <c r="I131" s="26">
        <f>Ngabu!P131</f>
        <v>0</v>
      </c>
      <c r="J131" s="74">
        <f>SUM(D131:I131)</f>
        <v>0</v>
      </c>
    </row>
    <row r="132" spans="1:10" ht="15.6" x14ac:dyDescent="0.3">
      <c r="A132" s="655"/>
      <c r="B132" s="82" t="s">
        <v>88</v>
      </c>
      <c r="C132" s="11" t="s">
        <v>3</v>
      </c>
      <c r="D132" s="26">
        <f>Bangula!P132</f>
        <v>0</v>
      </c>
      <c r="E132" s="26">
        <f>Chikwawa!P132</f>
        <v>0</v>
      </c>
      <c r="F132" s="26">
        <f>'Miseu Folo'!P132</f>
        <v>0</v>
      </c>
      <c r="G132" s="26">
        <f>Nchalo!P132</f>
        <v>0</v>
      </c>
      <c r="H132" s="26">
        <f>Nsanje!P132</f>
        <v>0</v>
      </c>
      <c r="I132" s="26">
        <f>Ngabu!P132</f>
        <v>0</v>
      </c>
      <c r="J132" s="74">
        <f>SUM(D132:I132)</f>
        <v>0</v>
      </c>
    </row>
    <row r="133" spans="1:10" ht="15.6" x14ac:dyDescent="0.3">
      <c r="A133" s="655"/>
      <c r="B133" s="24" t="s">
        <v>82</v>
      </c>
      <c r="C133" s="11" t="s">
        <v>3</v>
      </c>
      <c r="D133" s="26">
        <f>Bangula!P133</f>
        <v>0</v>
      </c>
      <c r="E133" s="26">
        <f>Chikwawa!P133</f>
        <v>0</v>
      </c>
      <c r="F133" s="26">
        <f>'Miseu Folo'!P133</f>
        <v>0</v>
      </c>
      <c r="G133" s="26">
        <f>Nchalo!P133</f>
        <v>0</v>
      </c>
      <c r="H133" s="26">
        <f>Nsanje!P133</f>
        <v>0</v>
      </c>
      <c r="I133" s="26">
        <f>Ngabu!P133</f>
        <v>0</v>
      </c>
      <c r="J133" s="74">
        <f>SUM(D133:I133)</f>
        <v>0</v>
      </c>
    </row>
    <row r="134" spans="1:10" ht="15.6" x14ac:dyDescent="0.3">
      <c r="A134" s="606"/>
      <c r="B134" s="24" t="s">
        <v>81</v>
      </c>
      <c r="C134" s="11" t="s">
        <v>3</v>
      </c>
      <c r="D134" s="140">
        <f t="shared" ref="D134:J134" si="41">D130+D131-D132-D133</f>
        <v>0</v>
      </c>
      <c r="E134" s="140">
        <f t="shared" si="41"/>
        <v>0</v>
      </c>
      <c r="F134" s="140">
        <f t="shared" si="41"/>
        <v>0</v>
      </c>
      <c r="G134" s="140">
        <f t="shared" si="41"/>
        <v>1</v>
      </c>
      <c r="H134" s="140">
        <f t="shared" si="41"/>
        <v>0</v>
      </c>
      <c r="I134" s="140">
        <f t="shared" si="41"/>
        <v>0</v>
      </c>
      <c r="J134" s="35">
        <f t="shared" si="41"/>
        <v>1</v>
      </c>
    </row>
    <row r="135" spans="1:10" ht="15.6" x14ac:dyDescent="0.3">
      <c r="A135" s="605" t="s">
        <v>89</v>
      </c>
      <c r="B135" s="24" t="s">
        <v>85</v>
      </c>
      <c r="C135" s="11" t="s">
        <v>3</v>
      </c>
      <c r="D135" s="26">
        <f>Bangula!P135</f>
        <v>1</v>
      </c>
      <c r="E135" s="26">
        <f>Chikwawa!P135</f>
        <v>0</v>
      </c>
      <c r="F135" s="26">
        <f>'Miseu Folo'!P135</f>
        <v>0</v>
      </c>
      <c r="G135" s="26">
        <f>Nchalo!P135</f>
        <v>0</v>
      </c>
      <c r="H135" s="26">
        <f>Nsanje!P135</f>
        <v>1</v>
      </c>
      <c r="I135" s="26">
        <f>Ngabu!P135</f>
        <v>1</v>
      </c>
      <c r="J135" s="74">
        <f>SUM(D135:I135)</f>
        <v>3</v>
      </c>
    </row>
    <row r="136" spans="1:10" ht="15.6" x14ac:dyDescent="0.3">
      <c r="A136" s="655"/>
      <c r="B136" s="24" t="s">
        <v>84</v>
      </c>
      <c r="C136" s="11" t="s">
        <v>3</v>
      </c>
      <c r="D136" s="26">
        <f>Bangula!P136</f>
        <v>1</v>
      </c>
      <c r="E136" s="26">
        <f>Chikwawa!P136</f>
        <v>0</v>
      </c>
      <c r="F136" s="26">
        <f>'Miseu Folo'!P136</f>
        <v>0</v>
      </c>
      <c r="G136" s="26">
        <f>Nchalo!P136</f>
        <v>0</v>
      </c>
      <c r="H136" s="26">
        <f>Nsanje!P136</f>
        <v>1</v>
      </c>
      <c r="I136" s="26">
        <f>Ngabu!P136</f>
        <v>0</v>
      </c>
      <c r="J136" s="74">
        <f>SUM(D136:I136)</f>
        <v>2</v>
      </c>
    </row>
    <row r="137" spans="1:10" ht="15.6" x14ac:dyDescent="0.3">
      <c r="A137" s="655"/>
      <c r="B137" s="82" t="s">
        <v>88</v>
      </c>
      <c r="C137" s="11" t="s">
        <v>3</v>
      </c>
      <c r="D137" s="26">
        <f>Bangula!P137</f>
        <v>0</v>
      </c>
      <c r="E137" s="26">
        <f>Chikwawa!P137</f>
        <v>0</v>
      </c>
      <c r="F137" s="26">
        <f>'Miseu Folo'!P137</f>
        <v>0</v>
      </c>
      <c r="G137" s="26">
        <f>Nchalo!P137</f>
        <v>0</v>
      </c>
      <c r="H137" s="26">
        <f>Nsanje!P137</f>
        <v>1</v>
      </c>
      <c r="I137" s="26">
        <f>Ngabu!P137</f>
        <v>0</v>
      </c>
      <c r="J137" s="74">
        <f>SUM(D137:I137)</f>
        <v>1</v>
      </c>
    </row>
    <row r="138" spans="1:10" ht="15.6" x14ac:dyDescent="0.3">
      <c r="A138" s="655"/>
      <c r="B138" s="24" t="s">
        <v>82</v>
      </c>
      <c r="C138" s="11" t="s">
        <v>3</v>
      </c>
      <c r="D138" s="26">
        <f>Bangula!P138</f>
        <v>0</v>
      </c>
      <c r="E138" s="26">
        <f>Chikwawa!P138</f>
        <v>0</v>
      </c>
      <c r="F138" s="26">
        <f>'Miseu Folo'!P138</f>
        <v>0</v>
      </c>
      <c r="G138" s="26">
        <f>Nchalo!P138</f>
        <v>0</v>
      </c>
      <c r="H138" s="26">
        <f>Nsanje!P138</f>
        <v>0</v>
      </c>
      <c r="I138" s="26">
        <f>Ngabu!P138</f>
        <v>0</v>
      </c>
      <c r="J138" s="74">
        <f>SUM(D138:I138)</f>
        <v>0</v>
      </c>
    </row>
    <row r="139" spans="1:10" ht="15.6" x14ac:dyDescent="0.3">
      <c r="A139" s="606"/>
      <c r="B139" s="24" t="s">
        <v>81</v>
      </c>
      <c r="C139" s="11" t="s">
        <v>3</v>
      </c>
      <c r="D139" s="140">
        <f t="shared" ref="D139:J139" si="42">D135+D136-D137-D138</f>
        <v>2</v>
      </c>
      <c r="E139" s="140">
        <f t="shared" si="42"/>
        <v>0</v>
      </c>
      <c r="F139" s="140">
        <f t="shared" si="42"/>
        <v>0</v>
      </c>
      <c r="G139" s="140">
        <f t="shared" si="42"/>
        <v>0</v>
      </c>
      <c r="H139" s="140">
        <f t="shared" si="42"/>
        <v>1</v>
      </c>
      <c r="I139" s="140">
        <f t="shared" si="42"/>
        <v>1</v>
      </c>
      <c r="J139" s="35">
        <f t="shared" si="42"/>
        <v>4</v>
      </c>
    </row>
    <row r="140" spans="1:10" ht="15.6" x14ac:dyDescent="0.3">
      <c r="A140" s="605" t="s">
        <v>87</v>
      </c>
      <c r="B140" s="24" t="s">
        <v>85</v>
      </c>
      <c r="C140" s="11" t="s">
        <v>3</v>
      </c>
      <c r="D140" s="26">
        <f>Bangula!P140</f>
        <v>41</v>
      </c>
      <c r="E140" s="26">
        <f>Chikwawa!P140</f>
        <v>326</v>
      </c>
      <c r="F140" s="26">
        <f>'Miseu Folo'!P140</f>
        <v>2</v>
      </c>
      <c r="G140" s="26">
        <f>Nchalo!P140</f>
        <v>432</v>
      </c>
      <c r="H140" s="26">
        <f>Nsanje!P140</f>
        <v>120</v>
      </c>
      <c r="I140" s="26">
        <f>Ngabu!P140</f>
        <v>72</v>
      </c>
      <c r="J140" s="74">
        <f>SUM(D140:I140)</f>
        <v>993</v>
      </c>
    </row>
    <row r="141" spans="1:10" ht="15.6" x14ac:dyDescent="0.3">
      <c r="A141" s="655"/>
      <c r="B141" s="24" t="s">
        <v>84</v>
      </c>
      <c r="C141" s="11" t="s">
        <v>3</v>
      </c>
      <c r="D141" s="26">
        <f>Bangula!P141</f>
        <v>51</v>
      </c>
      <c r="E141" s="26">
        <f>Chikwawa!P141</f>
        <v>150</v>
      </c>
      <c r="F141" s="26">
        <f>'Miseu Folo'!P141</f>
        <v>10</v>
      </c>
      <c r="G141" s="26">
        <f>Nchalo!P141</f>
        <v>167</v>
      </c>
      <c r="H141" s="26">
        <f>Nsanje!P141</f>
        <v>129</v>
      </c>
      <c r="I141" s="26">
        <f>Ngabu!P141</f>
        <v>85</v>
      </c>
      <c r="J141" s="74">
        <f>SUM(D141:I141)</f>
        <v>592</v>
      </c>
    </row>
    <row r="142" spans="1:10" ht="15.6" x14ac:dyDescent="0.3">
      <c r="A142" s="655"/>
      <c r="B142" s="24" t="s">
        <v>83</v>
      </c>
      <c r="C142" s="11" t="s">
        <v>3</v>
      </c>
      <c r="D142" s="26">
        <f>Bangula!P142</f>
        <v>25</v>
      </c>
      <c r="E142" s="26">
        <f>Chikwawa!P142</f>
        <v>119</v>
      </c>
      <c r="F142" s="26">
        <f>'Miseu Folo'!P142</f>
        <v>0</v>
      </c>
      <c r="G142" s="26">
        <f>Nchalo!P142</f>
        <v>33</v>
      </c>
      <c r="H142" s="26">
        <f>Nsanje!P142</f>
        <v>98</v>
      </c>
      <c r="I142" s="26">
        <f>Ngabu!P142</f>
        <v>26</v>
      </c>
      <c r="J142" s="74">
        <f>SUM(D142:I142)</f>
        <v>301</v>
      </c>
    </row>
    <row r="143" spans="1:10" ht="15.6" x14ac:dyDescent="0.3">
      <c r="A143" s="655"/>
      <c r="B143" s="24" t="s">
        <v>82</v>
      </c>
      <c r="C143" s="11" t="s">
        <v>3</v>
      </c>
      <c r="D143" s="26">
        <f>Bangula!P143</f>
        <v>58</v>
      </c>
      <c r="E143" s="26">
        <f>Chikwawa!P143</f>
        <v>83</v>
      </c>
      <c r="F143" s="26">
        <f>'Miseu Folo'!P143</f>
        <v>5</v>
      </c>
      <c r="G143" s="26">
        <f>Nchalo!P143</f>
        <v>367</v>
      </c>
      <c r="H143" s="26">
        <f>Nsanje!P143</f>
        <v>135</v>
      </c>
      <c r="I143" s="26">
        <f>Ngabu!P143</f>
        <v>158</v>
      </c>
      <c r="J143" s="74">
        <f>SUM(D143:I143)</f>
        <v>806</v>
      </c>
    </row>
    <row r="144" spans="1:10" ht="15.6" x14ac:dyDescent="0.3">
      <c r="A144" s="606"/>
      <c r="B144" s="24" t="s">
        <v>81</v>
      </c>
      <c r="C144" s="11" t="s">
        <v>3</v>
      </c>
      <c r="D144" s="140">
        <f t="shared" ref="D144:J144" si="43">D140+D141-D142-D143</f>
        <v>9</v>
      </c>
      <c r="E144" s="140">
        <f t="shared" si="43"/>
        <v>274</v>
      </c>
      <c r="F144" s="140">
        <f t="shared" si="43"/>
        <v>7</v>
      </c>
      <c r="G144" s="140">
        <f t="shared" si="43"/>
        <v>199</v>
      </c>
      <c r="H144" s="140">
        <f t="shared" si="43"/>
        <v>16</v>
      </c>
      <c r="I144" s="140">
        <f t="shared" si="43"/>
        <v>-27</v>
      </c>
      <c r="J144" s="35">
        <f t="shared" si="43"/>
        <v>478</v>
      </c>
    </row>
    <row r="145" spans="1:10" s="2" customFormat="1" ht="15.6" x14ac:dyDescent="0.3">
      <c r="A145" s="605" t="s">
        <v>86</v>
      </c>
      <c r="B145" s="24" t="s">
        <v>85</v>
      </c>
      <c r="C145" s="11" t="s">
        <v>3</v>
      </c>
      <c r="D145" s="141">
        <f t="shared" ref="D145:J149" si="44">D125+D130+D135+D140</f>
        <v>42</v>
      </c>
      <c r="E145" s="141">
        <f t="shared" si="44"/>
        <v>326</v>
      </c>
      <c r="F145" s="141">
        <f t="shared" si="44"/>
        <v>2</v>
      </c>
      <c r="G145" s="141">
        <f t="shared" si="44"/>
        <v>433</v>
      </c>
      <c r="H145" s="141">
        <f t="shared" si="44"/>
        <v>121</v>
      </c>
      <c r="I145" s="141">
        <f t="shared" si="44"/>
        <v>74</v>
      </c>
      <c r="J145" s="110">
        <f t="shared" si="44"/>
        <v>998</v>
      </c>
    </row>
    <row r="146" spans="1:10" ht="15.6" x14ac:dyDescent="0.3">
      <c r="A146" s="655"/>
      <c r="B146" s="24" t="s">
        <v>84</v>
      </c>
      <c r="C146" s="11" t="s">
        <v>3</v>
      </c>
      <c r="D146" s="141">
        <f t="shared" ref="D146:I148" si="45">D126+D131+D136+D141</f>
        <v>52</v>
      </c>
      <c r="E146" s="141">
        <f t="shared" si="45"/>
        <v>150</v>
      </c>
      <c r="F146" s="141">
        <f t="shared" si="45"/>
        <v>10</v>
      </c>
      <c r="G146" s="141">
        <f t="shared" si="45"/>
        <v>167</v>
      </c>
      <c r="H146" s="141">
        <f t="shared" si="45"/>
        <v>130</v>
      </c>
      <c r="I146" s="141">
        <f t="shared" si="45"/>
        <v>85</v>
      </c>
      <c r="J146" s="110">
        <f t="shared" si="44"/>
        <v>594</v>
      </c>
    </row>
    <row r="147" spans="1:10" ht="15.6" x14ac:dyDescent="0.3">
      <c r="A147" s="655"/>
      <c r="B147" s="24" t="s">
        <v>83</v>
      </c>
      <c r="C147" s="11" t="s">
        <v>3</v>
      </c>
      <c r="D147" s="141">
        <f t="shared" si="45"/>
        <v>25</v>
      </c>
      <c r="E147" s="141">
        <f t="shared" si="45"/>
        <v>119</v>
      </c>
      <c r="F147" s="141">
        <f t="shared" si="45"/>
        <v>0</v>
      </c>
      <c r="G147" s="141">
        <f t="shared" si="45"/>
        <v>33</v>
      </c>
      <c r="H147" s="141">
        <f t="shared" si="45"/>
        <v>99</v>
      </c>
      <c r="I147" s="141">
        <f t="shared" si="45"/>
        <v>26</v>
      </c>
      <c r="J147" s="110">
        <f t="shared" si="44"/>
        <v>302</v>
      </c>
    </row>
    <row r="148" spans="1:10" ht="15.6" x14ac:dyDescent="0.3">
      <c r="A148" s="655"/>
      <c r="B148" s="24" t="s">
        <v>82</v>
      </c>
      <c r="C148" s="11" t="s">
        <v>3</v>
      </c>
      <c r="D148" s="141">
        <f t="shared" si="45"/>
        <v>58</v>
      </c>
      <c r="E148" s="141">
        <f t="shared" si="45"/>
        <v>83</v>
      </c>
      <c r="F148" s="141">
        <f t="shared" si="45"/>
        <v>5</v>
      </c>
      <c r="G148" s="141">
        <f t="shared" si="45"/>
        <v>367</v>
      </c>
      <c r="H148" s="141">
        <f t="shared" si="45"/>
        <v>135</v>
      </c>
      <c r="I148" s="141">
        <f t="shared" si="45"/>
        <v>158</v>
      </c>
      <c r="J148" s="110">
        <f t="shared" si="44"/>
        <v>806</v>
      </c>
    </row>
    <row r="149" spans="1:10" ht="15.6" x14ac:dyDescent="0.3">
      <c r="A149" s="606"/>
      <c r="B149" s="24" t="s">
        <v>81</v>
      </c>
      <c r="C149" s="11" t="s">
        <v>3</v>
      </c>
      <c r="D149" s="140">
        <f t="shared" ref="D149:I149" si="46">D145+D146-D147-D148</f>
        <v>11</v>
      </c>
      <c r="E149" s="140">
        <f t="shared" si="46"/>
        <v>274</v>
      </c>
      <c r="F149" s="140">
        <f t="shared" si="46"/>
        <v>7</v>
      </c>
      <c r="G149" s="140">
        <f t="shared" si="46"/>
        <v>200</v>
      </c>
      <c r="H149" s="140">
        <f t="shared" si="46"/>
        <v>17</v>
      </c>
      <c r="I149" s="140">
        <f t="shared" si="46"/>
        <v>-25</v>
      </c>
      <c r="J149" s="110">
        <f t="shared" si="44"/>
        <v>484</v>
      </c>
    </row>
    <row r="150" spans="1:10" x14ac:dyDescent="0.3">
      <c r="A150" s="595" t="s">
        <v>80</v>
      </c>
      <c r="B150" s="596"/>
      <c r="C150" s="596"/>
      <c r="D150" s="596"/>
      <c r="E150" s="596"/>
      <c r="F150" s="596"/>
      <c r="G150" s="596"/>
      <c r="H150" s="596"/>
      <c r="I150" s="596"/>
      <c r="J150" s="597"/>
    </row>
    <row r="151" spans="1:10" ht="15.6" customHeight="1" x14ac:dyDescent="0.3">
      <c r="A151" s="682" t="s">
        <v>79</v>
      </c>
      <c r="B151" s="683"/>
      <c r="C151" s="683"/>
      <c r="D151" s="683"/>
      <c r="E151" s="683"/>
      <c r="F151" s="683"/>
      <c r="G151" s="683"/>
      <c r="H151" s="683"/>
      <c r="I151" s="683"/>
      <c r="J151" s="684"/>
    </row>
    <row r="152" spans="1:10" ht="15.6" x14ac:dyDescent="0.3">
      <c r="A152" s="652" t="s">
        <v>78</v>
      </c>
      <c r="B152" s="92" t="s">
        <v>63</v>
      </c>
      <c r="C152" s="11"/>
      <c r="D152" s="15"/>
      <c r="E152" s="15"/>
      <c r="F152" s="15"/>
      <c r="G152" s="15"/>
      <c r="H152" s="15"/>
      <c r="I152" s="15"/>
      <c r="J152" s="9"/>
    </row>
    <row r="153" spans="1:10" ht="15.6" x14ac:dyDescent="0.3">
      <c r="A153" s="653"/>
      <c r="B153" s="19" t="s">
        <v>73</v>
      </c>
      <c r="C153" s="11" t="s">
        <v>57</v>
      </c>
      <c r="D153" s="26">
        <f>Bangula!P153</f>
        <v>174</v>
      </c>
      <c r="E153" s="26">
        <f>Chikwawa!P153</f>
        <v>766</v>
      </c>
      <c r="F153" s="26">
        <f>'Miseu Folo'!P153</f>
        <v>66</v>
      </c>
      <c r="G153" s="26">
        <f>Nchalo!P153</f>
        <v>380</v>
      </c>
      <c r="H153" s="26">
        <f>Nsanje!P153</f>
        <v>942</v>
      </c>
      <c r="I153" s="26">
        <f>Ngabu!P153</f>
        <v>205</v>
      </c>
      <c r="J153" s="18">
        <f t="shared" ref="J153:J165" si="47">SUM(D153:I153)</f>
        <v>2533</v>
      </c>
    </row>
    <row r="154" spans="1:10" ht="15.6" x14ac:dyDescent="0.3">
      <c r="A154" s="653"/>
      <c r="B154" s="19" t="s">
        <v>72</v>
      </c>
      <c r="C154" s="11" t="s">
        <v>57</v>
      </c>
      <c r="D154" s="26">
        <f>Bangula!P154</f>
        <v>102</v>
      </c>
      <c r="E154" s="26">
        <f>Chikwawa!P154</f>
        <v>254</v>
      </c>
      <c r="F154" s="26">
        <f>'Miseu Folo'!P154</f>
        <v>36</v>
      </c>
      <c r="G154" s="26">
        <f>Nchalo!P154</f>
        <v>360</v>
      </c>
      <c r="H154" s="26">
        <f>Nsanje!P154</f>
        <v>360</v>
      </c>
      <c r="I154" s="26">
        <f>Ngabu!P154</f>
        <v>82</v>
      </c>
      <c r="J154" s="18">
        <f t="shared" si="47"/>
        <v>1194</v>
      </c>
    </row>
    <row r="155" spans="1:10" ht="15.6" x14ac:dyDescent="0.3">
      <c r="A155" s="653"/>
      <c r="B155" s="19" t="s">
        <v>53</v>
      </c>
      <c r="C155" s="11" t="s">
        <v>57</v>
      </c>
      <c r="D155" s="26">
        <f>Bangula!P155</f>
        <v>8</v>
      </c>
      <c r="E155" s="26">
        <f>Chikwawa!P155</f>
        <v>38</v>
      </c>
      <c r="F155" s="26">
        <f>'Miseu Folo'!P155</f>
        <v>32</v>
      </c>
      <c r="G155" s="26">
        <f>Nchalo!P155</f>
        <v>144</v>
      </c>
      <c r="H155" s="26">
        <f>Nsanje!P155</f>
        <v>257</v>
      </c>
      <c r="I155" s="26">
        <f>Ngabu!P155</f>
        <v>48</v>
      </c>
      <c r="J155" s="18">
        <f t="shared" si="47"/>
        <v>527</v>
      </c>
    </row>
    <row r="156" spans="1:10" ht="15.6" x14ac:dyDescent="0.3">
      <c r="A156" s="653"/>
      <c r="B156" s="19" t="s">
        <v>71</v>
      </c>
      <c r="C156" s="11" t="s">
        <v>57</v>
      </c>
      <c r="D156" s="26">
        <f>Bangula!P156</f>
        <v>18</v>
      </c>
      <c r="E156" s="26">
        <f>Chikwawa!P156</f>
        <v>22</v>
      </c>
      <c r="F156" s="26">
        <f>'Miseu Folo'!P156</f>
        <v>14</v>
      </c>
      <c r="G156" s="26">
        <f>Nchalo!P156</f>
        <v>121</v>
      </c>
      <c r="H156" s="26">
        <f>Nsanje!P156</f>
        <v>113</v>
      </c>
      <c r="I156" s="26">
        <f>Ngabu!P156</f>
        <v>21</v>
      </c>
      <c r="J156" s="18">
        <f t="shared" si="47"/>
        <v>309</v>
      </c>
    </row>
    <row r="157" spans="1:10" ht="15.6" x14ac:dyDescent="0.3">
      <c r="A157" s="653"/>
      <c r="B157" s="19" t="s">
        <v>52</v>
      </c>
      <c r="C157" s="11" t="s">
        <v>57</v>
      </c>
      <c r="D157" s="26">
        <f>Bangula!P157</f>
        <v>3</v>
      </c>
      <c r="E157" s="26">
        <f>Chikwawa!P157</f>
        <v>26</v>
      </c>
      <c r="F157" s="26">
        <f>'Miseu Folo'!P157</f>
        <v>25</v>
      </c>
      <c r="G157" s="26">
        <f>Nchalo!P157</f>
        <v>71</v>
      </c>
      <c r="H157" s="26">
        <f>Nsanje!P157</f>
        <v>94</v>
      </c>
      <c r="I157" s="26">
        <f>Ngabu!P157</f>
        <v>22</v>
      </c>
      <c r="J157" s="18">
        <f t="shared" si="47"/>
        <v>241</v>
      </c>
    </row>
    <row r="158" spans="1:10" ht="15.6" x14ac:dyDescent="0.3">
      <c r="A158" s="653"/>
      <c r="B158" s="19" t="s">
        <v>51</v>
      </c>
      <c r="C158" s="11" t="s">
        <v>57</v>
      </c>
      <c r="D158" s="26">
        <f>Bangula!P158</f>
        <v>22</v>
      </c>
      <c r="E158" s="26">
        <f>Chikwawa!P158</f>
        <v>23</v>
      </c>
      <c r="F158" s="26">
        <f>'Miseu Folo'!P158</f>
        <v>18</v>
      </c>
      <c r="G158" s="26">
        <f>Nchalo!P158</f>
        <v>88</v>
      </c>
      <c r="H158" s="26">
        <f>Nsanje!P158</f>
        <v>54</v>
      </c>
      <c r="I158" s="26">
        <f>Ngabu!P158</f>
        <v>34</v>
      </c>
      <c r="J158" s="18">
        <f t="shared" si="47"/>
        <v>239</v>
      </c>
    </row>
    <row r="159" spans="1:10" ht="15.6" x14ac:dyDescent="0.3">
      <c r="A159" s="653"/>
      <c r="B159" s="19" t="s">
        <v>62</v>
      </c>
      <c r="C159" s="11" t="s">
        <v>57</v>
      </c>
      <c r="D159" s="26">
        <f>Bangula!P159</f>
        <v>0</v>
      </c>
      <c r="E159" s="26">
        <f>Chikwawa!P159</f>
        <v>1</v>
      </c>
      <c r="F159" s="26">
        <f>'Miseu Folo'!P159</f>
        <v>1</v>
      </c>
      <c r="G159" s="26">
        <f>Nchalo!P159</f>
        <v>39</v>
      </c>
      <c r="H159" s="26">
        <f>Nsanje!P159</f>
        <v>37</v>
      </c>
      <c r="I159" s="26">
        <f>Ngabu!P159</f>
        <v>0</v>
      </c>
      <c r="J159" s="18">
        <f t="shared" si="47"/>
        <v>78</v>
      </c>
    </row>
    <row r="160" spans="1:10" ht="15.6" x14ac:dyDescent="0.3">
      <c r="A160" s="653"/>
      <c r="B160" s="19" t="s">
        <v>50</v>
      </c>
      <c r="C160" s="11" t="s">
        <v>57</v>
      </c>
      <c r="D160" s="26">
        <f>Bangula!P160</f>
        <v>0</v>
      </c>
      <c r="E160" s="26">
        <f>Chikwawa!P160</f>
        <v>2</v>
      </c>
      <c r="F160" s="26">
        <f>'Miseu Folo'!P160</f>
        <v>7</v>
      </c>
      <c r="G160" s="26">
        <f>Nchalo!P160</f>
        <v>8</v>
      </c>
      <c r="H160" s="26">
        <f>Nsanje!P160</f>
        <v>23</v>
      </c>
      <c r="I160" s="26">
        <f>Ngabu!P160</f>
        <v>6</v>
      </c>
      <c r="J160" s="18">
        <f t="shared" si="47"/>
        <v>46</v>
      </c>
    </row>
    <row r="161" spans="1:10" ht="15.6" x14ac:dyDescent="0.3">
      <c r="A161" s="653"/>
      <c r="B161" s="19" t="s">
        <v>49</v>
      </c>
      <c r="C161" s="11" t="s">
        <v>57</v>
      </c>
      <c r="D161" s="26">
        <f>Bangula!P161</f>
        <v>10</v>
      </c>
      <c r="E161" s="26">
        <f>Chikwawa!P161</f>
        <v>5</v>
      </c>
      <c r="F161" s="26">
        <f>'Miseu Folo'!P161</f>
        <v>15</v>
      </c>
      <c r="G161" s="26">
        <f>Nchalo!P161</f>
        <v>35</v>
      </c>
      <c r="H161" s="26">
        <f>Nsanje!P161</f>
        <v>32</v>
      </c>
      <c r="I161" s="26">
        <f>Ngabu!P161</f>
        <v>3</v>
      </c>
      <c r="J161" s="18">
        <f t="shared" si="47"/>
        <v>100</v>
      </c>
    </row>
    <row r="162" spans="1:10" ht="15.6" x14ac:dyDescent="0.3">
      <c r="A162" s="653"/>
      <c r="B162" s="19" t="s">
        <v>77</v>
      </c>
      <c r="C162" s="11" t="s">
        <v>57</v>
      </c>
      <c r="D162" s="26">
        <f>Bangula!P162</f>
        <v>0</v>
      </c>
      <c r="E162" s="26">
        <f>Chikwawa!P162</f>
        <v>2</v>
      </c>
      <c r="F162" s="26">
        <f>'Miseu Folo'!P162</f>
        <v>0</v>
      </c>
      <c r="G162" s="26">
        <f>Nchalo!P162</f>
        <v>32</v>
      </c>
      <c r="H162" s="26">
        <f>Nsanje!P162</f>
        <v>9</v>
      </c>
      <c r="I162" s="26">
        <f>Ngabu!P162</f>
        <v>1</v>
      </c>
      <c r="J162" s="18">
        <f t="shared" si="47"/>
        <v>44</v>
      </c>
    </row>
    <row r="163" spans="1:10" ht="15.6" x14ac:dyDescent="0.3">
      <c r="A163" s="653"/>
      <c r="B163" s="19" t="s">
        <v>69</v>
      </c>
      <c r="C163" s="11" t="s">
        <v>57</v>
      </c>
      <c r="D163" s="26">
        <f>Bangula!P163</f>
        <v>0</v>
      </c>
      <c r="E163" s="26">
        <f>Chikwawa!P163</f>
        <v>0</v>
      </c>
      <c r="F163" s="26">
        <f>'Miseu Folo'!P163</f>
        <v>0</v>
      </c>
      <c r="G163" s="26">
        <f>Nchalo!P163</f>
        <v>0</v>
      </c>
      <c r="H163" s="26">
        <f>Nsanje!P163</f>
        <v>2</v>
      </c>
      <c r="I163" s="26">
        <f>Ngabu!P163</f>
        <v>4</v>
      </c>
      <c r="J163" s="18">
        <f t="shared" si="47"/>
        <v>6</v>
      </c>
    </row>
    <row r="164" spans="1:10" ht="15.6" x14ac:dyDescent="0.3">
      <c r="A164" s="653"/>
      <c r="B164" s="19" t="s">
        <v>68</v>
      </c>
      <c r="C164" s="11" t="s">
        <v>57</v>
      </c>
      <c r="D164" s="26">
        <f>Bangula!P164</f>
        <v>0</v>
      </c>
      <c r="E164" s="26">
        <f>Chikwawa!P164</f>
        <v>0</v>
      </c>
      <c r="F164" s="26">
        <f>'Miseu Folo'!P164</f>
        <v>0</v>
      </c>
      <c r="G164" s="26">
        <f>Nchalo!P164</f>
        <v>0</v>
      </c>
      <c r="H164" s="26">
        <f>Nsanje!P164</f>
        <v>0</v>
      </c>
      <c r="I164" s="26">
        <f>Ngabu!P164</f>
        <v>0</v>
      </c>
      <c r="J164" s="18">
        <f t="shared" si="47"/>
        <v>0</v>
      </c>
    </row>
    <row r="165" spans="1:10" ht="15.6" x14ac:dyDescent="0.3">
      <c r="A165" s="654"/>
      <c r="B165" s="19" t="s">
        <v>76</v>
      </c>
      <c r="C165" s="11" t="s">
        <v>57</v>
      </c>
      <c r="D165" s="26">
        <f>Bangula!P165</f>
        <v>0</v>
      </c>
      <c r="E165" s="26">
        <f>Chikwawa!P165</f>
        <v>0</v>
      </c>
      <c r="F165" s="26">
        <f>'Miseu Folo'!P165</f>
        <v>0</v>
      </c>
      <c r="G165" s="26">
        <f>Nchalo!P165</f>
        <v>0</v>
      </c>
      <c r="H165" s="26">
        <f>Nsanje!P165</f>
        <v>0</v>
      </c>
      <c r="I165" s="26">
        <f>Ngabu!P165</f>
        <v>0</v>
      </c>
      <c r="J165" s="18">
        <f t="shared" si="47"/>
        <v>0</v>
      </c>
    </row>
    <row r="166" spans="1:10" ht="15.6" x14ac:dyDescent="0.3">
      <c r="A166" s="652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18"/>
    </row>
    <row r="167" spans="1:10" ht="15.6" x14ac:dyDescent="0.3">
      <c r="A167" s="653"/>
      <c r="B167" s="19" t="s">
        <v>74</v>
      </c>
      <c r="C167" s="11" t="s">
        <v>57</v>
      </c>
      <c r="D167" s="26">
        <f>Bangula!P167</f>
        <v>30</v>
      </c>
      <c r="E167" s="26">
        <f>Chikwawa!P167</f>
        <v>12</v>
      </c>
      <c r="F167" s="26">
        <f>'Miseu Folo'!P167</f>
        <v>24</v>
      </c>
      <c r="G167" s="26">
        <f>Nchalo!P167</f>
        <v>80</v>
      </c>
      <c r="H167" s="26">
        <f>Nsanje!P167</f>
        <v>96</v>
      </c>
      <c r="I167" s="26">
        <f>Ngabu!P167</f>
        <v>38</v>
      </c>
      <c r="J167" s="18">
        <f t="shared" ref="J167:J175" si="48">SUM(D167:I167)</f>
        <v>280</v>
      </c>
    </row>
    <row r="168" spans="1:10" ht="15.6" x14ac:dyDescent="0.3">
      <c r="A168" s="653"/>
      <c r="B168" s="19" t="s">
        <v>73</v>
      </c>
      <c r="C168" s="11" t="s">
        <v>57</v>
      </c>
      <c r="D168" s="26">
        <f>Bangula!P168</f>
        <v>2</v>
      </c>
      <c r="E168" s="26">
        <f>Chikwawa!P168</f>
        <v>2</v>
      </c>
      <c r="F168" s="26">
        <f>'Miseu Folo'!P168</f>
        <v>14</v>
      </c>
      <c r="G168" s="26">
        <f>Nchalo!P168</f>
        <v>50</v>
      </c>
      <c r="H168" s="26">
        <f>Nsanje!P168</f>
        <v>57</v>
      </c>
      <c r="I168" s="26">
        <f>Ngabu!P168</f>
        <v>8</v>
      </c>
      <c r="J168" s="18">
        <f t="shared" si="48"/>
        <v>133</v>
      </c>
    </row>
    <row r="169" spans="1:10" ht="15.6" x14ac:dyDescent="0.3">
      <c r="A169" s="653"/>
      <c r="B169" s="19" t="s">
        <v>72</v>
      </c>
      <c r="C169" s="11" t="s">
        <v>57</v>
      </c>
      <c r="D169" s="26">
        <f>Bangula!P169</f>
        <v>0</v>
      </c>
      <c r="E169" s="26">
        <f>Chikwawa!P169</f>
        <v>0</v>
      </c>
      <c r="F169" s="26">
        <f>'Miseu Folo'!P169</f>
        <v>0</v>
      </c>
      <c r="G169" s="26">
        <f>Nchalo!P169</f>
        <v>14</v>
      </c>
      <c r="H169" s="26">
        <f>Nsanje!P169</f>
        <v>0</v>
      </c>
      <c r="I169" s="26">
        <f>Ngabu!P169</f>
        <v>0</v>
      </c>
      <c r="J169" s="18">
        <f t="shared" si="48"/>
        <v>14</v>
      </c>
    </row>
    <row r="170" spans="1:10" ht="15.6" x14ac:dyDescent="0.3">
      <c r="A170" s="653"/>
      <c r="B170" s="19" t="s">
        <v>71</v>
      </c>
      <c r="C170" s="11" t="s">
        <v>57</v>
      </c>
      <c r="D170" s="26">
        <f>Bangula!P170</f>
        <v>0</v>
      </c>
      <c r="E170" s="26">
        <f>Chikwawa!P170</f>
        <v>0</v>
      </c>
      <c r="F170" s="26">
        <f>'Miseu Folo'!P170</f>
        <v>0</v>
      </c>
      <c r="G170" s="26">
        <f>Nchalo!P170</f>
        <v>11</v>
      </c>
      <c r="H170" s="26">
        <f>Nsanje!P170</f>
        <v>0</v>
      </c>
      <c r="I170" s="26">
        <f>Ngabu!P170</f>
        <v>0</v>
      </c>
      <c r="J170" s="18">
        <f t="shared" si="48"/>
        <v>11</v>
      </c>
    </row>
    <row r="171" spans="1:10" ht="15.6" x14ac:dyDescent="0.3">
      <c r="A171" s="653"/>
      <c r="B171" s="19" t="s">
        <v>52</v>
      </c>
      <c r="C171" s="11" t="s">
        <v>57</v>
      </c>
      <c r="D171" s="26">
        <f>Bangula!P171</f>
        <v>0</v>
      </c>
      <c r="E171" s="26">
        <f>Chikwawa!P171</f>
        <v>0</v>
      </c>
      <c r="F171" s="26">
        <f>'Miseu Folo'!P171</f>
        <v>0</v>
      </c>
      <c r="G171" s="26">
        <f>Nchalo!P171</f>
        <v>11</v>
      </c>
      <c r="H171" s="26">
        <f>Nsanje!P171</f>
        <v>0</v>
      </c>
      <c r="I171" s="26">
        <f>Ngabu!P171</f>
        <v>0</v>
      </c>
      <c r="J171" s="18">
        <f t="shared" si="48"/>
        <v>11</v>
      </c>
    </row>
    <row r="172" spans="1:10" ht="15.6" x14ac:dyDescent="0.3">
      <c r="A172" s="653"/>
      <c r="B172" s="19" t="s">
        <v>62</v>
      </c>
      <c r="C172" s="11" t="s">
        <v>57</v>
      </c>
      <c r="D172" s="26">
        <f>Bangula!P172</f>
        <v>0</v>
      </c>
      <c r="E172" s="26">
        <f>Chikwawa!P172</f>
        <v>0</v>
      </c>
      <c r="F172" s="26">
        <f>'Miseu Folo'!P172</f>
        <v>0</v>
      </c>
      <c r="G172" s="26">
        <f>Nchalo!P172</f>
        <v>16</v>
      </c>
      <c r="H172" s="26">
        <f>Nsanje!P172</f>
        <v>0</v>
      </c>
      <c r="I172" s="26">
        <f>Ngabu!P172</f>
        <v>0</v>
      </c>
      <c r="J172" s="18">
        <f t="shared" si="48"/>
        <v>16</v>
      </c>
    </row>
    <row r="173" spans="1:10" ht="15.6" x14ac:dyDescent="0.3">
      <c r="A173" s="653"/>
      <c r="B173" s="19" t="s">
        <v>61</v>
      </c>
      <c r="C173" s="11" t="s">
        <v>57</v>
      </c>
      <c r="D173" s="26">
        <f>Bangula!P173</f>
        <v>0</v>
      </c>
      <c r="E173" s="26">
        <f>Chikwawa!P173</f>
        <v>0</v>
      </c>
      <c r="F173" s="26">
        <f>'Miseu Folo'!P173</f>
        <v>0</v>
      </c>
      <c r="G173" s="26">
        <f>Nchalo!P173</f>
        <v>3</v>
      </c>
      <c r="H173" s="26">
        <f>Nsanje!P173</f>
        <v>0</v>
      </c>
      <c r="I173" s="26">
        <f>Ngabu!P173</f>
        <v>0</v>
      </c>
      <c r="J173" s="18">
        <f t="shared" si="48"/>
        <v>3</v>
      </c>
    </row>
    <row r="174" spans="1:10" ht="15.6" x14ac:dyDescent="0.3">
      <c r="A174" s="653"/>
      <c r="B174" s="19" t="s">
        <v>60</v>
      </c>
      <c r="C174" s="11" t="s">
        <v>57</v>
      </c>
      <c r="D174" s="26">
        <f>Bangula!P174</f>
        <v>0</v>
      </c>
      <c r="E174" s="26">
        <f>Chikwawa!P174</f>
        <v>0</v>
      </c>
      <c r="F174" s="26">
        <f>'Miseu Folo'!P174</f>
        <v>0</v>
      </c>
      <c r="G174" s="26">
        <f>Nchalo!P174</f>
        <v>0</v>
      </c>
      <c r="H174" s="26">
        <f>Nsanje!P174</f>
        <v>0</v>
      </c>
      <c r="I174" s="26">
        <f>Ngabu!P174</f>
        <v>0</v>
      </c>
      <c r="J174" s="18">
        <f t="shared" si="48"/>
        <v>0</v>
      </c>
    </row>
    <row r="175" spans="1:10" ht="15.6" x14ac:dyDescent="0.3">
      <c r="A175" s="654"/>
      <c r="B175" s="19" t="s">
        <v>69</v>
      </c>
      <c r="C175" s="11" t="s">
        <v>57</v>
      </c>
      <c r="D175" s="26">
        <f>Bangula!P175</f>
        <v>0</v>
      </c>
      <c r="E175" s="26">
        <f>Chikwawa!P175</f>
        <v>0</v>
      </c>
      <c r="F175" s="26">
        <f>'Miseu Folo'!P175</f>
        <v>0</v>
      </c>
      <c r="G175" s="26">
        <f>Nchalo!P175</f>
        <v>0</v>
      </c>
      <c r="H175" s="26">
        <f>Nsanje!P175</f>
        <v>0</v>
      </c>
      <c r="I175" s="26">
        <f>Ngabu!P175</f>
        <v>0</v>
      </c>
      <c r="J175" s="18">
        <f t="shared" si="48"/>
        <v>0</v>
      </c>
    </row>
    <row r="176" spans="1:10" ht="15.6" x14ac:dyDescent="0.3">
      <c r="A176" s="652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18"/>
    </row>
    <row r="177" spans="1:10" ht="15.6" x14ac:dyDescent="0.3">
      <c r="A177" s="653"/>
      <c r="B177" s="19" t="s">
        <v>60</v>
      </c>
      <c r="C177" s="11" t="s">
        <v>57</v>
      </c>
      <c r="D177" s="26">
        <f>Bangula!P177</f>
        <v>0</v>
      </c>
      <c r="E177" s="26">
        <f>Chikwawa!P177</f>
        <v>0</v>
      </c>
      <c r="F177" s="26">
        <f>'Miseu Folo'!P177</f>
        <v>0</v>
      </c>
      <c r="G177" s="26">
        <f>Nchalo!P177</f>
        <v>0</v>
      </c>
      <c r="H177" s="26">
        <f>Nsanje!P177</f>
        <v>0</v>
      </c>
      <c r="I177" s="26">
        <f>Ngabu!P177</f>
        <v>0</v>
      </c>
      <c r="J177" s="18">
        <f t="shared" ref="J177:J182" si="49">SUM(D177:I177)</f>
        <v>0</v>
      </c>
    </row>
    <row r="178" spans="1:10" ht="15.6" x14ac:dyDescent="0.3">
      <c r="A178" s="653"/>
      <c r="B178" s="19" t="s">
        <v>69</v>
      </c>
      <c r="C178" s="11" t="s">
        <v>57</v>
      </c>
      <c r="D178" s="26">
        <f>Bangula!P178</f>
        <v>0</v>
      </c>
      <c r="E178" s="26">
        <f>Chikwawa!P178</f>
        <v>0</v>
      </c>
      <c r="F178" s="26">
        <f>'Miseu Folo'!P178</f>
        <v>0</v>
      </c>
      <c r="G178" s="26">
        <f>Nchalo!P178</f>
        <v>0</v>
      </c>
      <c r="H178" s="26">
        <f>Nsanje!P178</f>
        <v>0</v>
      </c>
      <c r="I178" s="26">
        <f>Ngabu!P178</f>
        <v>0</v>
      </c>
      <c r="J178" s="18">
        <f t="shared" si="49"/>
        <v>0</v>
      </c>
    </row>
    <row r="179" spans="1:10" ht="15.6" x14ac:dyDescent="0.3">
      <c r="A179" s="653"/>
      <c r="B179" s="19" t="s">
        <v>68</v>
      </c>
      <c r="C179" s="11" t="s">
        <v>57</v>
      </c>
      <c r="D179" s="26">
        <f>Bangula!P179</f>
        <v>0</v>
      </c>
      <c r="E179" s="26">
        <f>Chikwawa!P179</f>
        <v>0</v>
      </c>
      <c r="F179" s="26">
        <f>'Miseu Folo'!P179</f>
        <v>0</v>
      </c>
      <c r="G179" s="26">
        <f>Nchalo!P179</f>
        <v>0</v>
      </c>
      <c r="H179" s="26">
        <f>Nsanje!P179</f>
        <v>0</v>
      </c>
      <c r="I179" s="26">
        <f>Ngabu!P179</f>
        <v>0</v>
      </c>
      <c r="J179" s="18">
        <f t="shared" si="49"/>
        <v>0</v>
      </c>
    </row>
    <row r="180" spans="1:10" ht="15.6" x14ac:dyDescent="0.3">
      <c r="A180" s="653"/>
      <c r="B180" s="19" t="s">
        <v>67</v>
      </c>
      <c r="C180" s="11" t="s">
        <v>57</v>
      </c>
      <c r="D180" s="26">
        <f>Bangula!P180</f>
        <v>0</v>
      </c>
      <c r="E180" s="26">
        <f>Chikwawa!P180</f>
        <v>0</v>
      </c>
      <c r="F180" s="26">
        <f>'Miseu Folo'!P180</f>
        <v>0</v>
      </c>
      <c r="G180" s="26">
        <f>Nchalo!P180</f>
        <v>0</v>
      </c>
      <c r="H180" s="26">
        <f>Nsanje!P180</f>
        <v>0</v>
      </c>
      <c r="I180" s="26">
        <f>Ngabu!P180</f>
        <v>0</v>
      </c>
      <c r="J180" s="18">
        <f t="shared" si="49"/>
        <v>0</v>
      </c>
    </row>
    <row r="181" spans="1:10" ht="15.6" x14ac:dyDescent="0.3">
      <c r="A181" s="653"/>
      <c r="B181" s="19" t="s">
        <v>66</v>
      </c>
      <c r="C181" s="11" t="s">
        <v>57</v>
      </c>
      <c r="D181" s="26">
        <f>Bangula!P181</f>
        <v>0</v>
      </c>
      <c r="E181" s="26">
        <f>Chikwawa!P181</f>
        <v>0</v>
      </c>
      <c r="F181" s="26">
        <f>'Miseu Folo'!P181</f>
        <v>0</v>
      </c>
      <c r="G181" s="26">
        <f>Nchalo!P181</f>
        <v>0</v>
      </c>
      <c r="H181" s="26">
        <f>Nsanje!P181</f>
        <v>0</v>
      </c>
      <c r="I181" s="26">
        <f>Ngabu!P181</f>
        <v>0</v>
      </c>
      <c r="J181" s="18">
        <f t="shared" si="49"/>
        <v>0</v>
      </c>
    </row>
    <row r="182" spans="1:10" ht="15.6" x14ac:dyDescent="0.3">
      <c r="A182" s="654"/>
      <c r="B182" s="19" t="s">
        <v>65</v>
      </c>
      <c r="C182" s="11" t="s">
        <v>57</v>
      </c>
      <c r="D182" s="26">
        <f>Bangula!P182</f>
        <v>0</v>
      </c>
      <c r="E182" s="26">
        <f>Chikwawa!P182</f>
        <v>0</v>
      </c>
      <c r="F182" s="26">
        <f>'Miseu Folo'!P182</f>
        <v>0</v>
      </c>
      <c r="G182" s="26">
        <f>Nchalo!P182</f>
        <v>0</v>
      </c>
      <c r="H182" s="26">
        <f>Nsanje!P182</f>
        <v>0</v>
      </c>
      <c r="I182" s="26">
        <f>Ngabu!P182</f>
        <v>0</v>
      </c>
      <c r="J182" s="18">
        <f t="shared" si="49"/>
        <v>0</v>
      </c>
    </row>
    <row r="183" spans="1:10" ht="15.6" x14ac:dyDescent="0.3">
      <c r="A183" s="652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18"/>
    </row>
    <row r="184" spans="1:10" ht="15.6" x14ac:dyDescent="0.3">
      <c r="A184" s="653"/>
      <c r="B184" s="19" t="s">
        <v>73</v>
      </c>
      <c r="C184" s="11" t="s">
        <v>57</v>
      </c>
      <c r="D184" s="26">
        <f>Bangula!P184</f>
        <v>0</v>
      </c>
      <c r="E184" s="26">
        <f>Chikwawa!P184</f>
        <v>0</v>
      </c>
      <c r="F184" s="26">
        <f>'Miseu Folo'!P184</f>
        <v>0</v>
      </c>
      <c r="G184" s="26">
        <f>Nchalo!P184</f>
        <v>0</v>
      </c>
      <c r="H184" s="26">
        <f>Nsanje!P184</f>
        <v>0</v>
      </c>
      <c r="I184" s="26">
        <f>Ngabu!P184</f>
        <v>0</v>
      </c>
      <c r="J184" s="18">
        <f>SUM(D184:I184)</f>
        <v>0</v>
      </c>
    </row>
    <row r="185" spans="1:10" ht="15.6" x14ac:dyDescent="0.3">
      <c r="A185" s="653"/>
      <c r="B185" s="19" t="s">
        <v>72</v>
      </c>
      <c r="C185" s="11" t="s">
        <v>57</v>
      </c>
      <c r="D185" s="26">
        <f>Bangula!P185</f>
        <v>0</v>
      </c>
      <c r="E185" s="26">
        <f>Chikwawa!P185</f>
        <v>0</v>
      </c>
      <c r="F185" s="26">
        <f>'Miseu Folo'!P185</f>
        <v>0</v>
      </c>
      <c r="G185" s="26">
        <f>Nchalo!P185</f>
        <v>0</v>
      </c>
      <c r="H185" s="26">
        <f>Nsanje!P185</f>
        <v>0</v>
      </c>
      <c r="I185" s="26">
        <f>Ngabu!P185</f>
        <v>0</v>
      </c>
      <c r="J185" s="18">
        <f>SUM(D185:I185)</f>
        <v>0</v>
      </c>
    </row>
    <row r="186" spans="1:10" ht="15.6" x14ac:dyDescent="0.3">
      <c r="A186" s="653"/>
      <c r="B186" s="19" t="s">
        <v>53</v>
      </c>
      <c r="C186" s="11" t="s">
        <v>57</v>
      </c>
      <c r="D186" s="26">
        <f>Bangula!P186</f>
        <v>0</v>
      </c>
      <c r="E186" s="26">
        <f>Chikwawa!P186</f>
        <v>0</v>
      </c>
      <c r="F186" s="26">
        <f>'Miseu Folo'!P186</f>
        <v>0</v>
      </c>
      <c r="G186" s="26">
        <f>Nchalo!P186</f>
        <v>0</v>
      </c>
      <c r="H186" s="26">
        <f>Nsanje!P186</f>
        <v>0</v>
      </c>
      <c r="I186" s="26">
        <f>Ngabu!P186</f>
        <v>0</v>
      </c>
      <c r="J186" s="18">
        <f>SUM(D186:I186)</f>
        <v>0</v>
      </c>
    </row>
    <row r="187" spans="1:10" ht="15.6" x14ac:dyDescent="0.3">
      <c r="A187" s="654"/>
      <c r="B187" s="19" t="s">
        <v>52</v>
      </c>
      <c r="C187" s="11" t="s">
        <v>57</v>
      </c>
      <c r="D187" s="26">
        <f>Bangula!P187</f>
        <v>0</v>
      </c>
      <c r="E187" s="26">
        <f>Chikwawa!P187</f>
        <v>0</v>
      </c>
      <c r="F187" s="26">
        <f>'Miseu Folo'!P187</f>
        <v>0</v>
      </c>
      <c r="G187" s="26">
        <f>Nchalo!P187</f>
        <v>0</v>
      </c>
      <c r="H187" s="26">
        <f>Nsanje!P187</f>
        <v>0</v>
      </c>
      <c r="I187" s="26">
        <f>Ngabu!P187</f>
        <v>0</v>
      </c>
      <c r="J187" s="18">
        <f>SUM(D187:I187)</f>
        <v>0</v>
      </c>
    </row>
    <row r="188" spans="1:10" ht="15.6" x14ac:dyDescent="0.3">
      <c r="A188" s="652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18"/>
    </row>
    <row r="189" spans="1:10" ht="15.6" x14ac:dyDescent="0.3">
      <c r="A189" s="653"/>
      <c r="B189" s="20" t="s">
        <v>52</v>
      </c>
      <c r="C189" s="11" t="s">
        <v>57</v>
      </c>
      <c r="D189" s="26">
        <f>Bangula!P189</f>
        <v>0</v>
      </c>
      <c r="E189" s="26">
        <f>Chikwawa!P189</f>
        <v>0</v>
      </c>
      <c r="F189" s="26">
        <f>'Miseu Folo'!P189</f>
        <v>0</v>
      </c>
      <c r="G189" s="26">
        <f>Nchalo!P189</f>
        <v>0</v>
      </c>
      <c r="H189" s="26">
        <f>Nsanje!P189</f>
        <v>0</v>
      </c>
      <c r="I189" s="26">
        <f>Ngabu!P189</f>
        <v>0</v>
      </c>
      <c r="J189" s="18">
        <f>SUM(D189:I189)</f>
        <v>0</v>
      </c>
    </row>
    <row r="190" spans="1:10" ht="15.6" x14ac:dyDescent="0.3">
      <c r="A190" s="653"/>
      <c r="B190" s="19" t="s">
        <v>62</v>
      </c>
      <c r="C190" s="11" t="s">
        <v>57</v>
      </c>
      <c r="D190" s="26">
        <f>Bangula!P190</f>
        <v>0</v>
      </c>
      <c r="E190" s="26">
        <f>Chikwawa!P190</f>
        <v>0</v>
      </c>
      <c r="F190" s="26">
        <f>'Miseu Folo'!P190</f>
        <v>0</v>
      </c>
      <c r="G190" s="26">
        <f>Nchalo!P190</f>
        <v>24</v>
      </c>
      <c r="H190" s="26">
        <f>Nsanje!P190</f>
        <v>0</v>
      </c>
      <c r="I190" s="26">
        <f>Ngabu!P190</f>
        <v>0</v>
      </c>
      <c r="J190" s="18">
        <f>SUM(D190:I190)</f>
        <v>24</v>
      </c>
    </row>
    <row r="191" spans="1:10" ht="15.6" x14ac:dyDescent="0.3">
      <c r="A191" s="653"/>
      <c r="B191" s="19" t="s">
        <v>61</v>
      </c>
      <c r="C191" s="11" t="s">
        <v>57</v>
      </c>
      <c r="D191" s="26">
        <f>Bangula!P191</f>
        <v>0</v>
      </c>
      <c r="E191" s="26">
        <f>Chikwawa!P191</f>
        <v>0</v>
      </c>
      <c r="F191" s="26">
        <f>'Miseu Folo'!P191</f>
        <v>0</v>
      </c>
      <c r="G191" s="26">
        <f>Nchalo!P191</f>
        <v>2</v>
      </c>
      <c r="H191" s="26">
        <f>Nsanje!P191</f>
        <v>0</v>
      </c>
      <c r="I191" s="26">
        <f>Ngabu!P191</f>
        <v>0</v>
      </c>
      <c r="J191" s="18">
        <f>SUM(D191:I191)</f>
        <v>2</v>
      </c>
    </row>
    <row r="192" spans="1:10" ht="15.6" x14ac:dyDescent="0.3">
      <c r="A192" s="654"/>
      <c r="B192" s="19" t="s">
        <v>60</v>
      </c>
      <c r="C192" s="11" t="s">
        <v>57</v>
      </c>
      <c r="D192" s="26">
        <f>Bangula!P192</f>
        <v>0</v>
      </c>
      <c r="E192" s="26">
        <f>Chikwawa!P192</f>
        <v>0</v>
      </c>
      <c r="F192" s="26">
        <f>'Miseu Folo'!P192</f>
        <v>0</v>
      </c>
      <c r="G192" s="26">
        <f>Nchalo!P192</f>
        <v>0</v>
      </c>
      <c r="H192" s="26">
        <f>Nsanje!P192</f>
        <v>0</v>
      </c>
      <c r="I192" s="26">
        <f>Ngabu!P192</f>
        <v>0</v>
      </c>
      <c r="J192" s="18">
        <f>SUM(D192:I192)</f>
        <v>0</v>
      </c>
    </row>
    <row r="193" spans="1:10" ht="15.6" x14ac:dyDescent="0.3">
      <c r="A193" s="680" t="s">
        <v>59</v>
      </c>
      <c r="B193" s="681"/>
      <c r="C193" s="11"/>
      <c r="D193" s="10">
        <f>SUM(D153:D192)</f>
        <v>369</v>
      </c>
      <c r="E193" s="10">
        <f t="shared" ref="E193:I193" si="50">SUM(E153:E192)</f>
        <v>1153</v>
      </c>
      <c r="F193" s="10">
        <f t="shared" si="50"/>
        <v>252</v>
      </c>
      <c r="G193" s="10">
        <f t="shared" si="50"/>
        <v>1489</v>
      </c>
      <c r="H193" s="10">
        <f t="shared" si="50"/>
        <v>2076</v>
      </c>
      <c r="I193" s="10">
        <f t="shared" si="50"/>
        <v>472</v>
      </c>
      <c r="J193" s="103">
        <f t="shared" ref="J193" si="51">SUM(J153:J192)</f>
        <v>5811</v>
      </c>
    </row>
    <row r="194" spans="1:10" ht="15.6" x14ac:dyDescent="0.3">
      <c r="A194" s="658" t="s">
        <v>58</v>
      </c>
      <c r="B194" s="659"/>
      <c r="C194" s="11" t="s">
        <v>57</v>
      </c>
      <c r="D194" s="26">
        <f>Bangula!P194</f>
        <v>70</v>
      </c>
      <c r="E194" s="26">
        <f>Chikwawa!P194</f>
        <v>134</v>
      </c>
      <c r="F194" s="26">
        <f>'Miseu Folo'!P194</f>
        <v>0</v>
      </c>
      <c r="G194" s="26">
        <f>Nchalo!P194</f>
        <v>140</v>
      </c>
      <c r="H194" s="26">
        <f>Nsanje!P194</f>
        <v>38</v>
      </c>
      <c r="I194" s="26">
        <f>Ngabu!P194</f>
        <v>284</v>
      </c>
      <c r="J194" s="9">
        <f>SUM(D194:I194)</f>
        <v>666</v>
      </c>
    </row>
    <row r="195" spans="1:10" ht="15.6" x14ac:dyDescent="0.3">
      <c r="A195" s="660"/>
      <c r="B195" s="661"/>
      <c r="C195" s="16" t="s">
        <v>55</v>
      </c>
      <c r="D195" s="26">
        <f>Bangula!P195</f>
        <v>0</v>
      </c>
      <c r="E195" s="26">
        <f>Chikwawa!P195</f>
        <v>0</v>
      </c>
      <c r="F195" s="26">
        <f>'Miseu Folo'!P195</f>
        <v>0</v>
      </c>
      <c r="G195" s="26">
        <f>Nchalo!P195</f>
        <v>0</v>
      </c>
      <c r="H195" s="26">
        <f>Nsanje!P195</f>
        <v>0</v>
      </c>
      <c r="I195" s="26">
        <f>Ngabu!P195</f>
        <v>0</v>
      </c>
      <c r="J195" s="9">
        <f>SUM(D195:I195)</f>
        <v>0</v>
      </c>
    </row>
    <row r="196" spans="1:10" ht="15.6" x14ac:dyDescent="0.3">
      <c r="A196" s="193" t="s">
        <v>202</v>
      </c>
      <c r="B196" s="194"/>
      <c r="C196" s="16" t="s">
        <v>55</v>
      </c>
      <c r="D196" s="26">
        <f>Bangula!P196</f>
        <v>17.166666666666668</v>
      </c>
      <c r="E196" s="26">
        <f>Chikwawa!P196</f>
        <v>17.75</v>
      </c>
      <c r="F196" s="26">
        <f>'Miseu Folo'!P196</f>
        <v>11.666666666666666</v>
      </c>
      <c r="G196" s="26">
        <f>Nchalo!P196</f>
        <v>11.083333333333334</v>
      </c>
      <c r="H196" s="26">
        <f>Nsanje!P196</f>
        <v>14.666666666666666</v>
      </c>
      <c r="I196" s="26">
        <f>Ngabu!P196</f>
        <v>10</v>
      </c>
      <c r="J196" s="9">
        <f>SUM(D196:I196)</f>
        <v>82.333333333333343</v>
      </c>
    </row>
    <row r="197" spans="1:10" ht="15.6" x14ac:dyDescent="0.3">
      <c r="A197" s="591" t="s">
        <v>56</v>
      </c>
      <c r="B197" s="592"/>
      <c r="C197" s="16" t="s">
        <v>55</v>
      </c>
      <c r="D197" s="26">
        <f>Bangula!P197</f>
        <v>323</v>
      </c>
      <c r="E197" s="26">
        <f>Chikwawa!P197</f>
        <v>89</v>
      </c>
      <c r="F197" s="26">
        <f>'Miseu Folo'!P197</f>
        <v>72</v>
      </c>
      <c r="G197" s="26">
        <f>Nchalo!P197</f>
        <v>43</v>
      </c>
      <c r="H197" s="26">
        <f>Nsanje!P197</f>
        <v>1012</v>
      </c>
      <c r="I197" s="26">
        <f>Ngabu!P197</f>
        <v>68</v>
      </c>
      <c r="J197" s="9">
        <f>SUM(D197:I197)</f>
        <v>1607</v>
      </c>
    </row>
    <row r="198" spans="1:10" x14ac:dyDescent="0.3">
      <c r="A198" s="595" t="s">
        <v>203</v>
      </c>
      <c r="B198" s="596"/>
      <c r="C198" s="596"/>
      <c r="D198" s="596"/>
      <c r="E198" s="596"/>
      <c r="F198" s="596"/>
      <c r="G198" s="596"/>
      <c r="H198" s="596"/>
      <c r="I198" s="596"/>
      <c r="J198" s="597"/>
    </row>
    <row r="199" spans="1:10" ht="15.6" x14ac:dyDescent="0.3">
      <c r="A199" s="658" t="s">
        <v>54</v>
      </c>
      <c r="B199" s="190" t="s">
        <v>53</v>
      </c>
      <c r="C199" s="11" t="s">
        <v>47</v>
      </c>
      <c r="D199" s="26">
        <f>Bangula!P199</f>
        <v>0</v>
      </c>
      <c r="E199" s="26">
        <f>Chikwawa!P199</f>
        <v>0</v>
      </c>
      <c r="F199" s="26">
        <f>'Miseu Folo'!P199</f>
        <v>72</v>
      </c>
      <c r="G199" s="26">
        <f>Nchalo!P199</f>
        <v>0</v>
      </c>
      <c r="H199" s="26">
        <f>Nsanje!P199</f>
        <v>0</v>
      </c>
      <c r="I199" s="26">
        <f>Ngabu!P199</f>
        <v>0</v>
      </c>
      <c r="J199" s="9">
        <f t="shared" ref="J199:J204" si="52">SUM(D199:I199)</f>
        <v>72</v>
      </c>
    </row>
    <row r="200" spans="1:10" ht="15.6" x14ac:dyDescent="0.3">
      <c r="A200" s="662"/>
      <c r="B200" s="190" t="s">
        <v>52</v>
      </c>
      <c r="C200" s="11" t="s">
        <v>47</v>
      </c>
      <c r="D200" s="26">
        <f>Bangula!P200</f>
        <v>0</v>
      </c>
      <c r="E200" s="26">
        <f>Chikwawa!P200</f>
        <v>300</v>
      </c>
      <c r="F200" s="26">
        <f>'Miseu Folo'!P200</f>
        <v>432</v>
      </c>
      <c r="G200" s="26">
        <f>Nchalo!P200</f>
        <v>0</v>
      </c>
      <c r="H200" s="26">
        <f>Nsanje!P200</f>
        <v>0</v>
      </c>
      <c r="I200" s="26">
        <f>Ngabu!P200</f>
        <v>0</v>
      </c>
      <c r="J200" s="9">
        <f t="shared" si="52"/>
        <v>732</v>
      </c>
    </row>
    <row r="201" spans="1:10" ht="15.6" x14ac:dyDescent="0.3">
      <c r="A201" s="662"/>
      <c r="B201" s="190" t="s">
        <v>51</v>
      </c>
      <c r="C201" s="11" t="s">
        <v>47</v>
      </c>
      <c r="D201" s="26">
        <f>Bangula!P201</f>
        <v>0</v>
      </c>
      <c r="E201" s="26">
        <f>Chikwawa!P201</f>
        <v>300</v>
      </c>
      <c r="F201" s="26">
        <f>'Miseu Folo'!P201</f>
        <v>642</v>
      </c>
      <c r="G201" s="26">
        <f>Nchalo!P201</f>
        <v>660</v>
      </c>
      <c r="H201" s="26">
        <f>Nsanje!P201</f>
        <v>0</v>
      </c>
      <c r="I201" s="26">
        <f>Ngabu!P201</f>
        <v>0</v>
      </c>
      <c r="J201" s="9">
        <f t="shared" si="52"/>
        <v>1602</v>
      </c>
    </row>
    <row r="202" spans="1:10" ht="15.6" x14ac:dyDescent="0.3">
      <c r="A202" s="662"/>
      <c r="B202" s="190" t="s">
        <v>50</v>
      </c>
      <c r="C202" s="11" t="s">
        <v>47</v>
      </c>
      <c r="D202" s="26">
        <f>Bangula!P202</f>
        <v>0</v>
      </c>
      <c r="E202" s="26">
        <f>Chikwawa!P202</f>
        <v>700</v>
      </c>
      <c r="F202" s="26">
        <f>'Miseu Folo'!P202</f>
        <v>0</v>
      </c>
      <c r="G202" s="26">
        <f>Nchalo!P202</f>
        <v>0</v>
      </c>
      <c r="H202" s="26">
        <f>Nsanje!P202</f>
        <v>0</v>
      </c>
      <c r="I202" s="26">
        <f>Ngabu!P202</f>
        <v>0</v>
      </c>
      <c r="J202" s="9">
        <f t="shared" si="52"/>
        <v>700</v>
      </c>
    </row>
    <row r="203" spans="1:10" ht="15.6" x14ac:dyDescent="0.3">
      <c r="A203" s="660"/>
      <c r="B203" s="190" t="s">
        <v>49</v>
      </c>
      <c r="C203" s="11" t="s">
        <v>47</v>
      </c>
      <c r="D203" s="26">
        <f>Bangula!P203</f>
        <v>0</v>
      </c>
      <c r="E203" s="26">
        <f>Chikwawa!P203</f>
        <v>180</v>
      </c>
      <c r="F203" s="26">
        <f>'Miseu Folo'!P203</f>
        <v>0</v>
      </c>
      <c r="G203" s="26">
        <f>Nchalo!P203</f>
        <v>0</v>
      </c>
      <c r="H203" s="26">
        <f>Nsanje!P203</f>
        <v>0</v>
      </c>
      <c r="I203" s="26">
        <f>Ngabu!P203</f>
        <v>0</v>
      </c>
      <c r="J203" s="9">
        <f t="shared" si="52"/>
        <v>180</v>
      </c>
    </row>
    <row r="204" spans="1:10" ht="15.6" x14ac:dyDescent="0.3">
      <c r="A204" s="83" t="s">
        <v>48</v>
      </c>
      <c r="B204" s="190"/>
      <c r="C204" s="11" t="s">
        <v>47</v>
      </c>
      <c r="D204" s="15">
        <f t="shared" ref="D204:I204" si="53">SUM(D199:D203)</f>
        <v>0</v>
      </c>
      <c r="E204" s="15">
        <f t="shared" si="53"/>
        <v>1480</v>
      </c>
      <c r="F204" s="15">
        <f t="shared" si="53"/>
        <v>1146</v>
      </c>
      <c r="G204" s="15">
        <f t="shared" si="53"/>
        <v>660</v>
      </c>
      <c r="H204" s="15">
        <f t="shared" si="53"/>
        <v>0</v>
      </c>
      <c r="I204" s="15">
        <f t="shared" si="53"/>
        <v>0</v>
      </c>
      <c r="J204" s="111">
        <f t="shared" si="52"/>
        <v>3286</v>
      </c>
    </row>
    <row r="205" spans="1:10" s="2" customFormat="1" x14ac:dyDescent="0.3">
      <c r="A205" s="595" t="s">
        <v>46</v>
      </c>
      <c r="B205" s="596"/>
      <c r="C205" s="596"/>
      <c r="D205" s="596"/>
      <c r="E205" s="596"/>
      <c r="F205" s="596"/>
      <c r="G205" s="596"/>
      <c r="H205" s="596"/>
      <c r="I205" s="596"/>
      <c r="J205" s="597"/>
    </row>
    <row r="206" spans="1:10" ht="15.6" x14ac:dyDescent="0.3">
      <c r="A206" s="591" t="s">
        <v>43</v>
      </c>
      <c r="B206" s="592"/>
      <c r="C206" s="11" t="s">
        <v>31</v>
      </c>
      <c r="D206" s="15">
        <f>Bangula!P206</f>
        <v>47707106.350000001</v>
      </c>
      <c r="E206" s="15">
        <f>Chikwawa!P206</f>
        <v>154938599.57999998</v>
      </c>
      <c r="F206" s="15">
        <f>'Miseu Folo'!P206</f>
        <v>6898333</v>
      </c>
      <c r="G206" s="15">
        <f>Nchalo!P206</f>
        <v>130074684.87</v>
      </c>
      <c r="H206" s="15">
        <f>Nsanje!P206</f>
        <v>85554084.069999993</v>
      </c>
      <c r="I206" s="15">
        <f>Ngabu!P206</f>
        <v>46852273.960000001</v>
      </c>
      <c r="J206" s="9">
        <f>SUM(D206:I206)</f>
        <v>472025081.82999992</v>
      </c>
    </row>
    <row r="207" spans="1:10" ht="15.6" x14ac:dyDescent="0.3">
      <c r="A207" s="591" t="s">
        <v>42</v>
      </c>
      <c r="B207" s="592"/>
      <c r="C207" s="11" t="s">
        <v>31</v>
      </c>
      <c r="D207" s="15">
        <f>Bangula!P207</f>
        <v>2994003</v>
      </c>
      <c r="E207" s="15">
        <f>Chikwawa!P207</f>
        <v>1625407</v>
      </c>
      <c r="F207" s="15">
        <f>'Miseu Folo'!P207</f>
        <v>0</v>
      </c>
      <c r="G207" s="15">
        <f>Nchalo!P207</f>
        <v>1505360</v>
      </c>
      <c r="H207" s="15">
        <f>Nsanje!P207</f>
        <v>1556400</v>
      </c>
      <c r="I207" s="15">
        <f>Ngabu!P207</f>
        <v>2122710</v>
      </c>
      <c r="J207" s="9">
        <f>SUM(D207:I207)</f>
        <v>9803880</v>
      </c>
    </row>
    <row r="208" spans="1:10" ht="15.6" x14ac:dyDescent="0.3">
      <c r="A208" s="598" t="s">
        <v>41</v>
      </c>
      <c r="B208" s="599"/>
      <c r="C208" s="11" t="s">
        <v>31</v>
      </c>
      <c r="D208" s="15">
        <f>Bangula!P208</f>
        <v>638340</v>
      </c>
      <c r="E208" s="15">
        <f>Chikwawa!P208</f>
        <v>2912843</v>
      </c>
      <c r="F208" s="15">
        <f>'Miseu Folo'!P208</f>
        <v>193424</v>
      </c>
      <c r="G208" s="15">
        <f>Nchalo!P208</f>
        <v>4315445.41</v>
      </c>
      <c r="H208" s="15">
        <f>Nsanje!P208</f>
        <v>25000</v>
      </c>
      <c r="I208" s="15">
        <f>Ngabu!P208</f>
        <v>785013.62</v>
      </c>
      <c r="J208" s="9">
        <f>SUM(D208:I208)</f>
        <v>8870066.0299999993</v>
      </c>
    </row>
    <row r="209" spans="1:10" ht="15.6" x14ac:dyDescent="0.3">
      <c r="A209" s="591" t="s">
        <v>40</v>
      </c>
      <c r="B209" s="592"/>
      <c r="C209" s="11" t="s">
        <v>31</v>
      </c>
      <c r="D209" s="15">
        <f>Bangula!P209</f>
        <v>329272</v>
      </c>
      <c r="E209" s="15">
        <f>Chikwawa!P209</f>
        <v>13273195.48</v>
      </c>
      <c r="F209" s="15">
        <f>'Miseu Folo'!P209</f>
        <v>158638</v>
      </c>
      <c r="G209" s="15">
        <f>Nchalo!P209</f>
        <v>1742083</v>
      </c>
      <c r="H209" s="15">
        <f>Nsanje!P209</f>
        <v>2254962</v>
      </c>
      <c r="I209" s="15">
        <f>Ngabu!P209</f>
        <v>1341608</v>
      </c>
      <c r="J209" s="9">
        <f>SUM(D209:I209)</f>
        <v>19099758.48</v>
      </c>
    </row>
    <row r="210" spans="1:10" ht="15.6" x14ac:dyDescent="0.3">
      <c r="A210" s="656" t="s">
        <v>45</v>
      </c>
      <c r="B210" s="657"/>
      <c r="C210" s="11" t="s">
        <v>31</v>
      </c>
      <c r="D210" s="10">
        <f t="shared" ref="D210:I210" si="54">SUM(D206:D209)</f>
        <v>51668721.350000001</v>
      </c>
      <c r="E210" s="10">
        <f t="shared" si="54"/>
        <v>172750045.05999997</v>
      </c>
      <c r="F210" s="10">
        <f t="shared" si="54"/>
        <v>7250395</v>
      </c>
      <c r="G210" s="10">
        <f t="shared" si="54"/>
        <v>137637573.28</v>
      </c>
      <c r="H210" s="10">
        <f t="shared" si="54"/>
        <v>89390446.069999993</v>
      </c>
      <c r="I210" s="10">
        <f t="shared" si="54"/>
        <v>51101605.579999998</v>
      </c>
      <c r="J210" s="9">
        <f>SUM(D210:I210)</f>
        <v>509798786.33999991</v>
      </c>
    </row>
    <row r="211" spans="1:10" s="2" customFormat="1" x14ac:dyDescent="0.3">
      <c r="A211" s="595" t="s">
        <v>44</v>
      </c>
      <c r="B211" s="596"/>
      <c r="C211" s="596"/>
      <c r="D211" s="596"/>
      <c r="E211" s="596"/>
      <c r="F211" s="596"/>
      <c r="G211" s="596"/>
      <c r="H211" s="596"/>
      <c r="I211" s="596"/>
      <c r="J211" s="597"/>
    </row>
    <row r="212" spans="1:10" ht="15.6" x14ac:dyDescent="0.3">
      <c r="A212" s="591" t="s">
        <v>43</v>
      </c>
      <c r="B212" s="592"/>
      <c r="C212" s="11" t="s">
        <v>31</v>
      </c>
      <c r="D212" s="15">
        <f>Bangula!P212</f>
        <v>0</v>
      </c>
      <c r="E212" s="15">
        <f>Chikwawa!P212</f>
        <v>0</v>
      </c>
      <c r="F212" s="15">
        <f>'Miseu Folo'!P212</f>
        <v>0</v>
      </c>
      <c r="G212" s="15">
        <f>Nchalo!P212</f>
        <v>0</v>
      </c>
      <c r="H212" s="15">
        <f>Nsanje!P212</f>
        <v>0</v>
      </c>
      <c r="I212" s="15">
        <f>Ngabu!P212</f>
        <v>0</v>
      </c>
      <c r="J212" s="9">
        <f>SUM(D212:I212)</f>
        <v>0</v>
      </c>
    </row>
    <row r="213" spans="1:10" ht="15.6" x14ac:dyDescent="0.3">
      <c r="A213" s="591" t="s">
        <v>42</v>
      </c>
      <c r="B213" s="592"/>
      <c r="C213" s="11" t="s">
        <v>31</v>
      </c>
      <c r="D213" s="15">
        <f>Bangula!P213</f>
        <v>0</v>
      </c>
      <c r="E213" s="15">
        <f>Chikwawa!P213</f>
        <v>0</v>
      </c>
      <c r="F213" s="15">
        <f>'Miseu Folo'!P213</f>
        <v>0</v>
      </c>
      <c r="G213" s="15">
        <f>Nchalo!P213</f>
        <v>0</v>
      </c>
      <c r="H213" s="15">
        <f>Nsanje!P213</f>
        <v>0</v>
      </c>
      <c r="I213" s="15">
        <f>Ngabu!P213</f>
        <v>0</v>
      </c>
      <c r="J213" s="9">
        <f>SUM(D213:I213)</f>
        <v>0</v>
      </c>
    </row>
    <row r="214" spans="1:10" ht="15.6" x14ac:dyDescent="0.3">
      <c r="A214" s="598" t="s">
        <v>41</v>
      </c>
      <c r="B214" s="599"/>
      <c r="C214" s="11" t="s">
        <v>31</v>
      </c>
      <c r="D214" s="15">
        <f>Bangula!P214</f>
        <v>0</v>
      </c>
      <c r="E214" s="15">
        <f>Chikwawa!P214</f>
        <v>0</v>
      </c>
      <c r="F214" s="15">
        <f>'Miseu Folo'!P214</f>
        <v>0</v>
      </c>
      <c r="G214" s="15">
        <f>Nchalo!P214</f>
        <v>0</v>
      </c>
      <c r="H214" s="15">
        <f>Nsanje!P214</f>
        <v>0</v>
      </c>
      <c r="I214" s="15">
        <f>Ngabu!P214</f>
        <v>0</v>
      </c>
      <c r="J214" s="9">
        <f>SUM(D214:I214)</f>
        <v>0</v>
      </c>
    </row>
    <row r="215" spans="1:10" ht="15.6" x14ac:dyDescent="0.3">
      <c r="A215" s="591" t="s">
        <v>40</v>
      </c>
      <c r="B215" s="592"/>
      <c r="C215" s="11" t="s">
        <v>31</v>
      </c>
      <c r="D215" s="15">
        <f>Bangula!P215</f>
        <v>42501964.649999999</v>
      </c>
      <c r="E215" s="15">
        <f>Chikwawa!P215</f>
        <v>171015477.74000001</v>
      </c>
      <c r="F215" s="15">
        <f>'Miseu Folo'!P215</f>
        <v>22268647</v>
      </c>
      <c r="G215" s="15">
        <f>Nchalo!P215</f>
        <v>52450625.810000002</v>
      </c>
      <c r="H215" s="15">
        <f>Nsanje!P215</f>
        <v>153467724.88999999</v>
      </c>
      <c r="I215" s="15">
        <f>Ngabu!P215</f>
        <v>58219888.149999999</v>
      </c>
      <c r="J215" s="9">
        <f>SUM(D215:I215)</f>
        <v>499924328.24000001</v>
      </c>
    </row>
    <row r="216" spans="1:10" ht="15.6" x14ac:dyDescent="0.3">
      <c r="A216" s="656" t="s">
        <v>39</v>
      </c>
      <c r="B216" s="657"/>
      <c r="C216" s="11" t="s">
        <v>31</v>
      </c>
      <c r="D216" s="10">
        <f t="shared" ref="D216:I216" si="55">SUM(D212:D215)</f>
        <v>42501964.649999999</v>
      </c>
      <c r="E216" s="10">
        <f t="shared" si="55"/>
        <v>171015477.74000001</v>
      </c>
      <c r="F216" s="10">
        <f t="shared" si="55"/>
        <v>22268647</v>
      </c>
      <c r="G216" s="10">
        <f t="shared" si="55"/>
        <v>52450625.810000002</v>
      </c>
      <c r="H216" s="10">
        <f t="shared" si="55"/>
        <v>153467724.88999999</v>
      </c>
      <c r="I216" s="10">
        <f t="shared" si="55"/>
        <v>58219888.149999999</v>
      </c>
      <c r="J216" s="9">
        <f>SUM(D216:I216)</f>
        <v>499924328.24000001</v>
      </c>
    </row>
    <row r="217" spans="1:10" s="2" customFormat="1" ht="15.6" x14ac:dyDescent="0.3">
      <c r="A217" s="195" t="s">
        <v>38</v>
      </c>
      <c r="B217" s="196"/>
      <c r="C217" s="11" t="s">
        <v>31</v>
      </c>
      <c r="D217" s="10">
        <f>D210+D216</f>
        <v>94170686</v>
      </c>
      <c r="E217" s="10">
        <f t="shared" ref="E217:J217" si="56">E210+E216</f>
        <v>343765522.79999995</v>
      </c>
      <c r="F217" s="10">
        <f t="shared" si="56"/>
        <v>29519042</v>
      </c>
      <c r="G217" s="10">
        <f t="shared" si="56"/>
        <v>190088199.09</v>
      </c>
      <c r="H217" s="10">
        <f t="shared" si="56"/>
        <v>242858170.95999998</v>
      </c>
      <c r="I217" s="10">
        <f t="shared" si="56"/>
        <v>109321493.72999999</v>
      </c>
      <c r="J217" s="40">
        <f t="shared" si="56"/>
        <v>1009723114.5799999</v>
      </c>
    </row>
    <row r="218" spans="1:10" s="2" customFormat="1" x14ac:dyDescent="0.3">
      <c r="A218" s="595" t="s">
        <v>37</v>
      </c>
      <c r="B218" s="596"/>
      <c r="C218" s="596"/>
      <c r="D218" s="596"/>
      <c r="E218" s="596"/>
      <c r="F218" s="596"/>
      <c r="G218" s="596"/>
      <c r="H218" s="596"/>
      <c r="I218" s="596"/>
      <c r="J218" s="597"/>
    </row>
    <row r="219" spans="1:10" ht="15.6" x14ac:dyDescent="0.3">
      <c r="A219" s="591" t="s">
        <v>35</v>
      </c>
      <c r="B219" s="592"/>
      <c r="C219" s="11" t="s">
        <v>31</v>
      </c>
      <c r="D219" s="15">
        <f>Bangula!P219</f>
        <v>251186204.33000001</v>
      </c>
      <c r="E219" s="15">
        <f>Chikwawa!P219</f>
        <v>168522498.89000002</v>
      </c>
      <c r="F219" s="15">
        <f>'Miseu Folo'!P219</f>
        <v>9647283.5899999999</v>
      </c>
      <c r="G219" s="15">
        <f>Nchalo!P219</f>
        <v>133626123.59999999</v>
      </c>
      <c r="H219" s="15">
        <f>Nsanje!P219</f>
        <v>91842146.150000006</v>
      </c>
      <c r="I219" s="15">
        <f>Ngabu!P219</f>
        <v>58048007.399999999</v>
      </c>
      <c r="J219" s="9">
        <f>SUM(D219:I219)</f>
        <v>712872263.95999992</v>
      </c>
    </row>
    <row r="220" spans="1:10" ht="15.6" x14ac:dyDescent="0.3">
      <c r="A220" s="591" t="s">
        <v>34</v>
      </c>
      <c r="B220" s="592"/>
      <c r="C220" s="11" t="s">
        <v>31</v>
      </c>
      <c r="D220" s="15">
        <f>Bangula!P220</f>
        <v>5346595.459999999</v>
      </c>
      <c r="E220" s="15">
        <f>Chikwawa!P220</f>
        <v>1670735.6400000001</v>
      </c>
      <c r="F220" s="15">
        <f>'Miseu Folo'!P220</f>
        <v>0</v>
      </c>
      <c r="G220" s="15">
        <f>Nchalo!P220</f>
        <v>1581705.04</v>
      </c>
      <c r="H220" s="15">
        <f>Nsanje!P220</f>
        <v>1562401.02</v>
      </c>
      <c r="I220" s="15">
        <f>Ngabu!P220</f>
        <v>2211531.84</v>
      </c>
      <c r="J220" s="9">
        <f>SUM(D220:I220)</f>
        <v>12372969</v>
      </c>
    </row>
    <row r="221" spans="1:10" ht="15.6" x14ac:dyDescent="0.3">
      <c r="A221" s="591" t="s">
        <v>33</v>
      </c>
      <c r="B221" s="592"/>
      <c r="C221" s="11" t="s">
        <v>31</v>
      </c>
      <c r="D221" s="15">
        <f>Bangula!P221</f>
        <v>485655707.06</v>
      </c>
      <c r="E221" s="15">
        <f>Chikwawa!P221</f>
        <v>10144043.060000001</v>
      </c>
      <c r="F221" s="15">
        <f>'Miseu Folo'!P221</f>
        <v>304311.03000000003</v>
      </c>
      <c r="G221" s="15">
        <f>Nchalo!P221</f>
        <v>2149506.34</v>
      </c>
      <c r="H221" s="15">
        <f>Nsanje!P221</f>
        <v>3899761.6000000006</v>
      </c>
      <c r="I221" s="15">
        <f>Ngabu!P221</f>
        <v>6535406.5199999996</v>
      </c>
      <c r="J221" s="9">
        <f>SUM(D221:I221)</f>
        <v>508688735.60999995</v>
      </c>
    </row>
    <row r="222" spans="1:10" ht="15.6" x14ac:dyDescent="0.3">
      <c r="A222" s="591" t="s">
        <v>32</v>
      </c>
      <c r="B222" s="592"/>
      <c r="C222" s="11" t="s">
        <v>31</v>
      </c>
      <c r="D222" s="15">
        <f>Bangula!P222</f>
        <v>5909245.8900000006</v>
      </c>
      <c r="E222" s="15">
        <f>Chikwawa!P222</f>
        <v>4425622.4400000004</v>
      </c>
      <c r="F222" s="15">
        <f>'Miseu Folo'!P222</f>
        <v>359960.78</v>
      </c>
      <c r="G222" s="15">
        <f>Nchalo!P222</f>
        <v>7380874.1600000001</v>
      </c>
      <c r="H222" s="15">
        <f>Nsanje!P222</f>
        <v>4232389.8100000005</v>
      </c>
      <c r="I222" s="15">
        <f>Ngabu!P222</f>
        <v>1885239.63</v>
      </c>
      <c r="J222" s="9">
        <f>SUM(D222:I222)</f>
        <v>24193332.710000005</v>
      </c>
    </row>
    <row r="223" spans="1:10" ht="15.6" x14ac:dyDescent="0.3">
      <c r="A223" s="656" t="s">
        <v>36</v>
      </c>
      <c r="B223" s="657"/>
      <c r="C223" s="11" t="s">
        <v>31</v>
      </c>
      <c r="D223" s="10">
        <f t="shared" ref="D223:I223" si="57">SUM(D219:D222)</f>
        <v>748097752.74000001</v>
      </c>
      <c r="E223" s="10">
        <f t="shared" si="57"/>
        <v>184762900.03</v>
      </c>
      <c r="F223" s="10">
        <f t="shared" si="57"/>
        <v>10311555.399999999</v>
      </c>
      <c r="G223" s="10">
        <f t="shared" si="57"/>
        <v>144738209.13999999</v>
      </c>
      <c r="H223" s="10">
        <f t="shared" si="57"/>
        <v>101536698.58</v>
      </c>
      <c r="I223" s="10">
        <f t="shared" si="57"/>
        <v>68680185.389999986</v>
      </c>
      <c r="J223" s="9">
        <f>SUM(D223:I223)</f>
        <v>1258127301.2799997</v>
      </c>
    </row>
    <row r="224" spans="1:10" x14ac:dyDescent="0.3">
      <c r="A224" s="595" t="s">
        <v>211</v>
      </c>
      <c r="B224" s="596"/>
      <c r="C224" s="596"/>
      <c r="D224" s="596"/>
      <c r="E224" s="596"/>
      <c r="F224" s="596"/>
      <c r="G224" s="596"/>
      <c r="H224" s="596"/>
      <c r="I224" s="596"/>
      <c r="J224" s="597"/>
    </row>
    <row r="225" spans="1:10" ht="15.6" x14ac:dyDescent="0.3">
      <c r="A225" s="591" t="s">
        <v>35</v>
      </c>
      <c r="B225" s="592"/>
      <c r="C225" s="11" t="s">
        <v>31</v>
      </c>
      <c r="D225" s="15">
        <f>Bangula!P225</f>
        <v>0</v>
      </c>
      <c r="E225" s="15">
        <f>Chikwawa!P225</f>
        <v>0</v>
      </c>
      <c r="F225" s="15">
        <f>'Miseu Folo'!P225</f>
        <v>0</v>
      </c>
      <c r="G225" s="15">
        <f>Nchalo!P225</f>
        <v>0</v>
      </c>
      <c r="H225" s="15">
        <f>Nsanje!P225</f>
        <v>0</v>
      </c>
      <c r="I225" s="15">
        <f>Ngabu!P225</f>
        <v>0</v>
      </c>
      <c r="J225" s="9">
        <f t="shared" ref="J225:J230" si="58">SUM(D225:I225)</f>
        <v>0</v>
      </c>
    </row>
    <row r="226" spans="1:10" ht="15.6" x14ac:dyDescent="0.3">
      <c r="A226" s="591" t="s">
        <v>34</v>
      </c>
      <c r="B226" s="592"/>
      <c r="C226" s="11" t="s">
        <v>31</v>
      </c>
      <c r="D226" s="15">
        <f>Bangula!P226</f>
        <v>0</v>
      </c>
      <c r="E226" s="15">
        <f>Chikwawa!P226</f>
        <v>0</v>
      </c>
      <c r="F226" s="15">
        <f>'Miseu Folo'!P226</f>
        <v>0</v>
      </c>
      <c r="G226" s="15">
        <f>Nchalo!P226</f>
        <v>0</v>
      </c>
      <c r="H226" s="15">
        <f>Nsanje!P226</f>
        <v>0</v>
      </c>
      <c r="I226" s="15">
        <f>Ngabu!P226</f>
        <v>0</v>
      </c>
      <c r="J226" s="9">
        <f t="shared" si="58"/>
        <v>0</v>
      </c>
    </row>
    <row r="227" spans="1:10" ht="15.6" x14ac:dyDescent="0.3">
      <c r="A227" s="591" t="s">
        <v>33</v>
      </c>
      <c r="B227" s="592"/>
      <c r="C227" s="11" t="s">
        <v>31</v>
      </c>
      <c r="D227" s="15">
        <f>Bangula!P227</f>
        <v>41754743.900000006</v>
      </c>
      <c r="E227" s="15">
        <f>Chikwawa!P227</f>
        <v>165759758.97</v>
      </c>
      <c r="F227" s="15">
        <f>'Miseu Folo'!P227</f>
        <v>22268647</v>
      </c>
      <c r="G227" s="15">
        <f>Nchalo!P227</f>
        <v>57752917.630000003</v>
      </c>
      <c r="H227" s="15">
        <f>Nsanje!P227</f>
        <v>130075245.18000001</v>
      </c>
      <c r="I227" s="15">
        <f>Ngabu!P227</f>
        <v>56731379.990000002</v>
      </c>
      <c r="J227" s="9">
        <f t="shared" si="58"/>
        <v>474342692.67000002</v>
      </c>
    </row>
    <row r="228" spans="1:10" ht="15.6" x14ac:dyDescent="0.3">
      <c r="A228" s="591" t="s">
        <v>32</v>
      </c>
      <c r="B228" s="592"/>
      <c r="C228" s="11" t="s">
        <v>31</v>
      </c>
      <c r="D228" s="15">
        <f>Bangula!P228</f>
        <v>0</v>
      </c>
      <c r="E228" s="15">
        <f>Chikwawa!P228</f>
        <v>0</v>
      </c>
      <c r="F228" s="15">
        <f>'Miseu Folo'!P228</f>
        <v>0</v>
      </c>
      <c r="G228" s="15">
        <f>Nchalo!P228</f>
        <v>0</v>
      </c>
      <c r="H228" s="15">
        <f>Nsanje!P228</f>
        <v>0</v>
      </c>
      <c r="I228" s="15">
        <f>Ngabu!P228</f>
        <v>0</v>
      </c>
      <c r="J228" s="9">
        <f t="shared" si="58"/>
        <v>0</v>
      </c>
    </row>
    <row r="229" spans="1:10" ht="15.6" x14ac:dyDescent="0.3">
      <c r="A229" s="656" t="s">
        <v>212</v>
      </c>
      <c r="B229" s="657"/>
      <c r="C229" s="11" t="s">
        <v>31</v>
      </c>
      <c r="D229" s="10">
        <f t="shared" ref="D229:I229" si="59">SUM(D225:D228)</f>
        <v>41754743.900000006</v>
      </c>
      <c r="E229" s="10">
        <f t="shared" si="59"/>
        <v>165759758.97</v>
      </c>
      <c r="F229" s="10">
        <f t="shared" si="59"/>
        <v>22268647</v>
      </c>
      <c r="G229" s="10">
        <f t="shared" si="59"/>
        <v>57752917.630000003</v>
      </c>
      <c r="H229" s="10">
        <f t="shared" si="59"/>
        <v>130075245.18000001</v>
      </c>
      <c r="I229" s="10">
        <f t="shared" si="59"/>
        <v>56731379.990000002</v>
      </c>
      <c r="J229" s="9">
        <f t="shared" si="58"/>
        <v>474342692.67000002</v>
      </c>
    </row>
    <row r="230" spans="1:10" ht="15.6" x14ac:dyDescent="0.3">
      <c r="A230" s="195" t="s">
        <v>213</v>
      </c>
      <c r="B230" s="120"/>
      <c r="C230" s="11" t="s">
        <v>31</v>
      </c>
      <c r="D230" s="12">
        <f>D223+D229</f>
        <v>789852496.63999999</v>
      </c>
      <c r="E230" s="12">
        <f t="shared" ref="E230:I230" si="60">E223+E229</f>
        <v>350522659</v>
      </c>
      <c r="F230" s="12">
        <f t="shared" si="60"/>
        <v>32580202.399999999</v>
      </c>
      <c r="G230" s="12">
        <f t="shared" si="60"/>
        <v>202491126.76999998</v>
      </c>
      <c r="H230" s="12">
        <f t="shared" si="60"/>
        <v>231611943.75999999</v>
      </c>
      <c r="I230" s="12">
        <f t="shared" si="60"/>
        <v>125411565.38</v>
      </c>
      <c r="J230" s="9">
        <f t="shared" si="58"/>
        <v>1732469993.9499998</v>
      </c>
    </row>
    <row r="231" spans="1:10" x14ac:dyDescent="0.3">
      <c r="A231" s="595" t="s">
        <v>30</v>
      </c>
      <c r="B231" s="596"/>
      <c r="C231" s="596"/>
      <c r="D231" s="596"/>
      <c r="E231" s="596"/>
      <c r="F231" s="596"/>
      <c r="G231" s="596"/>
      <c r="H231" s="596"/>
      <c r="I231" s="596"/>
      <c r="J231" s="597"/>
    </row>
    <row r="232" spans="1:10" ht="15.6" x14ac:dyDescent="0.3">
      <c r="A232" s="591" t="s">
        <v>29</v>
      </c>
      <c r="B232" s="592"/>
      <c r="C232" s="11" t="s">
        <v>18</v>
      </c>
      <c r="D232" s="15">
        <f>Bangula!P232</f>
        <v>3315108.3899999997</v>
      </c>
      <c r="E232" s="15">
        <f>Chikwawa!P232</f>
        <v>11394228.700000001</v>
      </c>
      <c r="F232" s="15">
        <f>'Miseu Folo'!P232</f>
        <v>852566.41999999993</v>
      </c>
      <c r="G232" s="15">
        <f>Nchalo!P232</f>
        <v>8317501.6300000008</v>
      </c>
      <c r="H232" s="15">
        <f>Nsanje!P232</f>
        <v>6228068.7400000002</v>
      </c>
      <c r="I232" s="15">
        <f>Ngabu!P232</f>
        <v>4642233.5600000005</v>
      </c>
      <c r="J232" s="9">
        <f>SUM(D232:I232)</f>
        <v>34749707.440000005</v>
      </c>
    </row>
    <row r="233" spans="1:10" ht="15.6" x14ac:dyDescent="0.3">
      <c r="A233" s="591" t="s">
        <v>28</v>
      </c>
      <c r="B233" s="592"/>
      <c r="C233" s="11" t="s">
        <v>18</v>
      </c>
      <c r="D233" s="15">
        <f>Bangula!P233</f>
        <v>31993.42</v>
      </c>
      <c r="E233" s="15">
        <f>Chikwawa!P233</f>
        <v>22780.84</v>
      </c>
      <c r="F233" s="15">
        <f>'Miseu Folo'!P233</f>
        <v>0</v>
      </c>
      <c r="G233" s="15">
        <f>Nchalo!P233</f>
        <v>16692.599999999999</v>
      </c>
      <c r="H233" s="15">
        <f>Nsanje!P233</f>
        <v>17040.379999999997</v>
      </c>
      <c r="I233" s="15">
        <f>Ngabu!P233</f>
        <v>38429.770000000004</v>
      </c>
      <c r="J233" s="9">
        <f>SUM(D233:I233)</f>
        <v>126937.01</v>
      </c>
    </row>
    <row r="234" spans="1:10" ht="15.6" x14ac:dyDescent="0.3">
      <c r="A234" s="591" t="s">
        <v>27</v>
      </c>
      <c r="B234" s="592"/>
      <c r="C234" s="11" t="s">
        <v>18</v>
      </c>
      <c r="D234" s="15">
        <f>Bangula!P234</f>
        <v>201563.48</v>
      </c>
      <c r="E234" s="15">
        <f>Chikwawa!P234</f>
        <v>790816.17</v>
      </c>
      <c r="F234" s="15">
        <f>'Miseu Folo'!P234</f>
        <v>111066.04</v>
      </c>
      <c r="G234" s="15">
        <f>Nchalo!P234</f>
        <v>269434.52</v>
      </c>
      <c r="H234" s="15">
        <f>Nsanje!P234</f>
        <v>393868.84</v>
      </c>
      <c r="I234" s="15">
        <f>Ngabu!P234</f>
        <v>413408.08</v>
      </c>
      <c r="J234" s="9">
        <f>SUM(D234:I234)</f>
        <v>2180157.13</v>
      </c>
    </row>
    <row r="235" spans="1:10" ht="15.6" x14ac:dyDescent="0.3">
      <c r="A235" s="591" t="s">
        <v>26</v>
      </c>
      <c r="B235" s="592"/>
      <c r="C235" s="11" t="s">
        <v>18</v>
      </c>
      <c r="D235" s="15">
        <f>Bangula!P235</f>
        <v>39348.559999999998</v>
      </c>
      <c r="E235" s="15">
        <f>Chikwawa!P235</f>
        <v>586138</v>
      </c>
      <c r="F235" s="15">
        <f>'Miseu Folo'!P235</f>
        <v>77290.100000000006</v>
      </c>
      <c r="G235" s="15">
        <f>Nchalo!P235</f>
        <v>351313.41</v>
      </c>
      <c r="H235" s="15">
        <f>Nsanje!P235</f>
        <v>91342.9</v>
      </c>
      <c r="I235" s="15">
        <f>Ngabu!P235</f>
        <v>248732.16</v>
      </c>
      <c r="J235" s="9">
        <f>SUM(D235:I235)</f>
        <v>1394165.13</v>
      </c>
    </row>
    <row r="236" spans="1:10" ht="15.6" x14ac:dyDescent="0.3">
      <c r="A236" s="656" t="s">
        <v>25</v>
      </c>
      <c r="B236" s="657"/>
      <c r="C236" s="11" t="s">
        <v>18</v>
      </c>
      <c r="D236" s="10">
        <f t="shared" ref="D236:I236" si="61">SUM(D232:D235)</f>
        <v>3588013.8499999996</v>
      </c>
      <c r="E236" s="10">
        <f t="shared" si="61"/>
        <v>12793963.710000001</v>
      </c>
      <c r="F236" s="10">
        <f t="shared" si="61"/>
        <v>1040922.5599999999</v>
      </c>
      <c r="G236" s="10">
        <f t="shared" si="61"/>
        <v>8954942.1600000001</v>
      </c>
      <c r="H236" s="10">
        <f t="shared" si="61"/>
        <v>6730320.8600000003</v>
      </c>
      <c r="I236" s="10">
        <f t="shared" si="61"/>
        <v>5342803.57</v>
      </c>
      <c r="J236" s="40">
        <f t="shared" ref="J236" si="62">SUM(J232:J235)</f>
        <v>38450966.710000008</v>
      </c>
    </row>
    <row r="237" spans="1:10" x14ac:dyDescent="0.3">
      <c r="A237" s="595" t="s">
        <v>24</v>
      </c>
      <c r="B237" s="596"/>
      <c r="C237" s="596"/>
      <c r="D237" s="596"/>
      <c r="E237" s="596"/>
      <c r="F237" s="596"/>
      <c r="G237" s="596"/>
      <c r="H237" s="596"/>
      <c r="I237" s="596"/>
      <c r="J237" s="597"/>
    </row>
    <row r="238" spans="1:10" ht="15.6" x14ac:dyDescent="0.3">
      <c r="A238" s="591" t="s">
        <v>23</v>
      </c>
      <c r="B238" s="592"/>
      <c r="C238" s="11" t="s">
        <v>18</v>
      </c>
      <c r="D238" s="15">
        <f>Bangula!P238</f>
        <v>5844685</v>
      </c>
      <c r="E238" s="15">
        <f>Chikwawa!P238</f>
        <v>21690077</v>
      </c>
      <c r="F238" s="15">
        <f>'Miseu Folo'!P238</f>
        <v>1556499</v>
      </c>
      <c r="G238" s="15">
        <f>Nchalo!P238</f>
        <v>15313164</v>
      </c>
      <c r="H238" s="15">
        <f>Nsanje!P238</f>
        <v>11202685</v>
      </c>
      <c r="I238" s="15">
        <f>Ngabu!P238</f>
        <v>8736219</v>
      </c>
      <c r="J238" s="9">
        <f>SUM(D238:I238)</f>
        <v>64343329</v>
      </c>
    </row>
    <row r="239" spans="1:10" ht="15.6" x14ac:dyDescent="0.3">
      <c r="A239" s="591" t="s">
        <v>22</v>
      </c>
      <c r="B239" s="592"/>
      <c r="C239" s="11" t="s">
        <v>18</v>
      </c>
      <c r="D239" s="15">
        <f>Bangula!P239</f>
        <v>164312</v>
      </c>
      <c r="E239" s="15">
        <f>Chikwawa!P239</f>
        <v>116983</v>
      </c>
      <c r="F239" s="15">
        <f>'Miseu Folo'!P239</f>
        <v>0</v>
      </c>
      <c r="G239" s="15">
        <f>Nchalo!P239</f>
        <v>85728</v>
      </c>
      <c r="H239" s="15">
        <f>Nsanje!P239</f>
        <v>87514</v>
      </c>
      <c r="I239" s="15">
        <f>Ngabu!P239</f>
        <v>197362</v>
      </c>
      <c r="J239" s="9">
        <f>SUM(D239:I239)</f>
        <v>651899</v>
      </c>
    </row>
    <row r="240" spans="1:10" ht="15.6" x14ac:dyDescent="0.3">
      <c r="A240" s="591" t="s">
        <v>21</v>
      </c>
      <c r="B240" s="592"/>
      <c r="C240" s="11" t="s">
        <v>18</v>
      </c>
      <c r="D240" s="15">
        <f>Bangula!P240</f>
        <v>59831</v>
      </c>
      <c r="E240" s="15">
        <f>Chikwawa!P240</f>
        <v>232180</v>
      </c>
      <c r="F240" s="15">
        <f>'Miseu Folo'!P240</f>
        <v>32148</v>
      </c>
      <c r="G240" s="15">
        <f>Nchalo!P240</f>
        <v>79477</v>
      </c>
      <c r="H240" s="15">
        <f>Nsanje!P240</f>
        <v>108946</v>
      </c>
      <c r="I240" s="15">
        <f>Ngabu!P240</f>
        <v>122341</v>
      </c>
      <c r="J240" s="9">
        <f>SUM(D240:I240)</f>
        <v>634923</v>
      </c>
    </row>
    <row r="241" spans="1:10" ht="15.6" x14ac:dyDescent="0.3">
      <c r="A241" s="591" t="s">
        <v>20</v>
      </c>
      <c r="B241" s="592"/>
      <c r="C241" s="11" t="s">
        <v>18</v>
      </c>
      <c r="D241" s="15">
        <f>Bangula!P241</f>
        <v>8930</v>
      </c>
      <c r="E241" s="15">
        <f>Chikwawa!P241</f>
        <v>133057</v>
      </c>
      <c r="F241" s="15">
        <f>'Miseu Folo'!P241</f>
        <v>16967</v>
      </c>
      <c r="G241" s="15">
        <f>Nchalo!P241</f>
        <v>76798</v>
      </c>
      <c r="H241" s="15">
        <f>Nsanje!P241</f>
        <v>26790</v>
      </c>
      <c r="I241" s="15">
        <f>Ngabu!P241</f>
        <v>53580</v>
      </c>
      <c r="J241" s="9">
        <f>SUM(D241:I241)</f>
        <v>316122</v>
      </c>
    </row>
    <row r="242" spans="1:10" ht="15.6" x14ac:dyDescent="0.3">
      <c r="A242" s="656" t="s">
        <v>19</v>
      </c>
      <c r="B242" s="657"/>
      <c r="C242" s="11" t="s">
        <v>18</v>
      </c>
      <c r="D242" s="10">
        <f t="shared" ref="D242:I242" si="63">SUM(D238:D241)</f>
        <v>6077758</v>
      </c>
      <c r="E242" s="10">
        <f t="shared" si="63"/>
        <v>22172297</v>
      </c>
      <c r="F242" s="10">
        <f t="shared" si="63"/>
        <v>1605614</v>
      </c>
      <c r="G242" s="10">
        <f t="shared" si="63"/>
        <v>15555167</v>
      </c>
      <c r="H242" s="10">
        <f t="shared" si="63"/>
        <v>11425935</v>
      </c>
      <c r="I242" s="10">
        <f t="shared" si="63"/>
        <v>9109502</v>
      </c>
      <c r="J242" s="40">
        <f t="shared" ref="J242" si="64">SUM(J238:J241)</f>
        <v>65946273</v>
      </c>
    </row>
    <row r="243" spans="1:10" ht="15.6" x14ac:dyDescent="0.3">
      <c r="A243" s="656" t="s">
        <v>214</v>
      </c>
      <c r="B243" s="657"/>
      <c r="C243" s="11" t="s">
        <v>18</v>
      </c>
      <c r="D243" s="10">
        <f>D230+D236+D242</f>
        <v>799518268.49000001</v>
      </c>
      <c r="E243" s="10">
        <f t="shared" ref="E243:I243" si="65">E230+E236+E242</f>
        <v>385488919.70999998</v>
      </c>
      <c r="F243" s="10">
        <f t="shared" si="65"/>
        <v>35226738.960000001</v>
      </c>
      <c r="G243" s="10">
        <f t="shared" si="65"/>
        <v>227001235.92999998</v>
      </c>
      <c r="H243" s="10">
        <f t="shared" si="65"/>
        <v>249768199.62</v>
      </c>
      <c r="I243" s="10">
        <f t="shared" si="65"/>
        <v>139863870.94999999</v>
      </c>
      <c r="J243" s="40">
        <f t="shared" ref="J243" si="66">J216+J223+J236+J242</f>
        <v>1862448869.2299998</v>
      </c>
    </row>
    <row r="244" spans="1:10" x14ac:dyDescent="0.3">
      <c r="A244" s="595" t="s">
        <v>204</v>
      </c>
      <c r="B244" s="596"/>
      <c r="C244" s="596"/>
      <c r="D244" s="596"/>
      <c r="E244" s="596"/>
      <c r="F244" s="596"/>
      <c r="G244" s="596"/>
      <c r="H244" s="596"/>
      <c r="I244" s="596"/>
      <c r="J244" s="597"/>
    </row>
    <row r="245" spans="1:10" ht="15.6" x14ac:dyDescent="0.3">
      <c r="A245" s="663" t="s">
        <v>205</v>
      </c>
      <c r="B245" s="664"/>
      <c r="C245" s="11" t="s">
        <v>18</v>
      </c>
      <c r="D245" s="15">
        <f>Bangula!P245</f>
        <v>24969495.48</v>
      </c>
      <c r="E245" s="15">
        <f>Chikwawa!P245</f>
        <v>103169500.08</v>
      </c>
      <c r="F245" s="15">
        <f>'Miseu Folo'!P245</f>
        <v>8954614.7400000002</v>
      </c>
      <c r="G245" s="15">
        <f>Nchalo!P245</f>
        <v>59639648.439999998</v>
      </c>
      <c r="H245" s="15">
        <f>Nsanje!P245</f>
        <v>38649396.310000002</v>
      </c>
      <c r="I245" s="15">
        <f>Ngabu!P245</f>
        <v>44071877.020000003</v>
      </c>
      <c r="J245" s="40">
        <f t="shared" ref="J245:J246" si="67">SUM(J241:J244)</f>
        <v>1928711264.2299998</v>
      </c>
    </row>
    <row r="246" spans="1:10" ht="15.6" x14ac:dyDescent="0.3">
      <c r="A246" s="663" t="s">
        <v>206</v>
      </c>
      <c r="B246" s="664"/>
      <c r="C246" s="11" t="s">
        <v>18</v>
      </c>
      <c r="D246" s="15">
        <f>Bangula!P246</f>
        <v>0</v>
      </c>
      <c r="E246" s="15">
        <f>Chikwawa!P246</f>
        <v>0</v>
      </c>
      <c r="F246" s="15">
        <f>'Miseu Folo'!P246</f>
        <v>0</v>
      </c>
      <c r="G246" s="15">
        <f>Nchalo!P246</f>
        <v>0</v>
      </c>
      <c r="H246" s="15">
        <f>Nsanje!P246</f>
        <v>0</v>
      </c>
      <c r="I246" s="15">
        <f>Ngabu!P246</f>
        <v>0</v>
      </c>
      <c r="J246" s="40">
        <f t="shared" si="67"/>
        <v>3857106406.4599996</v>
      </c>
    </row>
    <row r="247" spans="1:10" ht="15.6" x14ac:dyDescent="0.3">
      <c r="A247" s="665" t="s">
        <v>207</v>
      </c>
      <c r="B247" s="666"/>
      <c r="C247" s="11" t="s">
        <v>18</v>
      </c>
      <c r="D247" s="143">
        <f>D245+D246</f>
        <v>24969495.48</v>
      </c>
      <c r="E247" s="143">
        <f t="shared" ref="E247:I247" si="68">E245+E246</f>
        <v>103169500.08</v>
      </c>
      <c r="F247" s="143">
        <f t="shared" si="68"/>
        <v>8954614.7400000002</v>
      </c>
      <c r="G247" s="143">
        <f t="shared" si="68"/>
        <v>59639648.439999998</v>
      </c>
      <c r="H247" s="143">
        <f t="shared" si="68"/>
        <v>38649396.310000002</v>
      </c>
      <c r="I247" s="143">
        <f t="shared" si="68"/>
        <v>44071877.020000003</v>
      </c>
      <c r="J247" s="161">
        <f t="shared" ref="J247" si="69">SUM(J243:J246)</f>
        <v>7648266539.9199991</v>
      </c>
    </row>
    <row r="248" spans="1:10" x14ac:dyDescent="0.3">
      <c r="A248" s="595" t="s">
        <v>17</v>
      </c>
      <c r="B248" s="596"/>
      <c r="C248" s="596"/>
      <c r="D248" s="596"/>
      <c r="E248" s="596"/>
      <c r="F248" s="596"/>
      <c r="G248" s="596"/>
      <c r="H248" s="596"/>
      <c r="I248" s="596"/>
      <c r="J248" s="597"/>
    </row>
    <row r="249" spans="1:10" ht="15.6" x14ac:dyDescent="0.3">
      <c r="A249" s="620" t="s">
        <v>16</v>
      </c>
      <c r="B249" s="621"/>
      <c r="C249" s="5" t="s">
        <v>6</v>
      </c>
      <c r="D249" s="8">
        <f>D58/D243%</f>
        <v>2.6552709761997795</v>
      </c>
      <c r="E249" s="8">
        <f t="shared" ref="E249:J249" si="70">E58/E243%</f>
        <v>9.005575314360831</v>
      </c>
      <c r="F249" s="8">
        <f t="shared" si="70"/>
        <v>39.355105196487358</v>
      </c>
      <c r="G249" s="8">
        <f t="shared" si="70"/>
        <v>11.720822471074376</v>
      </c>
      <c r="H249" s="8">
        <f t="shared" si="70"/>
        <v>27.654827032646939</v>
      </c>
      <c r="I249" s="8">
        <f t="shared" si="70"/>
        <v>25.349197816124796</v>
      </c>
      <c r="J249" s="112">
        <f t="shared" si="70"/>
        <v>10.789135734076753</v>
      </c>
    </row>
    <row r="250" spans="1:10" ht="15.6" x14ac:dyDescent="0.3">
      <c r="A250" s="620" t="s">
        <v>208</v>
      </c>
      <c r="B250" s="621"/>
      <c r="C250" s="5" t="s">
        <v>6</v>
      </c>
      <c r="D250" s="29">
        <f>D210/(D223+D245)%</f>
        <v>6.6835998380435955</v>
      </c>
      <c r="E250" s="29">
        <f t="shared" ref="E250:J250" si="71">E210/(E223+E245)%</f>
        <v>59.996737079260122</v>
      </c>
      <c r="F250" s="29">
        <f t="shared" si="71"/>
        <v>37.632777803341867</v>
      </c>
      <c r="G250" s="29">
        <f t="shared" si="71"/>
        <v>67.344659988973746</v>
      </c>
      <c r="H250" s="29">
        <f t="shared" si="71"/>
        <v>63.765558303155608</v>
      </c>
      <c r="I250" s="29">
        <f t="shared" si="71"/>
        <v>45.322102751592588</v>
      </c>
      <c r="J250" s="109">
        <f t="shared" si="71"/>
        <v>15.997006935254511</v>
      </c>
    </row>
    <row r="251" spans="1:10" ht="16.2" thickBot="1" x14ac:dyDescent="0.35">
      <c r="A251" s="669" t="s">
        <v>15</v>
      </c>
      <c r="B251" s="670"/>
      <c r="C251" s="5" t="s">
        <v>6</v>
      </c>
      <c r="D251" s="7">
        <f>D210/D223%</f>
        <v>6.9066804653211369</v>
      </c>
      <c r="E251" s="7">
        <f t="shared" ref="E251:J251" si="72">E210/E223%</f>
        <v>93.498232075784969</v>
      </c>
      <c r="F251" s="7">
        <f t="shared" si="72"/>
        <v>70.313301133988006</v>
      </c>
      <c r="G251" s="7">
        <f t="shared" si="72"/>
        <v>95.094152468660297</v>
      </c>
      <c r="H251" s="7">
        <f t="shared" si="72"/>
        <v>88.037573921679098</v>
      </c>
      <c r="I251" s="7">
        <f t="shared" si="72"/>
        <v>74.40516546340092</v>
      </c>
      <c r="J251" s="113">
        <f t="shared" si="72"/>
        <v>40.520445412903634</v>
      </c>
    </row>
    <row r="252" spans="1:10" x14ac:dyDescent="0.3">
      <c r="A252" s="649" t="s">
        <v>14</v>
      </c>
      <c r="B252" s="650"/>
      <c r="C252" s="650"/>
      <c r="D252" s="650"/>
      <c r="E252" s="650"/>
      <c r="F252" s="650"/>
      <c r="G252" s="650"/>
      <c r="H252" s="650"/>
      <c r="I252" s="650"/>
      <c r="J252" s="651"/>
    </row>
    <row r="253" spans="1:10" s="2" customFormat="1" ht="15" customHeight="1" x14ac:dyDescent="0.3">
      <c r="A253" s="620" t="s">
        <v>13</v>
      </c>
      <c r="B253" s="621"/>
      <c r="C253" s="5" t="s">
        <v>3</v>
      </c>
      <c r="D253" s="26">
        <f>Bangula!P253</f>
        <v>78</v>
      </c>
      <c r="E253" s="26">
        <f>Chikwawa!P253</f>
        <v>165</v>
      </c>
      <c r="F253" s="26">
        <f>'Miseu Folo'!P253</f>
        <v>388</v>
      </c>
      <c r="G253" s="26">
        <f>Nchalo!P253</f>
        <v>147</v>
      </c>
      <c r="H253" s="26">
        <f>Nsanje!P253</f>
        <v>170</v>
      </c>
      <c r="I253" s="26">
        <f>Ngabu!P253</f>
        <v>395</v>
      </c>
      <c r="J253" s="114">
        <f>SUM(D253:I253)</f>
        <v>1343</v>
      </c>
    </row>
    <row r="254" spans="1:10" s="2" customFormat="1" ht="15.6" x14ac:dyDescent="0.3">
      <c r="A254" s="620" t="s">
        <v>12</v>
      </c>
      <c r="B254" s="621"/>
      <c r="C254" s="5" t="s">
        <v>3</v>
      </c>
      <c r="D254" s="26">
        <f>Bangula!P254</f>
        <v>27</v>
      </c>
      <c r="E254" s="26">
        <f>Chikwawa!P254</f>
        <v>12</v>
      </c>
      <c r="F254" s="26">
        <f>'Miseu Folo'!P254</f>
        <v>40</v>
      </c>
      <c r="G254" s="26">
        <f>Nchalo!P254</f>
        <v>61</v>
      </c>
      <c r="H254" s="26">
        <f>Nsanje!P254</f>
        <v>103</v>
      </c>
      <c r="I254" s="26">
        <f>Ngabu!P254</f>
        <v>78</v>
      </c>
      <c r="J254" s="114">
        <f>SUM(D254:I254)</f>
        <v>321</v>
      </c>
    </row>
    <row r="255" spans="1:10" ht="15.75" customHeight="1" x14ac:dyDescent="0.3">
      <c r="A255" s="620" t="s">
        <v>11</v>
      </c>
      <c r="B255" s="621"/>
      <c r="C255" s="5" t="s">
        <v>3</v>
      </c>
      <c r="D255" s="4">
        <f>D95</f>
        <v>18</v>
      </c>
      <c r="E255" s="4">
        <f t="shared" ref="E255:I255" si="73">E95</f>
        <v>241</v>
      </c>
      <c r="F255" s="4">
        <f t="shared" si="73"/>
        <v>233</v>
      </c>
      <c r="G255" s="4">
        <f t="shared" si="73"/>
        <v>25</v>
      </c>
      <c r="H255" s="4">
        <f t="shared" si="73"/>
        <v>138</v>
      </c>
      <c r="I255" s="4">
        <f t="shared" si="73"/>
        <v>43</v>
      </c>
      <c r="J255" s="114">
        <f>SUM(D255:I255)</f>
        <v>698</v>
      </c>
    </row>
    <row r="256" spans="1:10" ht="15.6" x14ac:dyDescent="0.3">
      <c r="A256" s="620" t="s">
        <v>10</v>
      </c>
      <c r="B256" s="621"/>
      <c r="C256" s="5" t="s">
        <v>3</v>
      </c>
      <c r="D256" s="4">
        <f>D91</f>
        <v>48</v>
      </c>
      <c r="E256" s="4">
        <f t="shared" ref="E256:I256" si="74">E91</f>
        <v>156</v>
      </c>
      <c r="F256" s="4">
        <f t="shared" si="74"/>
        <v>389</v>
      </c>
      <c r="G256" s="4">
        <f t="shared" si="74"/>
        <v>121</v>
      </c>
      <c r="H256" s="4">
        <f t="shared" si="74"/>
        <v>164</v>
      </c>
      <c r="I256" s="4">
        <f t="shared" si="74"/>
        <v>24</v>
      </c>
      <c r="J256" s="114">
        <f>SUM(D256:I256)</f>
        <v>902</v>
      </c>
    </row>
    <row r="257" spans="1:10" ht="15.6" customHeight="1" x14ac:dyDescent="0.3">
      <c r="A257" s="620" t="s">
        <v>9</v>
      </c>
      <c r="B257" s="621"/>
      <c r="C257" s="5" t="s">
        <v>3</v>
      </c>
      <c r="D257" s="26">
        <f>Bangula!P257</f>
        <v>617</v>
      </c>
      <c r="E257" s="26">
        <f>Chikwawa!P257</f>
        <v>357</v>
      </c>
      <c r="F257" s="26">
        <f>'Miseu Folo'!P257</f>
        <v>223.52941176470588</v>
      </c>
      <c r="G257" s="26">
        <f>Nchalo!P257</f>
        <v>311</v>
      </c>
      <c r="H257" s="26">
        <f>Nsanje!P257</f>
        <v>1078</v>
      </c>
      <c r="I257" s="26">
        <f>Ngabu!P257</f>
        <v>225</v>
      </c>
      <c r="J257" s="114">
        <f>SUM(D257:I257)</f>
        <v>2811.5294117647059</v>
      </c>
    </row>
    <row r="258" spans="1:10" ht="15.6" x14ac:dyDescent="0.3">
      <c r="A258" s="656" t="s">
        <v>8</v>
      </c>
      <c r="B258" s="657"/>
      <c r="C258" s="5" t="s">
        <v>3</v>
      </c>
      <c r="D258" s="1">
        <f t="shared" ref="D258:J258" si="75">D257/D256</f>
        <v>12.854166666666666</v>
      </c>
      <c r="E258" s="1">
        <f t="shared" si="75"/>
        <v>2.2884615384615383</v>
      </c>
      <c r="F258" s="1">
        <f t="shared" si="75"/>
        <v>0.57462573718433385</v>
      </c>
      <c r="G258" s="3">
        <f t="shared" si="75"/>
        <v>2.5702479338842976</v>
      </c>
      <c r="H258" s="3">
        <f t="shared" si="75"/>
        <v>6.5731707317073171</v>
      </c>
      <c r="I258" s="3">
        <f t="shared" si="75"/>
        <v>9.375</v>
      </c>
      <c r="J258" s="114">
        <f t="shared" si="75"/>
        <v>3.1169949132646408</v>
      </c>
    </row>
    <row r="259" spans="1:10" ht="15.6" x14ac:dyDescent="0.3">
      <c r="A259" s="656" t="s">
        <v>7</v>
      </c>
      <c r="B259" s="657"/>
      <c r="C259" s="5" t="s">
        <v>6</v>
      </c>
      <c r="D259" s="1">
        <f t="shared" ref="D259:J259" si="76">D92/D255*100</f>
        <v>416.66666666666669</v>
      </c>
      <c r="E259" s="1">
        <f t="shared" si="76"/>
        <v>119.08713692946058</v>
      </c>
      <c r="F259" s="1">
        <f t="shared" si="76"/>
        <v>68.669527896995703</v>
      </c>
      <c r="G259" s="6">
        <f t="shared" si="76"/>
        <v>568</v>
      </c>
      <c r="H259" s="6">
        <f t="shared" si="76"/>
        <v>139.13043478260869</v>
      </c>
      <c r="I259" s="6">
        <f t="shared" si="76"/>
        <v>202.32558139534885</v>
      </c>
      <c r="J259" s="115">
        <f t="shared" si="76"/>
        <v>135.10028653295129</v>
      </c>
    </row>
    <row r="260" spans="1:10" x14ac:dyDescent="0.3">
      <c r="A260" s="595" t="s">
        <v>5</v>
      </c>
      <c r="B260" s="596"/>
      <c r="C260" s="596"/>
      <c r="D260" s="596"/>
      <c r="E260" s="596"/>
      <c r="F260" s="596"/>
      <c r="G260" s="596"/>
      <c r="H260" s="596"/>
      <c r="I260" s="596"/>
      <c r="J260" s="597"/>
    </row>
    <row r="261" spans="1:10" s="2" customFormat="1" ht="15" customHeight="1" x14ac:dyDescent="0.3">
      <c r="A261" s="620" t="s">
        <v>4</v>
      </c>
      <c r="B261" s="621"/>
      <c r="C261" s="5" t="s">
        <v>3</v>
      </c>
      <c r="D261" s="26">
        <f>Bangula!P261</f>
        <v>209</v>
      </c>
      <c r="E261" s="26">
        <f>Chikwawa!P261</f>
        <v>234</v>
      </c>
      <c r="F261" s="26">
        <f>'Miseu Folo'!P261</f>
        <v>61</v>
      </c>
      <c r="G261" s="26">
        <f>Nchalo!P261</f>
        <v>179</v>
      </c>
      <c r="H261" s="26">
        <f>Nsanje!P261</f>
        <v>121</v>
      </c>
      <c r="I261" s="26">
        <f>Ngabu!P261</f>
        <v>174</v>
      </c>
      <c r="J261" s="40">
        <f>SUM(D261:I261)</f>
        <v>978</v>
      </c>
    </row>
    <row r="262" spans="1:10" s="2" customFormat="1" ht="15.75" customHeight="1" x14ac:dyDescent="0.3">
      <c r="A262" s="620" t="s">
        <v>2</v>
      </c>
      <c r="B262" s="621"/>
      <c r="C262" s="5" t="s">
        <v>0</v>
      </c>
      <c r="D262" s="26">
        <f>Bangula!P262</f>
        <v>291</v>
      </c>
      <c r="E262" s="26">
        <f>Chikwawa!P262</f>
        <v>710</v>
      </c>
      <c r="F262" s="26">
        <f>'Miseu Folo'!P262</f>
        <v>59</v>
      </c>
      <c r="G262" s="26">
        <f>Nchalo!P262</f>
        <v>159</v>
      </c>
      <c r="H262" s="26">
        <f>Nsanje!P262</f>
        <v>243</v>
      </c>
      <c r="I262" s="26">
        <f>Ngabu!P262</f>
        <v>51</v>
      </c>
      <c r="J262" s="40">
        <f>SUM(D262:I262)</f>
        <v>1513</v>
      </c>
    </row>
    <row r="263" spans="1:10" ht="16.2" thickBot="1" x14ac:dyDescent="0.35">
      <c r="A263" s="667" t="s">
        <v>1</v>
      </c>
      <c r="B263" s="668"/>
      <c r="C263" s="116" t="s">
        <v>0</v>
      </c>
      <c r="D263" s="117">
        <f>D261/D262</f>
        <v>0.71821305841924399</v>
      </c>
      <c r="E263" s="117">
        <f t="shared" ref="E263:J263" si="77">E261/E262</f>
        <v>0.3295774647887324</v>
      </c>
      <c r="F263" s="117">
        <f t="shared" si="77"/>
        <v>1.0338983050847457</v>
      </c>
      <c r="G263" s="117">
        <f t="shared" si="77"/>
        <v>1.1257861635220126</v>
      </c>
      <c r="H263" s="117">
        <f t="shared" si="77"/>
        <v>0.49794238683127573</v>
      </c>
      <c r="I263" s="117">
        <f t="shared" si="77"/>
        <v>3.4117647058823528</v>
      </c>
      <c r="J263" s="198">
        <f t="shared" si="77"/>
        <v>0.64639788499669526</v>
      </c>
    </row>
    <row r="265" spans="1:10" x14ac:dyDescent="0.3">
      <c r="D265" s="182">
        <f>D210/9</f>
        <v>5740969.0388888894</v>
      </c>
      <c r="E265" s="182">
        <f t="shared" ref="E265:H265" si="78">E210/9</f>
        <v>19194449.451111108</v>
      </c>
      <c r="F265" s="182">
        <f t="shared" si="78"/>
        <v>805599.4444444445</v>
      </c>
      <c r="G265" s="182">
        <f t="shared" si="78"/>
        <v>15293063.697777778</v>
      </c>
      <c r="H265" s="182">
        <f t="shared" si="78"/>
        <v>9932271.7855555546</v>
      </c>
      <c r="I265" s="182"/>
      <c r="J265" s="182"/>
    </row>
  </sheetData>
  <mergeCells count="155"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7:B7"/>
    <mergeCell ref="A8:J8"/>
    <mergeCell ref="A9:B9"/>
    <mergeCell ref="A10:J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Bangula</vt:lpstr>
      <vt:lpstr>Chikwawa</vt:lpstr>
      <vt:lpstr>Nchalo</vt:lpstr>
      <vt:lpstr>Miseu Folo</vt:lpstr>
      <vt:lpstr>Nsanje</vt:lpstr>
      <vt:lpstr>Ngabu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2026-06-12T11:00:02Z</dcterms:modified>
</cp:coreProperties>
</file>